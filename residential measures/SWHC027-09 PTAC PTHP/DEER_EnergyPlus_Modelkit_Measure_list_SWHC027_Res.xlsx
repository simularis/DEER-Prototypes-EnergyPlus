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Projects\SWHC027-09\scripts\data transformation\"/>
    </mc:Choice>
  </mc:AlternateContent>
  <xr:revisionPtr revIDLastSave="0" documentId="13_ncr:1_{C80B2530-5DE4-4D34-A9C3-3A8C8716C004}" xr6:coauthVersionLast="47" xr6:coauthVersionMax="47" xr10:uidLastSave="{00000000-0000-0000-0000-000000000000}"/>
  <bookViews>
    <workbookView xWindow="-110" yWindow="-110" windowWidth="38620" windowHeight="2110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Measure_list!$A$5:$AG$1083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7" i="1" l="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16" i="1"/>
  <c r="E912" i="1"/>
  <c r="E913" i="1"/>
  <c r="E914" i="1"/>
  <c r="E915"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880"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U987" i="1"/>
  <c r="T987" i="1"/>
  <c r="N987" i="1"/>
  <c r="U986" i="1"/>
  <c r="T986" i="1"/>
  <c r="N986" i="1"/>
  <c r="U985" i="1"/>
  <c r="T985" i="1"/>
  <c r="N985" i="1"/>
  <c r="U984" i="1"/>
  <c r="T984" i="1"/>
  <c r="N984" i="1"/>
  <c r="U983" i="1"/>
  <c r="T983" i="1"/>
  <c r="N983" i="1"/>
  <c r="U982" i="1"/>
  <c r="T982" i="1"/>
  <c r="N982" i="1"/>
  <c r="U981" i="1"/>
  <c r="T981" i="1"/>
  <c r="N981" i="1"/>
  <c r="U980" i="1"/>
  <c r="T980" i="1"/>
  <c r="N980" i="1"/>
  <c r="U979" i="1"/>
  <c r="T979" i="1"/>
  <c r="N979" i="1"/>
  <c r="U978" i="1"/>
  <c r="T978" i="1"/>
  <c r="N978" i="1" s="1"/>
  <c r="U977" i="1"/>
  <c r="T977" i="1"/>
  <c r="N977" i="1" s="1"/>
  <c r="U976" i="1"/>
  <c r="T976" i="1"/>
  <c r="N976" i="1"/>
  <c r="U975" i="1"/>
  <c r="T975" i="1"/>
  <c r="N975" i="1"/>
  <c r="U974" i="1"/>
  <c r="T974" i="1"/>
  <c r="N974" i="1" s="1"/>
  <c r="U973" i="1"/>
  <c r="T973" i="1"/>
  <c r="N973" i="1"/>
  <c r="U972" i="1"/>
  <c r="T972" i="1"/>
  <c r="N972" i="1"/>
  <c r="U971" i="1"/>
  <c r="T971" i="1"/>
  <c r="N971" i="1"/>
  <c r="U970" i="1"/>
  <c r="T970" i="1"/>
  <c r="N970" i="1"/>
  <c r="U969" i="1"/>
  <c r="T969" i="1"/>
  <c r="N969" i="1"/>
  <c r="U968" i="1"/>
  <c r="T968" i="1"/>
  <c r="N968" i="1"/>
  <c r="U967" i="1"/>
  <c r="T967" i="1"/>
  <c r="N967" i="1"/>
  <c r="U966" i="1"/>
  <c r="T966" i="1"/>
  <c r="N966" i="1"/>
  <c r="U965" i="1"/>
  <c r="T965" i="1"/>
  <c r="N965" i="1"/>
  <c r="U964" i="1"/>
  <c r="T964" i="1"/>
  <c r="N964" i="1"/>
  <c r="U963" i="1"/>
  <c r="T963" i="1"/>
  <c r="N963" i="1"/>
  <c r="U962" i="1"/>
  <c r="T962" i="1"/>
  <c r="N962" i="1" s="1"/>
  <c r="U961" i="1"/>
  <c r="T961" i="1"/>
  <c r="N961" i="1" s="1"/>
  <c r="U960" i="1"/>
  <c r="T960" i="1"/>
  <c r="N960" i="1"/>
  <c r="U959" i="1"/>
  <c r="T959" i="1"/>
  <c r="N959" i="1"/>
  <c r="U958" i="1"/>
  <c r="T958" i="1"/>
  <c r="N958" i="1" s="1"/>
  <c r="U957" i="1"/>
  <c r="T957" i="1"/>
  <c r="N957" i="1"/>
  <c r="U956" i="1"/>
  <c r="T956" i="1"/>
  <c r="N956" i="1"/>
  <c r="U955" i="1"/>
  <c r="T955" i="1"/>
  <c r="N955" i="1"/>
  <c r="U954" i="1"/>
  <c r="T954" i="1"/>
  <c r="N954" i="1"/>
  <c r="U953" i="1"/>
  <c r="T953" i="1"/>
  <c r="N953" i="1"/>
  <c r="U952" i="1"/>
  <c r="T952" i="1"/>
  <c r="N952" i="1"/>
  <c r="U951" i="1"/>
  <c r="T951" i="1"/>
  <c r="N951" i="1"/>
  <c r="U950" i="1"/>
  <c r="T950" i="1"/>
  <c r="N950" i="1"/>
  <c r="U949" i="1"/>
  <c r="T949" i="1"/>
  <c r="N949" i="1" s="1"/>
  <c r="U948" i="1"/>
  <c r="T948" i="1"/>
  <c r="N948" i="1"/>
  <c r="U947" i="1"/>
  <c r="T947" i="1"/>
  <c r="N947" i="1"/>
  <c r="U946" i="1"/>
  <c r="T946" i="1"/>
  <c r="N946" i="1"/>
  <c r="U945" i="1"/>
  <c r="T945" i="1"/>
  <c r="N945" i="1"/>
  <c r="U944" i="1"/>
  <c r="T944" i="1"/>
  <c r="N944" i="1"/>
  <c r="U943" i="1"/>
  <c r="T943" i="1"/>
  <c r="N943" i="1"/>
  <c r="U942" i="1"/>
  <c r="T942" i="1"/>
  <c r="N942" i="1"/>
  <c r="U941" i="1"/>
  <c r="T941" i="1"/>
  <c r="N941" i="1" s="1"/>
  <c r="U940" i="1"/>
  <c r="T940" i="1"/>
  <c r="N940" i="1"/>
  <c r="U939" i="1"/>
  <c r="T939" i="1"/>
  <c r="N939" i="1"/>
  <c r="U938" i="1"/>
  <c r="T938" i="1"/>
  <c r="N938" i="1" s="1"/>
  <c r="U937" i="1"/>
  <c r="T937" i="1"/>
  <c r="N937" i="1" s="1"/>
  <c r="U936" i="1"/>
  <c r="T936" i="1"/>
  <c r="N936" i="1"/>
  <c r="U935" i="1"/>
  <c r="T935" i="1"/>
  <c r="N935" i="1"/>
  <c r="U934" i="1"/>
  <c r="T934" i="1"/>
  <c r="N934" i="1"/>
  <c r="U933" i="1"/>
  <c r="T933" i="1"/>
  <c r="N933" i="1" s="1"/>
  <c r="U932" i="1"/>
  <c r="T932" i="1"/>
  <c r="N932" i="1"/>
  <c r="U931" i="1"/>
  <c r="T931" i="1"/>
  <c r="N931" i="1"/>
  <c r="U930" i="1"/>
  <c r="T930" i="1"/>
  <c r="N930" i="1"/>
  <c r="U929" i="1"/>
  <c r="T929" i="1"/>
  <c r="N929" i="1"/>
  <c r="U928" i="1"/>
  <c r="T928" i="1"/>
  <c r="N928" i="1"/>
  <c r="U927" i="1"/>
  <c r="T927" i="1"/>
  <c r="N927" i="1"/>
  <c r="U926" i="1"/>
  <c r="T926" i="1"/>
  <c r="N926" i="1"/>
  <c r="U925" i="1"/>
  <c r="T925" i="1"/>
  <c r="N925" i="1" s="1"/>
  <c r="U924" i="1"/>
  <c r="T924" i="1"/>
  <c r="N924" i="1"/>
  <c r="U923" i="1"/>
  <c r="T923" i="1"/>
  <c r="N923" i="1"/>
  <c r="U922" i="1"/>
  <c r="T922" i="1"/>
  <c r="N922" i="1" s="1"/>
  <c r="U921" i="1"/>
  <c r="T921" i="1"/>
  <c r="N921" i="1" s="1"/>
  <c r="U920" i="1"/>
  <c r="T920" i="1"/>
  <c r="N920" i="1"/>
  <c r="U919" i="1"/>
  <c r="T919" i="1"/>
  <c r="N919" i="1"/>
  <c r="U918" i="1"/>
  <c r="T918" i="1"/>
  <c r="N918" i="1"/>
  <c r="U917" i="1"/>
  <c r="T917" i="1"/>
  <c r="N917" i="1" s="1"/>
  <c r="U916" i="1"/>
  <c r="T916" i="1"/>
  <c r="N916" i="1"/>
  <c r="U915" i="1"/>
  <c r="T915" i="1"/>
  <c r="U914" i="1"/>
  <c r="T914" i="1"/>
  <c r="U913" i="1"/>
  <c r="T913" i="1"/>
  <c r="U912" i="1"/>
  <c r="T912" i="1"/>
  <c r="N912" i="1" s="1"/>
  <c r="U911" i="1"/>
  <c r="T911" i="1"/>
  <c r="U910" i="1"/>
  <c r="T910" i="1"/>
  <c r="U909" i="1"/>
  <c r="T909" i="1"/>
  <c r="U908" i="1"/>
  <c r="T908" i="1"/>
  <c r="N908" i="1" s="1"/>
  <c r="U907" i="1"/>
  <c r="T907" i="1"/>
  <c r="N907" i="1" s="1"/>
  <c r="U906" i="1"/>
  <c r="T906" i="1"/>
  <c r="N906" i="1" s="1"/>
  <c r="U905" i="1"/>
  <c r="T905" i="1"/>
  <c r="N905" i="1" s="1"/>
  <c r="U904" i="1"/>
  <c r="T904" i="1"/>
  <c r="U903" i="1"/>
  <c r="T903" i="1"/>
  <c r="U902" i="1"/>
  <c r="T902" i="1"/>
  <c r="U901" i="1"/>
  <c r="T901" i="1"/>
  <c r="N901" i="1" s="1"/>
  <c r="U900" i="1"/>
  <c r="T900" i="1"/>
  <c r="N900" i="1" s="1"/>
  <c r="U899" i="1"/>
  <c r="T899" i="1"/>
  <c r="U898" i="1"/>
  <c r="T898" i="1"/>
  <c r="N898" i="1" s="1"/>
  <c r="U897" i="1"/>
  <c r="T897" i="1"/>
  <c r="N897" i="1" s="1"/>
  <c r="U896" i="1"/>
  <c r="T896" i="1"/>
  <c r="U895" i="1"/>
  <c r="T895" i="1"/>
  <c r="U894" i="1"/>
  <c r="T894" i="1"/>
  <c r="U893" i="1"/>
  <c r="T893" i="1"/>
  <c r="U892" i="1"/>
  <c r="T892" i="1"/>
  <c r="U891" i="1"/>
  <c r="T891" i="1"/>
  <c r="N891" i="1" s="1"/>
  <c r="U890" i="1"/>
  <c r="T890" i="1"/>
  <c r="N890" i="1" s="1"/>
  <c r="U889" i="1"/>
  <c r="T889" i="1"/>
  <c r="N889" i="1" s="1"/>
  <c r="U888" i="1"/>
  <c r="T888" i="1"/>
  <c r="N888" i="1" s="1"/>
  <c r="U887" i="1"/>
  <c r="T887" i="1"/>
  <c r="U886" i="1"/>
  <c r="T886" i="1"/>
  <c r="U885" i="1"/>
  <c r="T885" i="1"/>
  <c r="U884" i="1"/>
  <c r="T884" i="1"/>
  <c r="N884" i="1" s="1"/>
  <c r="U883" i="1"/>
  <c r="T883" i="1"/>
  <c r="U882" i="1"/>
  <c r="T882" i="1"/>
  <c r="N882" i="1" s="1"/>
  <c r="U881" i="1"/>
  <c r="T881" i="1"/>
  <c r="N881" i="1" s="1"/>
  <c r="U880" i="1"/>
  <c r="T880" i="1"/>
  <c r="N880" i="1" s="1"/>
  <c r="N885" i="1"/>
  <c r="N883" i="1"/>
  <c r="U879" i="1"/>
  <c r="T879" i="1"/>
  <c r="U878" i="1"/>
  <c r="T878" i="1"/>
  <c r="N878" i="1" s="1"/>
  <c r="U877" i="1"/>
  <c r="T877" i="1"/>
  <c r="N877" i="1" s="1"/>
  <c r="U876" i="1"/>
  <c r="T876" i="1"/>
  <c r="N876" i="1" s="1"/>
  <c r="U875" i="1"/>
  <c r="T875" i="1"/>
  <c r="U874" i="1"/>
  <c r="T874" i="1"/>
  <c r="U873" i="1"/>
  <c r="T873" i="1"/>
  <c r="U872" i="1"/>
  <c r="T872" i="1"/>
  <c r="N872" i="1" s="1"/>
  <c r="U871" i="1"/>
  <c r="T871" i="1"/>
  <c r="N871" i="1" s="1"/>
  <c r="U870" i="1"/>
  <c r="T870" i="1"/>
  <c r="N870" i="1" s="1"/>
  <c r="U869" i="1"/>
  <c r="T869" i="1"/>
  <c r="U868" i="1"/>
  <c r="T868" i="1"/>
  <c r="N868" i="1" s="1"/>
  <c r="U867" i="1"/>
  <c r="T867" i="1"/>
  <c r="U866" i="1"/>
  <c r="T866" i="1"/>
  <c r="U865" i="1"/>
  <c r="T865" i="1"/>
  <c r="U864" i="1"/>
  <c r="T864" i="1"/>
  <c r="N864" i="1" s="1"/>
  <c r="U863" i="1"/>
  <c r="T863" i="1"/>
  <c r="N863" i="1" s="1"/>
  <c r="U862" i="1"/>
  <c r="T862" i="1"/>
  <c r="N862" i="1" s="1"/>
  <c r="N846" i="1"/>
  <c r="N844" i="1"/>
  <c r="N847" i="1"/>
  <c r="N848" i="1"/>
  <c r="N849" i="1"/>
  <c r="N850" i="1"/>
  <c r="N851" i="1"/>
  <c r="N852" i="1"/>
  <c r="N853" i="1"/>
  <c r="N854" i="1"/>
  <c r="N855" i="1"/>
  <c r="N856" i="1"/>
  <c r="N857" i="1"/>
  <c r="N858" i="1"/>
  <c r="N859" i="1"/>
  <c r="N860" i="1"/>
  <c r="N861" i="1"/>
  <c r="T854" i="1"/>
  <c r="U854" i="1"/>
  <c r="T855" i="1"/>
  <c r="U855" i="1"/>
  <c r="T856" i="1"/>
  <c r="U856" i="1"/>
  <c r="T857" i="1"/>
  <c r="U857" i="1"/>
  <c r="T858" i="1"/>
  <c r="U858" i="1"/>
  <c r="T859" i="1"/>
  <c r="U859" i="1"/>
  <c r="T860" i="1"/>
  <c r="U860" i="1"/>
  <c r="T861" i="1"/>
  <c r="U861" i="1"/>
  <c r="T853" i="1"/>
  <c r="U853" i="1"/>
  <c r="U845" i="1"/>
  <c r="U846" i="1"/>
  <c r="U847" i="1"/>
  <c r="U848" i="1"/>
  <c r="U849" i="1"/>
  <c r="U850" i="1"/>
  <c r="U851" i="1"/>
  <c r="U852" i="1"/>
  <c r="T845" i="1"/>
  <c r="T846" i="1"/>
  <c r="T847" i="1"/>
  <c r="T848" i="1"/>
  <c r="T849" i="1"/>
  <c r="T850" i="1"/>
  <c r="T851" i="1"/>
  <c r="T852" i="1"/>
  <c r="E844" i="1"/>
  <c r="N869" i="1"/>
  <c r="N865" i="1"/>
  <c r="N866" i="1"/>
  <c r="N867" i="1"/>
  <c r="N879" i="1"/>
  <c r="N873" i="1"/>
  <c r="N875" i="1"/>
  <c r="N887" i="1"/>
  <c r="N893" i="1"/>
  <c r="N894" i="1"/>
  <c r="N895" i="1"/>
  <c r="N896" i="1"/>
  <c r="N899" i="1"/>
  <c r="N902" i="1"/>
  <c r="N903" i="1"/>
  <c r="N909" i="1"/>
  <c r="N911" i="1"/>
  <c r="N913" i="1"/>
  <c r="N914" i="1"/>
  <c r="N915"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857" i="1"/>
  <c r="D858" i="1"/>
  <c r="D859" i="1"/>
  <c r="D860" i="1"/>
  <c r="D861" i="1"/>
  <c r="J987" i="1"/>
  <c r="I987" i="1"/>
  <c r="H987" i="1"/>
  <c r="G987" i="1"/>
  <c r="J986" i="1"/>
  <c r="I986" i="1"/>
  <c r="H986" i="1"/>
  <c r="G986" i="1"/>
  <c r="J985" i="1"/>
  <c r="I985" i="1"/>
  <c r="H985" i="1"/>
  <c r="G985" i="1"/>
  <c r="J984" i="1"/>
  <c r="I984" i="1"/>
  <c r="H984" i="1"/>
  <c r="G984" i="1"/>
  <c r="J983" i="1"/>
  <c r="I983" i="1"/>
  <c r="H983" i="1"/>
  <c r="G983" i="1"/>
  <c r="J982" i="1"/>
  <c r="I982" i="1"/>
  <c r="H982" i="1"/>
  <c r="G982" i="1"/>
  <c r="J981" i="1"/>
  <c r="I981" i="1"/>
  <c r="H981" i="1"/>
  <c r="G981" i="1"/>
  <c r="J980" i="1"/>
  <c r="I980" i="1"/>
  <c r="H980" i="1"/>
  <c r="G980" i="1"/>
  <c r="J979" i="1"/>
  <c r="I979" i="1"/>
  <c r="H979" i="1"/>
  <c r="G979" i="1"/>
  <c r="J978" i="1"/>
  <c r="I978" i="1"/>
  <c r="H978" i="1"/>
  <c r="G978" i="1"/>
  <c r="J977" i="1"/>
  <c r="I977" i="1"/>
  <c r="H977" i="1"/>
  <c r="G977" i="1"/>
  <c r="J976" i="1"/>
  <c r="I976" i="1"/>
  <c r="H976" i="1"/>
  <c r="G976" i="1"/>
  <c r="J975" i="1"/>
  <c r="I975" i="1"/>
  <c r="H975" i="1"/>
  <c r="G975" i="1"/>
  <c r="J974" i="1"/>
  <c r="I974" i="1"/>
  <c r="H974" i="1"/>
  <c r="G974" i="1"/>
  <c r="J973" i="1"/>
  <c r="I973" i="1"/>
  <c r="H973" i="1"/>
  <c r="G973" i="1"/>
  <c r="J972" i="1"/>
  <c r="I972" i="1"/>
  <c r="H972" i="1"/>
  <c r="G972" i="1"/>
  <c r="J971" i="1"/>
  <c r="I971" i="1"/>
  <c r="H971" i="1"/>
  <c r="G971" i="1"/>
  <c r="J970" i="1"/>
  <c r="I970" i="1"/>
  <c r="H970" i="1"/>
  <c r="G970" i="1"/>
  <c r="J969" i="1"/>
  <c r="I969" i="1"/>
  <c r="H969" i="1"/>
  <c r="G969" i="1"/>
  <c r="J968" i="1"/>
  <c r="I968" i="1"/>
  <c r="H968" i="1"/>
  <c r="G968" i="1"/>
  <c r="J967" i="1"/>
  <c r="I967" i="1"/>
  <c r="H967" i="1"/>
  <c r="G967" i="1"/>
  <c r="J966" i="1"/>
  <c r="I966" i="1"/>
  <c r="H966" i="1"/>
  <c r="G966" i="1"/>
  <c r="J965" i="1"/>
  <c r="I965" i="1"/>
  <c r="H965" i="1"/>
  <c r="G965" i="1"/>
  <c r="J964" i="1"/>
  <c r="I964" i="1"/>
  <c r="H964" i="1"/>
  <c r="G964" i="1"/>
  <c r="J963" i="1"/>
  <c r="I963" i="1"/>
  <c r="H963" i="1"/>
  <c r="G963" i="1"/>
  <c r="J962" i="1"/>
  <c r="I962" i="1"/>
  <c r="H962" i="1"/>
  <c r="G962" i="1"/>
  <c r="J961" i="1"/>
  <c r="I961" i="1"/>
  <c r="H961" i="1"/>
  <c r="G961" i="1"/>
  <c r="J960" i="1"/>
  <c r="I960" i="1"/>
  <c r="H960" i="1"/>
  <c r="G960" i="1"/>
  <c r="J959" i="1"/>
  <c r="I959" i="1"/>
  <c r="H959" i="1"/>
  <c r="G959" i="1"/>
  <c r="J958" i="1"/>
  <c r="I958" i="1"/>
  <c r="H958" i="1"/>
  <c r="G958" i="1"/>
  <c r="J957" i="1"/>
  <c r="I957" i="1"/>
  <c r="H957" i="1"/>
  <c r="G957" i="1"/>
  <c r="J956" i="1"/>
  <c r="I956" i="1"/>
  <c r="H956" i="1"/>
  <c r="G956" i="1"/>
  <c r="J955" i="1"/>
  <c r="I955" i="1"/>
  <c r="H955" i="1"/>
  <c r="G955" i="1"/>
  <c r="J954" i="1"/>
  <c r="I954" i="1"/>
  <c r="H954" i="1"/>
  <c r="G954" i="1"/>
  <c r="J953" i="1"/>
  <c r="I953" i="1"/>
  <c r="H953" i="1"/>
  <c r="G953" i="1"/>
  <c r="J952" i="1"/>
  <c r="I952" i="1"/>
  <c r="H952" i="1"/>
  <c r="G952" i="1"/>
  <c r="J951" i="1"/>
  <c r="I951" i="1"/>
  <c r="H951" i="1"/>
  <c r="G951" i="1"/>
  <c r="J950" i="1"/>
  <c r="I950" i="1"/>
  <c r="H950" i="1"/>
  <c r="G950" i="1"/>
  <c r="J949" i="1"/>
  <c r="I949" i="1"/>
  <c r="H949" i="1"/>
  <c r="G949" i="1"/>
  <c r="J948" i="1"/>
  <c r="I948" i="1"/>
  <c r="H948" i="1"/>
  <c r="G948" i="1"/>
  <c r="J947" i="1"/>
  <c r="I947" i="1"/>
  <c r="H947" i="1"/>
  <c r="G947" i="1"/>
  <c r="J946" i="1"/>
  <c r="I946" i="1"/>
  <c r="H946" i="1"/>
  <c r="G946" i="1"/>
  <c r="J945" i="1"/>
  <c r="I945" i="1"/>
  <c r="H945" i="1"/>
  <c r="G945" i="1"/>
  <c r="J944" i="1"/>
  <c r="I944" i="1"/>
  <c r="H944" i="1"/>
  <c r="G944" i="1"/>
  <c r="J943" i="1"/>
  <c r="I943" i="1"/>
  <c r="H943" i="1"/>
  <c r="G943" i="1"/>
  <c r="J942" i="1"/>
  <c r="I942" i="1"/>
  <c r="H942" i="1"/>
  <c r="G942" i="1"/>
  <c r="J941" i="1"/>
  <c r="I941" i="1"/>
  <c r="H941" i="1"/>
  <c r="G941" i="1"/>
  <c r="J940" i="1"/>
  <c r="I940" i="1"/>
  <c r="H940" i="1"/>
  <c r="G940" i="1"/>
  <c r="J939" i="1"/>
  <c r="I939" i="1"/>
  <c r="H939" i="1"/>
  <c r="G939" i="1"/>
  <c r="J938" i="1"/>
  <c r="I938" i="1"/>
  <c r="H938" i="1"/>
  <c r="G938" i="1"/>
  <c r="J937" i="1"/>
  <c r="I937" i="1"/>
  <c r="H937" i="1"/>
  <c r="G937" i="1"/>
  <c r="J936" i="1"/>
  <c r="I936" i="1"/>
  <c r="H936" i="1"/>
  <c r="G936" i="1"/>
  <c r="J935" i="1"/>
  <c r="I935" i="1"/>
  <c r="H935" i="1"/>
  <c r="G935" i="1"/>
  <c r="J934" i="1"/>
  <c r="I934" i="1"/>
  <c r="H934" i="1"/>
  <c r="G934" i="1"/>
  <c r="J933" i="1"/>
  <c r="I933" i="1"/>
  <c r="H933" i="1"/>
  <c r="G933" i="1"/>
  <c r="J932" i="1"/>
  <c r="I932" i="1"/>
  <c r="H932" i="1"/>
  <c r="G932" i="1"/>
  <c r="J931" i="1"/>
  <c r="I931" i="1"/>
  <c r="H931" i="1"/>
  <c r="G931" i="1"/>
  <c r="J930" i="1"/>
  <c r="I930" i="1"/>
  <c r="H930" i="1"/>
  <c r="G930" i="1"/>
  <c r="J929" i="1"/>
  <c r="I929" i="1"/>
  <c r="H929" i="1"/>
  <c r="G929" i="1"/>
  <c r="J928" i="1"/>
  <c r="I928" i="1"/>
  <c r="H928" i="1"/>
  <c r="G928" i="1"/>
  <c r="J927" i="1"/>
  <c r="I927" i="1"/>
  <c r="H927" i="1"/>
  <c r="G927" i="1"/>
  <c r="J926" i="1"/>
  <c r="I926" i="1"/>
  <c r="H926" i="1"/>
  <c r="G926" i="1"/>
  <c r="J925" i="1"/>
  <c r="I925" i="1"/>
  <c r="H925" i="1"/>
  <c r="G925" i="1"/>
  <c r="J924" i="1"/>
  <c r="I924" i="1"/>
  <c r="H924" i="1"/>
  <c r="G924" i="1"/>
  <c r="J923" i="1"/>
  <c r="I923" i="1"/>
  <c r="H923" i="1"/>
  <c r="G923" i="1"/>
  <c r="J922" i="1"/>
  <c r="I922" i="1"/>
  <c r="H922" i="1"/>
  <c r="G922" i="1"/>
  <c r="J921" i="1"/>
  <c r="I921" i="1"/>
  <c r="H921" i="1"/>
  <c r="G921" i="1"/>
  <c r="J920" i="1"/>
  <c r="I920" i="1"/>
  <c r="H920" i="1"/>
  <c r="G920" i="1"/>
  <c r="J919" i="1"/>
  <c r="I919" i="1"/>
  <c r="H919" i="1"/>
  <c r="G919" i="1"/>
  <c r="J918" i="1"/>
  <c r="I918" i="1"/>
  <c r="H918" i="1"/>
  <c r="G918" i="1"/>
  <c r="J917" i="1"/>
  <c r="I917" i="1"/>
  <c r="H917" i="1"/>
  <c r="G917" i="1"/>
  <c r="J916" i="1"/>
  <c r="I916" i="1"/>
  <c r="H916" i="1"/>
  <c r="G916" i="1"/>
  <c r="J915" i="1"/>
  <c r="I915" i="1"/>
  <c r="H915" i="1"/>
  <c r="G915" i="1"/>
  <c r="J914" i="1"/>
  <c r="I914" i="1"/>
  <c r="H914" i="1"/>
  <c r="G914" i="1"/>
  <c r="J913" i="1"/>
  <c r="I913" i="1"/>
  <c r="H913" i="1"/>
  <c r="G913" i="1"/>
  <c r="J912" i="1"/>
  <c r="I912" i="1"/>
  <c r="H912" i="1"/>
  <c r="G912" i="1"/>
  <c r="J911" i="1"/>
  <c r="I911" i="1"/>
  <c r="H911" i="1"/>
  <c r="G911" i="1"/>
  <c r="J910" i="1"/>
  <c r="I910" i="1"/>
  <c r="H910" i="1"/>
  <c r="G910" i="1"/>
  <c r="J909" i="1"/>
  <c r="I909" i="1"/>
  <c r="H909" i="1"/>
  <c r="G909" i="1"/>
  <c r="J908" i="1"/>
  <c r="I908" i="1"/>
  <c r="H908" i="1"/>
  <c r="G908" i="1"/>
  <c r="J907" i="1"/>
  <c r="I907" i="1"/>
  <c r="H907" i="1"/>
  <c r="G907" i="1"/>
  <c r="J906" i="1"/>
  <c r="I906" i="1"/>
  <c r="H906" i="1"/>
  <c r="G906" i="1"/>
  <c r="J905" i="1"/>
  <c r="I905" i="1"/>
  <c r="H905" i="1"/>
  <c r="G905" i="1"/>
  <c r="J904" i="1"/>
  <c r="I904" i="1"/>
  <c r="H904" i="1"/>
  <c r="G904" i="1"/>
  <c r="J903" i="1"/>
  <c r="I903" i="1"/>
  <c r="H903" i="1"/>
  <c r="G903" i="1"/>
  <c r="J902" i="1"/>
  <c r="I902" i="1"/>
  <c r="H902" i="1"/>
  <c r="G902" i="1"/>
  <c r="J901" i="1"/>
  <c r="I901" i="1"/>
  <c r="H901" i="1"/>
  <c r="G901" i="1"/>
  <c r="J900" i="1"/>
  <c r="I900" i="1"/>
  <c r="H900" i="1"/>
  <c r="G900" i="1"/>
  <c r="J899" i="1"/>
  <c r="I899" i="1"/>
  <c r="H899" i="1"/>
  <c r="G899" i="1"/>
  <c r="J898" i="1"/>
  <c r="I898" i="1"/>
  <c r="H898" i="1"/>
  <c r="G898" i="1"/>
  <c r="J897" i="1"/>
  <c r="I897" i="1"/>
  <c r="H897" i="1"/>
  <c r="G897" i="1"/>
  <c r="J896" i="1"/>
  <c r="I896" i="1"/>
  <c r="H896" i="1"/>
  <c r="G896" i="1"/>
  <c r="J895" i="1"/>
  <c r="I895" i="1"/>
  <c r="H895" i="1"/>
  <c r="G895" i="1"/>
  <c r="J894" i="1"/>
  <c r="I894" i="1"/>
  <c r="H894" i="1"/>
  <c r="G894" i="1"/>
  <c r="J893" i="1"/>
  <c r="I893" i="1"/>
  <c r="H893" i="1"/>
  <c r="G893" i="1"/>
  <c r="J892" i="1"/>
  <c r="I892" i="1"/>
  <c r="H892" i="1"/>
  <c r="G892" i="1"/>
  <c r="J891" i="1"/>
  <c r="I891" i="1"/>
  <c r="H891" i="1"/>
  <c r="G891" i="1"/>
  <c r="J890" i="1"/>
  <c r="I890" i="1"/>
  <c r="H890" i="1"/>
  <c r="G890" i="1"/>
  <c r="J889" i="1"/>
  <c r="I889" i="1"/>
  <c r="H889" i="1"/>
  <c r="G889" i="1"/>
  <c r="J888" i="1"/>
  <c r="I888" i="1"/>
  <c r="H888" i="1"/>
  <c r="G888" i="1"/>
  <c r="J887" i="1"/>
  <c r="I887" i="1"/>
  <c r="H887" i="1"/>
  <c r="G887" i="1"/>
  <c r="J886" i="1"/>
  <c r="I886" i="1"/>
  <c r="H886" i="1"/>
  <c r="G886" i="1"/>
  <c r="J885" i="1"/>
  <c r="I885" i="1"/>
  <c r="H885" i="1"/>
  <c r="G885" i="1"/>
  <c r="J884" i="1"/>
  <c r="I884" i="1"/>
  <c r="H884" i="1"/>
  <c r="G884" i="1"/>
  <c r="J883" i="1"/>
  <c r="I883" i="1"/>
  <c r="H883" i="1"/>
  <c r="G883" i="1"/>
  <c r="J882" i="1"/>
  <c r="I882" i="1"/>
  <c r="H882" i="1"/>
  <c r="G882" i="1"/>
  <c r="J881" i="1"/>
  <c r="I881" i="1"/>
  <c r="H881" i="1"/>
  <c r="G881" i="1"/>
  <c r="J880" i="1"/>
  <c r="I880" i="1"/>
  <c r="H880" i="1"/>
  <c r="G880" i="1"/>
  <c r="J879" i="1"/>
  <c r="I879" i="1"/>
  <c r="H879" i="1"/>
  <c r="G879" i="1"/>
  <c r="J878" i="1"/>
  <c r="I878" i="1"/>
  <c r="H878" i="1"/>
  <c r="G878" i="1"/>
  <c r="J877" i="1"/>
  <c r="I877" i="1"/>
  <c r="H877" i="1"/>
  <c r="G877" i="1"/>
  <c r="J876" i="1"/>
  <c r="I876" i="1"/>
  <c r="H876" i="1"/>
  <c r="G876" i="1"/>
  <c r="J875" i="1"/>
  <c r="I875" i="1"/>
  <c r="H875" i="1"/>
  <c r="G875" i="1"/>
  <c r="J874" i="1"/>
  <c r="I874" i="1"/>
  <c r="H874" i="1"/>
  <c r="G874" i="1"/>
  <c r="J873" i="1"/>
  <c r="I873" i="1"/>
  <c r="H873" i="1"/>
  <c r="G873" i="1"/>
  <c r="J872" i="1"/>
  <c r="I872" i="1"/>
  <c r="H872" i="1"/>
  <c r="G872" i="1"/>
  <c r="J871" i="1"/>
  <c r="I871" i="1"/>
  <c r="H871" i="1"/>
  <c r="G871" i="1"/>
  <c r="J870" i="1"/>
  <c r="I870" i="1"/>
  <c r="H870" i="1"/>
  <c r="G870" i="1"/>
  <c r="J869" i="1"/>
  <c r="I869" i="1"/>
  <c r="H869" i="1"/>
  <c r="G869" i="1"/>
  <c r="J868" i="1"/>
  <c r="I868" i="1"/>
  <c r="H868" i="1"/>
  <c r="G868" i="1"/>
  <c r="J867" i="1"/>
  <c r="I867" i="1"/>
  <c r="H867" i="1"/>
  <c r="G867" i="1"/>
  <c r="J866" i="1"/>
  <c r="I866" i="1"/>
  <c r="H866" i="1"/>
  <c r="G866" i="1"/>
  <c r="J865" i="1"/>
  <c r="I865" i="1"/>
  <c r="H865" i="1"/>
  <c r="G865" i="1"/>
  <c r="J864" i="1"/>
  <c r="I864" i="1"/>
  <c r="H864" i="1"/>
  <c r="G864" i="1"/>
  <c r="J863" i="1"/>
  <c r="I863" i="1"/>
  <c r="H863" i="1"/>
  <c r="G863" i="1"/>
  <c r="J862" i="1"/>
  <c r="I862" i="1"/>
  <c r="H862" i="1"/>
  <c r="G862" i="1"/>
  <c r="J861" i="1"/>
  <c r="I861" i="1"/>
  <c r="H861" i="1"/>
  <c r="G861" i="1"/>
  <c r="J860" i="1"/>
  <c r="I860" i="1"/>
  <c r="H860" i="1"/>
  <c r="G860" i="1"/>
  <c r="J859" i="1"/>
  <c r="I859" i="1"/>
  <c r="H859" i="1"/>
  <c r="G859" i="1"/>
  <c r="J858" i="1"/>
  <c r="I858" i="1"/>
  <c r="H858" i="1"/>
  <c r="G858" i="1"/>
  <c r="J857" i="1"/>
  <c r="I857" i="1"/>
  <c r="H857" i="1"/>
  <c r="G857" i="1"/>
  <c r="J856" i="1"/>
  <c r="I856" i="1"/>
  <c r="H856" i="1"/>
  <c r="G856" i="1"/>
  <c r="J851" i="1"/>
  <c r="J852" i="1"/>
  <c r="J853" i="1"/>
  <c r="J854" i="1"/>
  <c r="J855" i="1"/>
  <c r="I851" i="1"/>
  <c r="I852" i="1"/>
  <c r="I853" i="1"/>
  <c r="I854" i="1"/>
  <c r="I855" i="1"/>
  <c r="H851" i="1"/>
  <c r="H852" i="1"/>
  <c r="H853" i="1"/>
  <c r="H854" i="1"/>
  <c r="H855" i="1"/>
  <c r="G851" i="1"/>
  <c r="G852" i="1"/>
  <c r="G853" i="1"/>
  <c r="G854" i="1"/>
  <c r="G855" i="1"/>
  <c r="D851" i="1"/>
  <c r="D852" i="1"/>
  <c r="D853" i="1"/>
  <c r="D854" i="1"/>
  <c r="D855" i="1"/>
  <c r="G850" i="1"/>
  <c r="G845" i="1"/>
  <c r="G846" i="1"/>
  <c r="G847" i="1"/>
  <c r="G848" i="1"/>
  <c r="G849" i="1"/>
  <c r="G844" i="1"/>
  <c r="H845" i="1"/>
  <c r="I845" i="1"/>
  <c r="J845" i="1"/>
  <c r="H846" i="1"/>
  <c r="I846" i="1"/>
  <c r="J846" i="1"/>
  <c r="H847" i="1"/>
  <c r="I847" i="1"/>
  <c r="J847" i="1"/>
  <c r="H848" i="1"/>
  <c r="I848" i="1"/>
  <c r="J848" i="1"/>
  <c r="H849" i="1"/>
  <c r="I849" i="1"/>
  <c r="J849" i="1"/>
  <c r="H850" i="1"/>
  <c r="I850" i="1"/>
  <c r="J850" i="1"/>
  <c r="I844" i="1"/>
  <c r="J844" i="1"/>
  <c r="H844" i="1"/>
  <c r="N845" i="1"/>
  <c r="D845" i="1"/>
  <c r="D846" i="1"/>
  <c r="D847" i="1"/>
  <c r="D848" i="1"/>
  <c r="D849" i="1"/>
  <c r="D862" i="1"/>
  <c r="D850" i="1"/>
  <c r="D844" i="1"/>
  <c r="N874" i="1"/>
  <c r="N886" i="1"/>
  <c r="N892" i="1"/>
  <c r="N904" i="1"/>
  <c r="N910" i="1"/>
  <c r="U844" i="1"/>
  <c r="T844" i="1"/>
  <c r="D856" i="1"/>
  <c r="D843" i="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U697" i="1"/>
  <c r="T697" i="1"/>
  <c r="U696" i="1"/>
  <c r="T696" i="1"/>
  <c r="G707" i="1"/>
  <c r="G706" i="1"/>
  <c r="G705" i="1"/>
  <c r="G704" i="1"/>
  <c r="G703" i="1"/>
  <c r="G702" i="1"/>
  <c r="G701" i="1"/>
  <c r="G700" i="1"/>
  <c r="G699" i="1"/>
  <c r="G698" i="1"/>
  <c r="G697" i="1"/>
  <c r="G696" i="1"/>
  <c r="S701" i="1" l="1"/>
  <c r="N701" i="1" s="1"/>
  <c r="S698" i="1"/>
  <c r="N698"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7" i="1" l="1"/>
  <c r="N687" i="1" s="1"/>
  <c r="S695" i="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T380" i="1"/>
  <c r="S380" i="1" s="1"/>
  <c r="N380" i="1" s="1"/>
  <c r="T381" i="1"/>
  <c r="S381" i="1" s="1"/>
  <c r="N381" i="1" s="1"/>
  <c r="T382" i="1"/>
  <c r="T383" i="1"/>
  <c r="S383" i="1" s="1"/>
  <c r="N383" i="1" s="1"/>
  <c r="T384" i="1"/>
  <c r="S384" i="1" s="1"/>
  <c r="N384" i="1" s="1"/>
  <c r="T385" i="1"/>
  <c r="S385" i="1" s="1"/>
  <c r="N385" i="1" s="1"/>
  <c r="T386" i="1"/>
  <c r="T387" i="1"/>
  <c r="S387" i="1" s="1"/>
  <c r="N387" i="1" s="1"/>
  <c r="T388" i="1"/>
  <c r="T389" i="1"/>
  <c r="T390" i="1"/>
  <c r="T391" i="1"/>
  <c r="T392" i="1"/>
  <c r="T393" i="1"/>
  <c r="T394" i="1"/>
  <c r="T395" i="1"/>
  <c r="T396" i="1"/>
  <c r="T397" i="1"/>
  <c r="T398" i="1"/>
  <c r="S398" i="1" s="1"/>
  <c r="N398" i="1" s="1"/>
  <c r="T399" i="1"/>
  <c r="S399" i="1" s="1"/>
  <c r="N399" i="1" s="1"/>
  <c r="T400" i="1"/>
  <c r="S400" i="1" s="1"/>
  <c r="N400" i="1" s="1"/>
  <c r="T401" i="1"/>
  <c r="T402" i="1"/>
  <c r="S402" i="1" s="1"/>
  <c r="N402" i="1" s="1"/>
  <c r="T403" i="1"/>
  <c r="T404" i="1"/>
  <c r="T405" i="1"/>
  <c r="T406" i="1"/>
  <c r="T407" i="1"/>
  <c r="T408" i="1"/>
  <c r="T409" i="1"/>
  <c r="T410" i="1"/>
  <c r="T411" i="1"/>
  <c r="T412" i="1"/>
  <c r="T413" i="1"/>
  <c r="T414" i="1"/>
  <c r="T415" i="1"/>
  <c r="T416" i="1"/>
  <c r="T417" i="1"/>
  <c r="T418" i="1"/>
  <c r="S418" i="1" s="1"/>
  <c r="N418" i="1" s="1"/>
  <c r="T419" i="1"/>
  <c r="S419" i="1" s="1"/>
  <c r="N419" i="1" s="1"/>
  <c r="T420" i="1"/>
  <c r="T421" i="1"/>
  <c r="S421" i="1" s="1"/>
  <c r="N421" i="1" s="1"/>
  <c r="T422" i="1"/>
  <c r="S422" i="1" s="1"/>
  <c r="N422" i="1" s="1"/>
  <c r="T423" i="1"/>
  <c r="T424" i="1"/>
  <c r="T425" i="1"/>
  <c r="S425" i="1" s="1"/>
  <c r="N425" i="1" s="1"/>
  <c r="T426" i="1"/>
  <c r="T427" i="1"/>
  <c r="S427" i="1" s="1"/>
  <c r="N427" i="1" s="1"/>
  <c r="T428" i="1"/>
  <c r="T429" i="1"/>
  <c r="T430" i="1"/>
  <c r="T431" i="1"/>
  <c r="T432" i="1"/>
  <c r="T433" i="1"/>
  <c r="T434" i="1"/>
  <c r="T435" i="1"/>
  <c r="T436" i="1"/>
  <c r="T437" i="1"/>
  <c r="T438" i="1"/>
  <c r="T439" i="1"/>
  <c r="T440" i="1"/>
  <c r="T441" i="1"/>
  <c r="S441" i="1" s="1"/>
  <c r="N441" i="1" s="1"/>
  <c r="T442" i="1"/>
  <c r="S442" i="1" s="1"/>
  <c r="N442" i="1" s="1"/>
  <c r="T443" i="1"/>
  <c r="T444" i="1"/>
  <c r="T445" i="1"/>
  <c r="S445" i="1" s="1"/>
  <c r="N445" i="1" s="1"/>
  <c r="T446" i="1"/>
  <c r="T447" i="1"/>
  <c r="T448" i="1"/>
  <c r="S448" i="1" s="1"/>
  <c r="N448" i="1" s="1"/>
  <c r="T449" i="1"/>
  <c r="T450" i="1"/>
  <c r="T451" i="1"/>
  <c r="T452" i="1"/>
  <c r="T453" i="1"/>
  <c r="T454" i="1"/>
  <c r="T455" i="1"/>
  <c r="T456" i="1"/>
  <c r="T457" i="1"/>
  <c r="T458" i="1"/>
  <c r="S458" i="1" s="1"/>
  <c r="N458" i="1" s="1"/>
  <c r="T459" i="1"/>
  <c r="S459" i="1" s="1"/>
  <c r="N459" i="1" s="1"/>
  <c r="T460" i="1"/>
  <c r="T461" i="1"/>
  <c r="S461" i="1" s="1"/>
  <c r="N461" i="1" s="1"/>
  <c r="T462" i="1"/>
  <c r="S462" i="1" s="1"/>
  <c r="N462" i="1" s="1"/>
  <c r="T463" i="1"/>
  <c r="S463" i="1" s="1"/>
  <c r="N463" i="1" s="1"/>
  <c r="T464" i="1"/>
  <c r="S464" i="1" s="1"/>
  <c r="N464" i="1" s="1"/>
  <c r="T465" i="1"/>
  <c r="T466" i="1"/>
  <c r="T467" i="1"/>
  <c r="S467" i="1" s="1"/>
  <c r="N467" i="1" s="1"/>
  <c r="T468" i="1"/>
  <c r="T469" i="1"/>
  <c r="T470" i="1"/>
  <c r="T471" i="1"/>
  <c r="T472" i="1"/>
  <c r="T473" i="1"/>
  <c r="T474" i="1"/>
  <c r="T475" i="1"/>
  <c r="T476" i="1"/>
  <c r="T477" i="1"/>
  <c r="T478" i="1"/>
  <c r="S478" i="1" s="1"/>
  <c r="N478" i="1" s="1"/>
  <c r="T479" i="1"/>
  <c r="S479" i="1" s="1"/>
  <c r="N479" i="1" s="1"/>
  <c r="T480" i="1"/>
  <c r="S480" i="1" s="1"/>
  <c r="N480" i="1" s="1"/>
  <c r="T481" i="1"/>
  <c r="S481" i="1" s="1"/>
  <c r="N481" i="1" s="1"/>
  <c r="T482" i="1"/>
  <c r="T483" i="1"/>
  <c r="T484" i="1"/>
  <c r="S484" i="1" s="1"/>
  <c r="N484" i="1" s="1"/>
  <c r="T485" i="1"/>
  <c r="T486" i="1"/>
  <c r="T487" i="1"/>
  <c r="T488" i="1"/>
  <c r="T489" i="1"/>
  <c r="T490" i="1"/>
  <c r="T491" i="1"/>
  <c r="T492" i="1"/>
  <c r="T493" i="1"/>
  <c r="T494" i="1"/>
  <c r="T495" i="1"/>
  <c r="T496" i="1"/>
  <c r="T497" i="1"/>
  <c r="T498" i="1"/>
  <c r="S498" i="1" s="1"/>
  <c r="N498" i="1" s="1"/>
  <c r="T499" i="1"/>
  <c r="T500" i="1"/>
  <c r="T501" i="1"/>
  <c r="S501" i="1" s="1"/>
  <c r="N501" i="1" s="1"/>
  <c r="T502" i="1"/>
  <c r="T503" i="1"/>
  <c r="T504" i="1"/>
  <c r="T505" i="1"/>
  <c r="T506" i="1"/>
  <c r="T507" i="1"/>
  <c r="S507" i="1" s="1"/>
  <c r="N507" i="1" s="1"/>
  <c r="T508" i="1"/>
  <c r="T509" i="1"/>
  <c r="T510" i="1"/>
  <c r="T511" i="1"/>
  <c r="T512" i="1"/>
  <c r="T513" i="1"/>
  <c r="T514" i="1"/>
  <c r="T515" i="1"/>
  <c r="T516" i="1"/>
  <c r="T517" i="1"/>
  <c r="T518" i="1"/>
  <c r="S518" i="1" s="1"/>
  <c r="N518" i="1" s="1"/>
  <c r="T519" i="1"/>
  <c r="T520" i="1"/>
  <c r="T521" i="1"/>
  <c r="T522" i="1"/>
  <c r="S522" i="1" s="1"/>
  <c r="N522" i="1" s="1"/>
  <c r="T523" i="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T548" i="1"/>
  <c r="T549" i="1"/>
  <c r="T550" i="1"/>
  <c r="T551" i="1"/>
  <c r="T552" i="1"/>
  <c r="T553" i="1"/>
  <c r="T554" i="1"/>
  <c r="T555" i="1"/>
  <c r="T556" i="1"/>
  <c r="T557" i="1"/>
  <c r="T558" i="1"/>
  <c r="S558" i="1" s="1"/>
  <c r="N558" i="1" s="1"/>
  <c r="T559" i="1"/>
  <c r="S559" i="1" s="1"/>
  <c r="N559" i="1" s="1"/>
  <c r="T560" i="1"/>
  <c r="S560" i="1" s="1"/>
  <c r="N560" i="1" s="1"/>
  <c r="T561" i="1"/>
  <c r="S561" i="1" s="1"/>
  <c r="N561" i="1" s="1"/>
  <c r="T562" i="1"/>
  <c r="T563" i="1"/>
  <c r="T564" i="1"/>
  <c r="T565" i="1"/>
  <c r="T566" i="1"/>
  <c r="T567" i="1"/>
  <c r="S567" i="1" s="1"/>
  <c r="N567" i="1" s="1"/>
  <c r="T568" i="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T585" i="1"/>
  <c r="S585" i="1" s="1"/>
  <c r="N585" i="1" s="1"/>
  <c r="T586" i="1"/>
  <c r="T587" i="1"/>
  <c r="S587" i="1" s="1"/>
  <c r="N587" i="1" s="1"/>
  <c r="T588" i="1"/>
  <c r="T589" i="1"/>
  <c r="T590" i="1"/>
  <c r="T591" i="1"/>
  <c r="T592" i="1"/>
  <c r="T593" i="1"/>
  <c r="T594" i="1"/>
  <c r="T595" i="1"/>
  <c r="T596" i="1"/>
  <c r="T597" i="1"/>
  <c r="T598" i="1"/>
  <c r="S598" i="1" s="1"/>
  <c r="N598" i="1" s="1"/>
  <c r="T599" i="1"/>
  <c r="S599" i="1" s="1"/>
  <c r="N599" i="1" s="1"/>
  <c r="T600" i="1"/>
  <c r="T601" i="1"/>
  <c r="S601" i="1" s="1"/>
  <c r="N601" i="1" s="1"/>
  <c r="T602" i="1"/>
  <c r="S602" i="1" s="1"/>
  <c r="N602" i="1" s="1"/>
  <c r="T603" i="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T639" i="1"/>
  <c r="S639" i="1" s="1"/>
  <c r="N639" i="1" s="1"/>
  <c r="T640" i="1"/>
  <c r="S640" i="1" s="1"/>
  <c r="N640" i="1" s="1"/>
  <c r="T641" i="1"/>
  <c r="T642" i="1"/>
  <c r="S642" i="1" s="1"/>
  <c r="N642" i="1" s="1"/>
  <c r="T643" i="1"/>
  <c r="S643" i="1" s="1"/>
  <c r="N643" i="1" s="1"/>
  <c r="T644" i="1"/>
  <c r="S644" i="1" s="1"/>
  <c r="N644" i="1" s="1"/>
  <c r="T645" i="1"/>
  <c r="S645" i="1" s="1"/>
  <c r="N645" i="1" s="1"/>
  <c r="T646" i="1"/>
  <c r="T647" i="1"/>
  <c r="S647" i="1" s="1"/>
  <c r="N647" i="1" s="1"/>
  <c r="T648" i="1"/>
  <c r="T649" i="1"/>
  <c r="T650" i="1"/>
  <c r="T651" i="1"/>
  <c r="T652" i="1"/>
  <c r="T653" i="1"/>
  <c r="T654" i="1"/>
  <c r="T655" i="1"/>
  <c r="T656" i="1"/>
  <c r="T657" i="1"/>
  <c r="T658" i="1"/>
  <c r="T659" i="1"/>
  <c r="S659" i="1" s="1"/>
  <c r="N659" i="1" s="1"/>
  <c r="T660" i="1"/>
  <c r="S660" i="1" s="1"/>
  <c r="N660" i="1" s="1"/>
  <c r="T661" i="1"/>
  <c r="T662" i="1"/>
  <c r="S662" i="1" s="1"/>
  <c r="N662" i="1" s="1"/>
  <c r="T663" i="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438" i="1" l="1"/>
  <c r="N438" i="1" s="1"/>
  <c r="S663" i="1"/>
  <c r="N663" i="1" s="1"/>
  <c r="S588" i="1"/>
  <c r="N588" i="1" s="1"/>
  <c r="S439" i="1"/>
  <c r="N439" i="1" s="1"/>
  <c r="S641" i="1"/>
  <c r="N641" i="1" s="1"/>
  <c r="S521" i="1"/>
  <c r="N521" i="1" s="1"/>
  <c r="S403" i="1"/>
  <c r="N403" i="1" s="1"/>
  <c r="S420" i="1"/>
  <c r="N420" i="1" s="1"/>
  <c r="S407" i="1"/>
  <c r="N407" i="1" s="1"/>
  <c r="S388" i="1"/>
  <c r="N388" i="1" s="1"/>
  <c r="S661" i="1"/>
  <c r="N661" i="1" s="1"/>
  <c r="S404" i="1"/>
  <c r="N404" i="1" s="1"/>
  <c r="S658" i="1"/>
  <c r="N658" i="1" s="1"/>
  <c r="S379" i="1"/>
  <c r="N379" i="1" s="1"/>
  <c r="S523" i="1"/>
  <c r="N523" i="1" s="1"/>
  <c r="S405" i="1"/>
  <c r="N405" i="1" s="1"/>
  <c r="S499" i="1"/>
  <c r="N499" i="1" s="1"/>
  <c r="S500" i="1"/>
  <c r="N500" i="1" s="1"/>
  <c r="S482" i="1"/>
  <c r="N482" i="1" s="1"/>
  <c r="S565" i="1"/>
  <c r="N565" i="1" s="1"/>
  <c r="S548" i="1"/>
  <c r="N548" i="1" s="1"/>
  <c r="S547" i="1"/>
  <c r="N547" i="1" s="1"/>
  <c r="S503" i="1"/>
  <c r="N503" i="1" s="1"/>
  <c r="S488" i="1"/>
  <c r="N488" i="1" s="1"/>
  <c r="S504" i="1"/>
  <c r="N504" i="1" s="1"/>
  <c r="S562" i="1"/>
  <c r="N562" i="1" s="1"/>
  <c r="S460" i="1"/>
  <c r="N460" i="1" s="1"/>
  <c r="S502" i="1"/>
  <c r="N502" i="1" s="1"/>
  <c r="S428" i="1"/>
  <c r="N428" i="1" s="1"/>
  <c r="S520" i="1"/>
  <c r="N520" i="1" s="1"/>
  <c r="S568" i="1"/>
  <c r="N568" i="1" s="1"/>
  <c r="S603" i="1"/>
  <c r="N603" i="1" s="1"/>
  <c r="S584" i="1"/>
  <c r="N584" i="1" s="1"/>
  <c r="S447" i="1"/>
  <c r="N447" i="1" s="1"/>
  <c r="S485" i="1"/>
  <c r="N485" i="1" s="1"/>
  <c r="S468" i="1"/>
  <c r="N468" i="1" s="1"/>
  <c r="S382" i="1"/>
  <c r="N382" i="1" s="1"/>
  <c r="S508" i="1"/>
  <c r="N508" i="1" s="1"/>
  <c r="S408" i="1"/>
  <c r="N408" i="1" s="1"/>
  <c r="S443" i="1"/>
  <c r="N443" i="1" s="1"/>
  <c r="S600" i="1"/>
  <c r="N600" i="1" s="1"/>
  <c r="S440" i="1"/>
  <c r="N440" i="1" s="1"/>
  <c r="S423" i="1"/>
  <c r="N423" i="1" s="1"/>
  <c r="S465" i="1"/>
  <c r="N465" i="1" s="1"/>
  <c r="S638" i="1"/>
  <c r="N638" i="1" s="1"/>
  <c r="S401" i="1"/>
  <c r="N401" i="1" s="1"/>
  <c r="S648" i="1"/>
  <c r="N648"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<sst xmlns="http://schemas.openxmlformats.org/spreadsheetml/2006/main" count="80271" uniqueCount="10772">
  <si>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</si>
  <si>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</si>
  <si>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</si>
  <si>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</si>
  <si>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</si>
  <si>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</si>
  <si>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</si>
  <si>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</si>
  <si>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</si>
  <si>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</si>
  <si>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</si>
  <si>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</si>
  <si>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</si>
  <si>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</si>
  <si>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</si>
  <si>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</si>
  <si>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</si>
  <si>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</si>
  <si>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</si>
  <si>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</si>
  <si>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</si>
  <si>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</si>
  <si>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</si>
  <si>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</si>
  <si>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</si>
  <si>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</si>
  <si>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</si>
  <si>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</si>
  <si>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</si>
  <si>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</si>
  <si>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</si>
  <si>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</si>
  <si>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</si>
  <si>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</si>
  <si>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</si>
  <si>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</si>
  <si>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</si>
  <si>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</si>
  <si>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</si>
  <si>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</si>
  <si>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</si>
  <si>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</si>
  <si>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</si>
  <si>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</si>
  <si>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</si>
  <si>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</si>
  <si>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</si>
  <si>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</si>
  <si>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</si>
  <si>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</si>
  <si>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</si>
  <si>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</si>
  <si>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</si>
  <si>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</si>
  <si>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</si>
  <si>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</si>
  <si>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</si>
  <si>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</si>
  <si>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</si>
  <si>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</si>
  <si>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</si>
  <si>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</si>
  <si>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</si>
  <si>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</si>
  <si>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</si>
  <si>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</si>
  <si>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</si>
  <si>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</si>
  <si>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</si>
  <si>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</si>
  <si>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</si>
  <si>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</si>
  <si>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</si>
  <si>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</si>
  <si>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</si>
  <si>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</si>
  <si>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</si>
  <si>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</si>
  <si>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</si>
  <si>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</si>
  <si>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</si>
  <si>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</si>
  <si>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</si>
  <si>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</si>
  <si>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</si>
  <si>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</si>
  <si>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</si>
  <si>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</si>
  <si>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</si>
  <si>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</si>
  <si>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</si>
  <si>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</si>
  <si>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</si>
  <si>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</si>
  <si>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</si>
  <si>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</si>
  <si>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</si>
  <si>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</si>
  <si>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</si>
  <si>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</si>
  <si>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</si>
  <si>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</si>
  <si>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</si>
  <si>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</si>
  <si>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</si>
  <si>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</si>
  <si>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</si>
  <si>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</si>
  <si>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</si>
  <si>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</si>
  <si>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</si>
  <si>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</si>
  <si>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</si>
  <si>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</si>
  <si>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</si>
  <si>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</si>
  <si>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</si>
  <si>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</si>
  <si>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</si>
  <si>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</si>
  <si>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</si>
  <si>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</si>
  <si>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</si>
  <si>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</si>
  <si>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</si>
  <si>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</si>
  <si>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</si>
  <si>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</si>
  <si>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</si>
  <si>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</si>
  <si>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</si>
  <si>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</si>
  <si>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</si>
  <si>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</si>
  <si>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</si>
  <si>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</si>
  <si>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</si>
  <si>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</si>
  <si>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</si>
  <si>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</si>
  <si>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</si>
  <si>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</si>
  <si>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</si>
  <si>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</si>
  <si>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</si>
  <si>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</si>
  <si>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</si>
  <si>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</si>
  <si>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</si>
  <si>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</si>
  <si>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</si>
  <si>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</si>
  <si>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</si>
  <si>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</si>
  <si>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</si>
  <si>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</si>
  <si>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</si>
  <si>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</si>
  <si>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</si>
  <si>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</si>
  <si>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</si>
  <si>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</si>
  <si>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</si>
  <si>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</si>
  <si>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</si>
  <si>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</si>
  <si>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</si>
  <si>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</si>
  <si>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</si>
  <si>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</si>
  <si>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</si>
  <si>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</si>
  <si>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</si>
  <si>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</si>
  <si>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</si>
  <si>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</si>
  <si>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</si>
  <si>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</si>
  <si>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</si>
  <si>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</si>
  <si>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</si>
  <si>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</si>
  <si>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</si>
  <si>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</si>
  <si>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</si>
  <si>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</si>
  <si>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</si>
  <si>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</si>
  <si>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</si>
  <si>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</si>
  <si>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</si>
  <si>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</si>
  <si>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</si>
  <si>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</si>
  <si>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</si>
  <si>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</si>
  <si>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</si>
  <si>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</si>
  <si>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</si>
  <si>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</si>
  <si>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</si>
  <si>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</si>
  <si>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</si>
  <si>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</si>
  <si>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</si>
  <si>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</si>
  <si>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</si>
  <si>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</si>
  <si>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</si>
  <si>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</si>
  <si>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</si>
  <si>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</si>
  <si>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</si>
  <si>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</si>
  <si>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</si>
  <si>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</si>
  <si>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</si>
  <si>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</si>
  <si>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</si>
  <si>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</si>
  <si>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</si>
  <si>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</si>
  <si>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</si>
  <si>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</si>
  <si>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</si>
  <si>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</si>
  <si>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</si>
  <si>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</si>
  <si>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</si>
  <si>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</si>
  <si>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</si>
  <si>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</si>
  <si>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</si>
  <si>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</si>
  <si>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</si>
  <si>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</si>
  <si>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</si>
  <si>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</si>
  <si>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</si>
  <si>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</si>
  <si>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</si>
  <si>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</si>
  <si>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</si>
  <si>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</si>
  <si>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</si>
  <si>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</si>
  <si>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</si>
  <si>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</si>
  <si>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</si>
  <si>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</si>
  <si>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</si>
  <si>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</si>
  <si>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</si>
  <si>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</si>
  <si>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</si>
  <si>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</si>
  <si>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</si>
  <si>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</si>
  <si>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</si>
  <si>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</si>
  <si>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</si>
  <si>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</si>
  <si>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</si>
  <si>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</si>
  <si>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</si>
  <si>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</si>
  <si>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</si>
  <si>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</si>
  <si>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</si>
  <si>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</si>
  <si>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</si>
  <si>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</si>
  <si>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</si>
  <si>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</si>
  <si>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</si>
  <si>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</si>
  <si>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</si>
  <si>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</si>
  <si>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</si>
  <si>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</si>
  <si>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</si>
  <si>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</si>
  <si>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</si>
  <si>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</si>
  <si>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</si>
  <si>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</si>
  <si>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</si>
  <si>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</si>
  <si>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</si>
  <si>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</si>
  <si>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</si>
  <si>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</si>
  <si>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</si>
  <si>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</si>
  <si>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</si>
  <si>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</si>
  <si>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</si>
  <si>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</si>
  <si>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</si>
  <si>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</si>
  <si>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</si>
  <si>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</si>
  <si>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</si>
  <si>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</si>
  <si>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</si>
  <si>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</si>
  <si>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</si>
  <si>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</si>
  <si>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</si>
  <si>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</si>
  <si>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</si>
  <si>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</si>
  <si>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</si>
  <si>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</si>
  <si>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</si>
  <si>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</si>
  <si>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</si>
  <si>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</si>
  <si>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</si>
  <si>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</si>
  <si>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</si>
  <si>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</si>
  <si>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</si>
  <si>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</si>
  <si>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</si>
  <si>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</si>
  <si>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</si>
  <si>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</si>
  <si>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</si>
  <si>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</si>
  <si>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</si>
  <si>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</si>
  <si>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</si>
  <si>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</si>
  <si>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</si>
  <si>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</si>
  <si>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</si>
  <si>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</si>
  <si>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</si>
  <si>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</si>
  <si>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</si>
  <si>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</si>
  <si>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</si>
  <si>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</si>
  <si>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</si>
  <si>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</si>
  <si>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</si>
  <si>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</si>
  <si>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</si>
  <si>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</si>
  <si>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</si>
  <si>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</si>
  <si>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</si>
  <si>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</si>
  <si>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</si>
  <si>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</si>
  <si>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</si>
  <si>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</si>
  <si>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</si>
  <si>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</si>
  <si>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</si>
  <si>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</si>
  <si>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</si>
  <si>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</si>
  <si>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</si>
  <si>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</si>
  <si>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</si>
  <si>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</si>
  <si>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</si>
  <si>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</si>
  <si>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</si>
  <si>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</si>
  <si>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</si>
  <si>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</si>
  <si>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</si>
  <si>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</si>
  <si>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</si>
  <si>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</si>
  <si>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</si>
  <si>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</si>
  <si>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</si>
  <si>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</si>
  <si>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</si>
  <si>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</si>
  <si>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</si>
  <si>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</si>
  <si>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</si>
  <si>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</si>
  <si>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</si>
  <si>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</si>
  <si>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</si>
  <si>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</si>
  <si>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</si>
  <si>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</si>
  <si>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</si>
  <si>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</si>
  <si>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</si>
  <si>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</si>
  <si>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</si>
  <si>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</si>
  <si>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</si>
  <si>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</si>
  <si>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</si>
  <si>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</si>
  <si>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</si>
  <si>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</si>
  <si>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</si>
  <si>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</si>
  <si>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</si>
  <si>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</si>
  <si>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</si>
  <si>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</si>
  <si>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</si>
  <si>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</si>
  <si>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</si>
  <si>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</si>
  <si>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</si>
  <si>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</si>
  <si>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</si>
  <si>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</si>
  <si>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</si>
  <si>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</si>
  <si>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</si>
  <si>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</si>
  <si>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</si>
  <si>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</si>
  <si>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</si>
  <si>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</si>
  <si>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</si>
  <si>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</si>
  <si>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</si>
  <si>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</si>
  <si>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</si>
  <si>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</si>
  <si>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</si>
  <si>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</si>
  <si>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</si>
  <si>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</si>
  <si>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</si>
  <si>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</si>
  <si>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</si>
  <si>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</si>
  <si>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</si>
  <si>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</si>
  <si>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</si>
  <si>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</si>
  <si>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</si>
  <si>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</si>
  <si>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</si>
  <si>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</si>
  <si>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</si>
  <si>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</si>
  <si>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</si>
  <si>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</si>
  <si>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</si>
  <si>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</si>
  <si>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</si>
  <si>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</si>
  <si>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</si>
  <si>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</si>
  <si>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</si>
  <si>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</si>
  <si>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</si>
  <si>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</si>
  <si>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</si>
  <si>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</si>
  <si>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</si>
  <si>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</si>
  <si>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</si>
  <si>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</si>
  <si>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</si>
  <si>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</si>
  <si>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</si>
  <si>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</si>
  <si>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</si>
  <si>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</si>
  <si>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</si>
  <si>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</si>
  <si>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</si>
  <si>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</si>
  <si>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</si>
  <si>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</si>
  <si>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</si>
  <si>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</si>
  <si>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</si>
  <si>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</si>
  <si>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</si>
  <si>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</si>
  <si>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</si>
  <si>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</si>
  <si>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</si>
  <si>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</si>
  <si>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</si>
  <si>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</si>
  <si>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</si>
  <si>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</si>
  <si>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</si>
  <si>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</si>
  <si>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</si>
  <si>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</si>
  <si>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</si>
  <si>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</si>
  <si>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</si>
  <si>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</si>
  <si>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</si>
  <si>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</si>
  <si>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</si>
  <si>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</si>
  <si>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</si>
  <si>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</si>
  <si>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</si>
  <si>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</si>
  <si>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</si>
  <si>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</si>
  <si>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</si>
  <si>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</si>
  <si>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</si>
  <si>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</si>
  <si>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</si>
  <si>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</si>
  <si>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</si>
  <si>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</si>
  <si>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</si>
  <si>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</si>
  <si>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</si>
  <si>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</si>
  <si>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</si>
  <si>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</si>
  <si>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</si>
  <si>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</si>
  <si>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</si>
  <si>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</si>
  <si>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</si>
  <si>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</si>
  <si>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</si>
  <si>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</si>
  <si>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</si>
  <si>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</si>
  <si>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</si>
  <si>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</si>
  <si>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</si>
  <si>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</si>
  <si>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</si>
  <si>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</si>
  <si>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</si>
  <si>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</si>
  <si>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</si>
  <si>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</si>
  <si>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</si>
  <si>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</si>
  <si>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</si>
  <si>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</si>
  <si>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</si>
  <si>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</si>
  <si>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</si>
  <si>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</si>
  <si>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</si>
  <si>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</si>
  <si>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</si>
  <si>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</si>
  <si>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</si>
  <si>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</si>
  <si>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</si>
  <si>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</si>
  <si>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</si>
  <si>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</si>
  <si>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</si>
  <si>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</si>
  <si>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</si>
  <si>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</si>
  <si>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</si>
  <si>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</si>
  <si>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</si>
  <si>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</si>
  <si>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</si>
  <si>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</si>
  <si>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</si>
  <si>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</si>
  <si>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</si>
  <si>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</si>
  <si>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</si>
  <si>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</si>
  <si>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</si>
  <si>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</si>
  <si>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</si>
  <si>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</si>
  <si>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</si>
  <si>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</si>
  <si>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</si>
  <si>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</si>
  <si>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</si>
  <si>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</si>
  <si>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</si>
  <si>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</si>
  <si>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</si>
  <si>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</si>
  <si>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</si>
  <si>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</si>
  <si>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</si>
  <si>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</si>
  <si>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</si>
  <si>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</si>
  <si>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</si>
  <si>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</si>
  <si>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</si>
  <si>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</si>
  <si>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</si>
  <si>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</si>
  <si>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</si>
  <si>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</si>
  <si>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</si>
  <si>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</si>
  <si>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</si>
  <si>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</si>
  <si>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</si>
  <si>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</si>
  <si>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</si>
  <si>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</si>
  <si>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</si>
  <si>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</si>
  <si>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</si>
  <si>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</si>
  <si>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</si>
  <si>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</si>
  <si>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</si>
  <si>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</si>
  <si>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</si>
  <si>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</si>
  <si>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</si>
  <si>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</si>
  <si>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</si>
  <si>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</si>
  <si>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</si>
  <si>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</si>
  <si>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</si>
  <si>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</si>
  <si>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</si>
  <si>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</si>
  <si>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</si>
  <si>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</si>
  <si>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</si>
  <si>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</si>
  <si>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</si>
  <si>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</si>
  <si>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</si>
  <si>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</si>
  <si>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</si>
  <si>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</si>
  <si>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</si>
  <si>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</si>
  <si>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</si>
  <si>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</si>
  <si>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</si>
  <si>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</si>
  <si>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</si>
  <si>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</si>
  <si>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</si>
  <si>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</si>
  <si>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</si>
  <si>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</si>
  <si>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</si>
  <si>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</si>
  <si>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</si>
  <si>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</si>
  <si>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</si>
  <si>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</si>
  <si>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</si>
  <si>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</si>
  <si>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</si>
  <si>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</si>
  <si>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</si>
  <si>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</si>
  <si>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</si>
  <si>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</si>
  <si>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</si>
  <si>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</si>
  <si>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</si>
  <si>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</si>
  <si>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</si>
  <si>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</si>
  <si>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</si>
  <si>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</si>
  <si>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</si>
  <si>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</si>
  <si>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</si>
  <si>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</si>
  <si>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</si>
  <si>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</si>
  <si>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</si>
  <si>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</si>
  <si>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</si>
  <si>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</si>
  <si>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</si>
  <si>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</si>
  <si>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</si>
  <si>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</si>
  <si>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</si>
  <si>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</si>
  <si>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</si>
  <si>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</si>
  <si>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</si>
  <si>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</si>
  <si>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</si>
  <si>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</si>
  <si>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</si>
  <si>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</si>
  <si>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</si>
  <si>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</si>
  <si>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</si>
  <si>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</si>
  <si>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</si>
  <si>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</si>
  <si>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</si>
  <si>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</si>
  <si>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</si>
  <si>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</si>
  <si>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</si>
  <si>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</si>
  <si>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</si>
  <si>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</si>
  <si>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</si>
  <si>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</si>
  <si>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</si>
  <si>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</si>
  <si>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</si>
  <si>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</si>
  <si>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</si>
  <si>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</si>
  <si>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</si>
  <si>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</si>
  <si>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</si>
  <si>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</si>
  <si>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</si>
  <si>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</si>
  <si>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</si>
  <si>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</si>
  <si>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</si>
  <si>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</si>
  <si>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</si>
  <si>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</si>
  <si>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</si>
  <si>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</si>
  <si>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</si>
  <si>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</si>
  <si>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</si>
  <si>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</si>
  <si>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</si>
  <si>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</si>
  <si>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</si>
  <si>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</si>
  <si>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</si>
  <si>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</si>
  <si>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</si>
  <si>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</si>
  <si>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</si>
  <si>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</si>
  <si>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</si>
  <si>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</si>
  <si>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</si>
  <si>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</si>
  <si>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</si>
  <si>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</si>
  <si>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</si>
  <si>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</si>
  <si>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</si>
  <si>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</si>
  <si>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</si>
  <si>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</si>
  <si>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</si>
  <si>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</si>
  <si>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</si>
  <si>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</si>
  <si>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</si>
  <si>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</si>
  <si>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</si>
  <si>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</si>
  <si>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</si>
  <si>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</si>
  <si>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</si>
  <si>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</si>
  <si>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</si>
  <si>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</si>
  <si>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</si>
  <si>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</si>
  <si>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</si>
  <si>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</si>
  <si>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</si>
  <si>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</si>
  <si>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</si>
  <si>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</si>
  <si>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</si>
  <si>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</si>
  <si>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</si>
  <si>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</si>
  <si>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</si>
  <si>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</si>
  <si>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</si>
  <si>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</si>
  <si>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</si>
  <si>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</si>
  <si>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</si>
  <si>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</si>
  <si>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</si>
  <si>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</si>
  <si>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</si>
  <si>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</si>
  <si>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</si>
  <si>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</si>
  <si>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</si>
  <si>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</si>
  <si>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</si>
  <si>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</si>
  <si>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</si>
  <si>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</si>
  <si>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</si>
  <si>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</si>
  <si>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</si>
  <si>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</si>
  <si>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</si>
  <si>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</si>
  <si>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</si>
  <si>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</si>
  <si>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</si>
  <si>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</si>
  <si>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</si>
  <si>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</si>
  <si>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</si>
  <si>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</si>
  <si>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</si>
  <si>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</si>
  <si>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</si>
  <si>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</si>
  <si>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</si>
  <si>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</si>
  <si>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</si>
  <si>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</si>
  <si>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</si>
  <si>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</si>
  <si>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</si>
  <si>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</si>
  <si>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</si>
  <si>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</si>
  <si>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</si>
  <si>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</si>
  <si>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</si>
  <si>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</si>
  <si>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</si>
  <si>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</si>
  <si>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</si>
  <si>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</si>
  <si>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</si>
  <si>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</si>
  <si>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</si>
  <si>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</si>
  <si>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</si>
  <si>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</si>
  <si>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</si>
  <si>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</si>
  <si>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</si>
  <si>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</si>
  <si>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</si>
  <si>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</si>
  <si>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</si>
  <si>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</si>
  <si>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</si>
  <si>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</si>
  <si>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</si>
  <si>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</si>
  <si>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</si>
  <si>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</si>
  <si>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</si>
  <si>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</si>
  <si>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</si>
  <si>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</si>
  <si>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</si>
  <si>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</si>
  <si>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</si>
  <si>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</si>
  <si>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</si>
  <si>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</si>
  <si>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</si>
  <si>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</si>
  <si>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</si>
  <si>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</si>
  <si>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</si>
  <si>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</si>
  <si>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</si>
  <si>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</si>
  <si>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</si>
  <si>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</si>
  <si>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</si>
  <si>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</si>
  <si>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</si>
  <si>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</si>
  <si>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</si>
  <si>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</si>
  <si>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</si>
  <si>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</si>
  <si>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</si>
  <si>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</si>
  <si>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</si>
  <si>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</si>
  <si>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</si>
  <si>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</si>
  <si>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</si>
  <si>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</si>
  <si>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</si>
  <si>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</si>
  <si>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</si>
  <si>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</si>
  <si>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</si>
  <si>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</si>
  <si>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</si>
  <si>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</si>
  <si>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</si>
  <si>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</si>
  <si>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</si>
  <si>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</si>
  <si>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</si>
  <si>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</si>
  <si>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</si>
  <si>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</si>
  <si>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</si>
  <si>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</si>
  <si>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</si>
  <si>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</si>
  <si>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</si>
  <si>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</si>
  <si>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</si>
  <si>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</si>
  <si>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</si>
  <si>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</si>
  <si>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</si>
  <si>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</si>
  <si>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</si>
  <si>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</si>
  <si>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</si>
  <si>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</si>
  <si>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</si>
  <si>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</si>
  <si>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</si>
  <si>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</si>
  <si>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</si>
  <si>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</si>
  <si>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</si>
  <si>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</si>
  <si>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</si>
  <si>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</si>
  <si>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</si>
  <si>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</si>
  <si>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</si>
  <si>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</si>
  <si>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</si>
  <si>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</si>
  <si>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</si>
  <si>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</si>
  <si>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</si>
  <si>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</si>
  <si>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</si>
  <si>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</si>
  <si>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</si>
  <si>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</si>
  <si>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</si>
  <si>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</si>
  <si>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</si>
  <si>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</si>
  <si>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</si>
  <si>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</si>
  <si>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</si>
  <si>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</si>
  <si>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</si>
  <si>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</si>
  <si>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</si>
  <si>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</si>
  <si>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</si>
  <si>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</si>
  <si>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</si>
  <si>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</si>
  <si>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</si>
  <si>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</si>
  <si>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</si>
  <si>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</si>
  <si>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</si>
  <si>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</si>
  <si>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</si>
  <si>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</si>
  <si>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</si>
  <si>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</si>
  <si>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</si>
  <si>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</si>
  <si>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</si>
  <si>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</si>
  <si>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</si>
  <si>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</si>
  <si>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</si>
  <si>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</si>
  <si>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</si>
  <si>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</si>
  <si>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</si>
  <si>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</si>
  <si>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</si>
  <si>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</si>
  <si>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</si>
  <si>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</si>
  <si>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</si>
  <si>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</si>
  <si>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</si>
  <si>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</si>
  <si>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</si>
  <si>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</si>
  <si>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</si>
  <si>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</si>
  <si>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</si>
  <si>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</si>
  <si>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</si>
  <si>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</si>
  <si>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</si>
  <si>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</si>
  <si>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</si>
  <si>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</si>
  <si>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</si>
  <si>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</si>
  <si>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</si>
  <si>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</si>
  <si>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</si>
  <si>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</si>
  <si>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</si>
  <si>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</si>
  <si>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</si>
  <si>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</si>
  <si>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</si>
  <si>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</si>
  <si>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</si>
  <si>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</si>
  <si>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</si>
  <si>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</si>
  <si>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</si>
  <si>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</si>
  <si>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</si>
  <si>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</si>
  <si>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</si>
  <si>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</si>
  <si>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</si>
  <si>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</si>
  <si>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</si>
  <si>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</si>
  <si>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</si>
  <si>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</si>
  <si>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</si>
  <si>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</si>
  <si>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</si>
  <si>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</si>
  <si>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</si>
  <si>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</si>
  <si>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</si>
  <si>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</si>
  <si>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</si>
  <si>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</si>
  <si>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</si>
  <si>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</si>
  <si>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</si>
  <si>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</si>
  <si>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</si>
  <si>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</si>
  <si>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</si>
  <si>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</si>
  <si>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</si>
  <si>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</si>
  <si>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</si>
  <si>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</si>
  <si>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</si>
  <si>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</si>
  <si>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</si>
  <si>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</si>
  <si>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</si>
  <si>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</si>
  <si>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</si>
  <si>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</si>
  <si>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</si>
  <si>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</si>
  <si>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</si>
  <si>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</si>
  <si>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</si>
  <si>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</si>
  <si>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</si>
  <si>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</si>
  <si>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</si>
  <si>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</si>
  <si>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</si>
  <si>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</si>
  <si>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</si>
  <si>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</si>
  <si>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</si>
  <si>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</si>
  <si>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</si>
  <si>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</si>
  <si>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</si>
  <si>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</si>
  <si>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</si>
  <si>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</si>
  <si>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</si>
  <si>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</si>
  <si>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</si>
  <si>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</si>
  <si>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</si>
  <si>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</si>
  <si>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</si>
  <si>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</si>
  <si>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</si>
  <si>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</si>
  <si>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</si>
  <si>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</si>
  <si>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</si>
  <si>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</si>
  <si>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</si>
  <si>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</si>
  <si>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</si>
  <si>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</si>
  <si>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</si>
  <si>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</si>
  <si>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</si>
  <si>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</si>
  <si>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</si>
  <si>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</si>
  <si>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</si>
  <si>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</si>
  <si>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</si>
  <si>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</si>
  <si>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</si>
  <si>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</si>
  <si>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</si>
  <si>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</si>
  <si>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</si>
  <si>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</si>
  <si>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</si>
  <si>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</si>
  <si>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</si>
  <si>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</si>
  <si>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</si>
  <si>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</si>
  <si>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</si>
  <si>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</si>
  <si>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</si>
  <si>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</si>
  <si>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</si>
  <si>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</si>
  <si>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</si>
  <si>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</si>
  <si>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</si>
  <si>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</si>
  <si>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</si>
  <si>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</si>
  <si>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</si>
  <si>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</si>
  <si>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</si>
  <si>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</si>
  <si>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</si>
  <si>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</si>
  <si>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</si>
  <si>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</si>
  <si>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</si>
  <si>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</si>
  <si>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</si>
  <si>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</si>
  <si>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</si>
  <si>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</si>
  <si>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</si>
  <si>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</si>
  <si>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</si>
  <si>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</si>
  <si>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</si>
  <si>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</si>
  <si>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</si>
  <si>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</si>
  <si>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</si>
  <si>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</si>
  <si>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</si>
  <si>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</si>
  <si>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</si>
  <si>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</si>
  <si>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</si>
  <si>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</si>
  <si>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</si>
  <si>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</si>
  <si>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</si>
  <si>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</si>
  <si>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</si>
  <si>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</si>
  <si>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</si>
  <si>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</si>
  <si>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</si>
  <si>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</si>
  <si>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</si>
  <si>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</si>
  <si>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</si>
  <si>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</si>
  <si>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</si>
  <si>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</si>
  <si>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</si>
  <si>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</si>
  <si>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</si>
  <si>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</si>
  <si>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</si>
  <si>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</si>
  <si>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</si>
  <si>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</si>
  <si>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</si>
  <si>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</si>
  <si>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</si>
  <si>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</si>
  <si>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</si>
  <si>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</si>
  <si>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</si>
  <si>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</si>
  <si>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</si>
  <si>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</si>
  <si>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</si>
  <si>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</si>
  <si>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</si>
  <si>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</si>
  <si>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</si>
  <si>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</si>
  <si>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</si>
  <si>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</si>
  <si>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</si>
  <si>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</si>
  <si>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</si>
  <si>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</si>
  <si>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</si>
  <si>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</si>
  <si>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</si>
  <si>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</si>
  <si>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</si>
  <si>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</si>
  <si>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</si>
  <si>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</si>
  <si>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</si>
  <si>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</si>
  <si>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</si>
  <si>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</si>
  <si>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</si>
  <si>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</si>
  <si>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</si>
  <si>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</si>
  <si>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</si>
  <si>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</si>
  <si>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</si>
  <si>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</si>
  <si>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</si>
  <si>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</si>
  <si>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</si>
  <si>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</si>
  <si>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</si>
  <si>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</si>
  <si>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</si>
  <si>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</si>
  <si>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</si>
  <si>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</si>
  <si>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</si>
  <si>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</si>
  <si>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</si>
  <si>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</si>
  <si>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</si>
  <si>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</si>
  <si>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</si>
  <si>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</si>
  <si>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</si>
  <si>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</si>
  <si>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</si>
  <si>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</si>
  <si>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</si>
  <si>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</si>
  <si>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</si>
  <si>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</si>
  <si>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</si>
  <si>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</si>
  <si>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</si>
  <si>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</si>
  <si>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</si>
  <si>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</si>
  <si>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</si>
  <si>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</si>
  <si>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</si>
  <si>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</si>
  <si>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</si>
  <si>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</si>
  <si>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</si>
  <si>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</si>
  <si>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</si>
  <si>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</si>
  <si>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</si>
  <si>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</si>
  <si>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</si>
  <si>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</si>
  <si>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</si>
  <si>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</si>
  <si>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</si>
  <si>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</si>
  <si>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</si>
  <si>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</si>
  <si>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</si>
  <si>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</si>
  <si>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</si>
  <si>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</si>
  <si>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</si>
  <si>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</si>
  <si>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</si>
  <si>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</si>
  <si>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</si>
  <si>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</si>
  <si>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</si>
  <si>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</si>
  <si>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</si>
  <si>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</si>
  <si>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</si>
  <si>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</si>
  <si>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</si>
  <si>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</si>
  <si>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</si>
  <si>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</si>
  <si>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</si>
  <si>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</si>
  <si>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</si>
  <si>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</si>
  <si>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</si>
  <si>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</si>
  <si>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</si>
  <si>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</si>
  <si>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</si>
  <si>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</si>
  <si>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</si>
  <si>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</si>
  <si>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</si>
  <si>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</si>
  <si>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</si>
  <si>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</si>
  <si>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</si>
  <si>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</si>
  <si>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</si>
  <si>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</si>
  <si>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</si>
  <si>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</si>
  <si>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</si>
  <si>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</si>
  <si>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</si>
  <si>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</si>
  <si>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</si>
  <si>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</si>
  <si>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</si>
  <si>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</si>
  <si>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</si>
  <si>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</si>
  <si>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</si>
  <si>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</si>
  <si>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</si>
  <si>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</si>
  <si>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</si>
  <si>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</si>
  <si>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</si>
  <si>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</si>
  <si>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</si>
  <si>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</si>
  <si>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</si>
  <si>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</si>
  <si>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</si>
  <si>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</si>
  <si>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</si>
  <si>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</si>
  <si>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</si>
  <si>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</si>
  <si>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</si>
  <si>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</si>
  <si>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</si>
  <si>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</si>
  <si>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</si>
  <si>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</si>
  <si>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</si>
  <si>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</si>
  <si>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</si>
  <si>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</si>
  <si>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</si>
  <si>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</si>
  <si>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</si>
  <si>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</si>
  <si>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</si>
  <si>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</si>
  <si>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</si>
  <si>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</si>
  <si>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</si>
  <si>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</si>
  <si>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</si>
  <si>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</si>
  <si>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</si>
  <si>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</si>
  <si>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</si>
  <si>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</si>
  <si>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</si>
  <si>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</si>
  <si>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</si>
  <si>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</si>
  <si>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</si>
  <si>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</si>
  <si>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</si>
  <si>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</si>
  <si>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</si>
  <si>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</si>
  <si>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</si>
  <si>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</si>
  <si>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</si>
  <si>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</si>
  <si>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</si>
  <si>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</si>
  <si>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</si>
  <si>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</si>
  <si>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</si>
  <si>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</si>
  <si>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</si>
  <si>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</si>
  <si>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</si>
  <si>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</si>
  <si>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</si>
  <si>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</si>
  <si>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</si>
  <si>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</si>
  <si>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</si>
  <si>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</si>
  <si>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</si>
  <si>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</si>
  <si>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</si>
  <si>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</si>
  <si>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</si>
  <si>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</si>
  <si>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</si>
  <si>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</si>
  <si>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</si>
  <si>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</si>
  <si>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</si>
  <si>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</si>
  <si>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</si>
  <si>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</si>
  <si>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</si>
  <si>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</si>
  <si>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</si>
  <si>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</si>
  <si>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</si>
  <si>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</si>
  <si>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</si>
  <si>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</si>
  <si>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</si>
  <si>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</si>
  <si>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</si>
  <si>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</si>
  <si>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</si>
  <si>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</si>
  <si>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</si>
  <si>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</si>
  <si>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</si>
  <si>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</si>
  <si>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</si>
  <si>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</si>
  <si>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</si>
  <si>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</si>
  <si>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</si>
  <si>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</si>
  <si>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</si>
  <si>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</si>
  <si>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</si>
  <si>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</si>
  <si>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</si>
  <si>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</si>
  <si>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</si>
  <si>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</si>
  <si>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</si>
  <si>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</si>
  <si>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</si>
  <si>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</si>
  <si>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</si>
  <si>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</si>
  <si>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</si>
  <si>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</si>
  <si>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</si>
  <si>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</si>
  <si>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</si>
  <si>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</si>
  <si>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</si>
  <si>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</si>
  <si>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</si>
  <si>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</si>
  <si>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</si>
  <si>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</si>
  <si>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</si>
  <si>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</si>
  <si>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</si>
  <si>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</si>
  <si>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</si>
  <si>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</si>
  <si>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</si>
  <si>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</si>
  <si>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</si>
  <si>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</si>
  <si>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</si>
  <si>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</si>
  <si>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</si>
  <si>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</si>
  <si>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</si>
  <si>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</si>
  <si>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</si>
  <si>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</si>
  <si>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</si>
  <si>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</si>
  <si>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</si>
  <si>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</si>
  <si>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</si>
  <si>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</si>
  <si>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</si>
  <si>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</si>
  <si>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</si>
  <si>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</si>
  <si>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</si>
  <si>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</si>
  <si>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</si>
  <si>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</si>
  <si>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</si>
  <si>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</si>
  <si>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</si>
  <si>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</si>
  <si>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</si>
  <si>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</si>
  <si>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</si>
  <si>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</si>
  <si>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</si>
  <si>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</si>
  <si>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</si>
  <si>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</si>
  <si>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</si>
  <si>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</si>
  <si>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</si>
  <si>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</si>
  <si>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</si>
  <si>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</si>
  <si>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</si>
  <si>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</si>
  <si>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</si>
  <si>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</si>
  <si>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</si>
  <si>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</si>
  <si>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</si>
  <si>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</si>
  <si>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</si>
  <si>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</si>
  <si>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</si>
  <si>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</si>
  <si>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</si>
  <si>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</si>
  <si>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</si>
  <si>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</si>
  <si>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</si>
  <si>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</si>
  <si>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</si>
  <si>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</si>
  <si>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</si>
  <si>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</si>
  <si>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</si>
  <si>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</si>
  <si>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</si>
  <si>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</si>
  <si>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</si>
  <si>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</si>
  <si>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</si>
  <si>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</si>
  <si>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</si>
  <si>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</si>
  <si>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</si>
  <si>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</si>
  <si>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</si>
  <si>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</si>
  <si>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</si>
  <si>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</si>
  <si>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</si>
  <si>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</si>
  <si>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</si>
  <si>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</si>
  <si>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</si>
  <si>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</si>
  <si>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</si>
  <si>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</si>
  <si>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</si>
  <si>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</si>
  <si>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</si>
  <si>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</si>
  <si>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</si>
  <si>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</si>
  <si>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</si>
  <si>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</si>
  <si>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</si>
  <si>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</si>
  <si>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</si>
  <si>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</si>
  <si>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</si>
  <si>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</si>
  <si>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</si>
  <si>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</si>
  <si>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</si>
  <si>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</si>
  <si>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</si>
  <si>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</si>
  <si>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</si>
  <si>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</si>
  <si>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</si>
  <si>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</si>
  <si>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</si>
  <si>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</si>
  <si>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</si>
  <si>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</si>
  <si>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</si>
  <si>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</si>
  <si>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</si>
  <si>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</si>
  <si>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</si>
  <si>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</si>
  <si>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</si>
  <si>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</si>
  <si>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</si>
  <si>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</si>
  <si>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</si>
  <si>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</si>
  <si>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</si>
  <si>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</si>
  <si>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</si>
  <si>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</si>
  <si>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</si>
  <si>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</si>
  <si>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</si>
  <si>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</si>
  <si>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</si>
  <si>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</si>
  <si>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</si>
  <si>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</si>
  <si>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</si>
  <si>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</si>
  <si>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</si>
  <si>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</si>
  <si>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</si>
  <si>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</si>
  <si>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</si>
  <si>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</si>
  <si>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</si>
  <si>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</si>
  <si>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</si>
  <si>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</si>
  <si>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</si>
  <si>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</si>
  <si>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</si>
  <si>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</si>
  <si>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</si>
  <si>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</si>
  <si>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</si>
  <si>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</si>
  <si>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</si>
  <si>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</si>
  <si>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</si>
  <si>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</si>
  <si>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</si>
  <si>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</si>
  <si>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</si>
  <si>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</si>
  <si>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</si>
  <si>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</si>
  <si>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</si>
  <si>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</si>
  <si>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</si>
  <si>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</si>
  <si>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</si>
  <si>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</si>
  <si>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</si>
  <si>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</si>
  <si>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</si>
  <si>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</si>
  <si>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</si>
  <si>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</si>
  <si>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</si>
  <si>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</si>
  <si>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</si>
  <si>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</si>
  <si>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</si>
  <si>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</si>
  <si>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</si>
  <si>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</si>
  <si>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</si>
  <si>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</si>
  <si>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</si>
  <si>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</si>
  <si>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</si>
  <si>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</si>
  <si>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</si>
  <si>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</si>
  <si>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</si>
  <si>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</si>
  <si>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</si>
  <si>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</si>
  <si>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</si>
  <si>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</si>
  <si>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</si>
  <si>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</si>
  <si>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</si>
  <si>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</si>
  <si>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</si>
  <si>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</si>
  <si>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</si>
  <si>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</si>
  <si>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</si>
  <si>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</si>
  <si>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</si>
  <si>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</si>
  <si>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</si>
  <si>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</si>
  <si>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</si>
  <si>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</si>
  <si>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</si>
  <si>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</si>
  <si>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</si>
  <si>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</si>
  <si>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</si>
  <si>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</si>
  <si>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</si>
  <si>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</si>
  <si>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</si>
  <si>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</si>
  <si>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</si>
  <si>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</si>
  <si>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</si>
  <si>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</si>
  <si>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</si>
  <si>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</si>
  <si>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</si>
  <si>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</si>
  <si>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</si>
  <si>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</si>
  <si>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</si>
  <si>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</si>
  <si>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</si>
  <si>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</si>
  <si>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</si>
  <si>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</si>
  <si>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</si>
  <si>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</si>
  <si>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</si>
  <si>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</si>
  <si>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</si>
  <si>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</si>
  <si>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</si>
  <si>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</si>
  <si>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</si>
  <si>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</si>
  <si>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</si>
  <si>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</si>
  <si>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</si>
  <si>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</si>
  <si>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</si>
  <si>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</si>
  <si>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</si>
  <si>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</si>
  <si>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</si>
  <si>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</si>
  <si>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</si>
  <si>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</si>
  <si>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</si>
  <si>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</si>
  <si>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</si>
  <si>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</si>
  <si>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</si>
  <si>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</si>
  <si>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</si>
  <si>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</si>
  <si>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</si>
  <si>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</si>
  <si>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</si>
  <si>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</si>
  <si>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</si>
  <si>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</si>
  <si>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</si>
  <si>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</si>
  <si>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</si>
  <si>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</si>
  <si>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</si>
  <si>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</si>
  <si>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</si>
  <si>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</si>
  <si>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</si>
  <si>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</si>
  <si>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</si>
  <si>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</si>
  <si>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</si>
  <si>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</si>
  <si>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</si>
  <si>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</si>
  <si>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</si>
  <si>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</si>
  <si>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</si>
  <si>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</si>
  <si>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</si>
  <si>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</si>
  <si>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</si>
  <si>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</si>
  <si>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</si>
  <si>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</si>
  <si>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</si>
  <si>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</si>
  <si>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</si>
  <si>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</si>
  <si>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</si>
  <si>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</si>
  <si>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</si>
  <si>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</si>
  <si>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</si>
  <si>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</si>
  <si>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</si>
  <si>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</si>
  <si>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</si>
  <si>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</si>
  <si>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</si>
  <si>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</si>
  <si>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</si>
  <si>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</si>
  <si>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</si>
  <si>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</si>
  <si>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</si>
  <si>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</si>
  <si>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</si>
  <si>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</si>
  <si>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</si>
  <si>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</si>
  <si>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</si>
  <si>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</si>
  <si>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</si>
  <si>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</si>
  <si>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</si>
  <si>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</si>
  <si>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</si>
  <si>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</si>
  <si>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</si>
  <si>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</si>
  <si>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</si>
  <si>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</si>
  <si>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</si>
  <si>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</si>
  <si>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</si>
  <si>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</si>
  <si>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</si>
  <si>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</si>
  <si>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</si>
  <si>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</si>
  <si>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</si>
  <si>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</si>
  <si>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</si>
  <si>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</si>
  <si>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</si>
  <si>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</si>
  <si>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</si>
  <si>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</si>
  <si>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</si>
  <si>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</si>
  <si>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</si>
  <si>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</si>
  <si>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</si>
  <si>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</si>
  <si>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</si>
  <si>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</si>
  <si>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</si>
  <si>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</si>
  <si>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</si>
  <si>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</si>
  <si>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</si>
  <si>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</si>
  <si>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</si>
  <si>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</si>
  <si>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</si>
  <si>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</si>
  <si>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</si>
  <si>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</si>
  <si>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</si>
  <si>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</si>
  <si>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</si>
  <si>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</si>
  <si>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</si>
  <si>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</si>
  <si>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</si>
  <si>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</si>
  <si>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</si>
  <si>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</si>
  <si>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</si>
  <si>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</si>
  <si>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</si>
  <si>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</si>
  <si>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</si>
  <si>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</si>
  <si>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</si>
  <si>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</si>
  <si>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</si>
  <si>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</si>
  <si>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</si>
  <si>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</si>
  <si>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</si>
  <si>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</si>
  <si>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</si>
  <si>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</si>
  <si>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</si>
  <si>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</si>
  <si>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</si>
  <si>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</si>
  <si>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</si>
  <si>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</si>
  <si>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</si>
  <si>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</si>
  <si>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</si>
  <si>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</si>
  <si>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</si>
  <si>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</si>
  <si>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</si>
  <si>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</si>
  <si>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</si>
  <si>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</si>
  <si>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</si>
  <si>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</si>
  <si>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</si>
  <si>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</si>
  <si>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</si>
  <si>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</si>
  <si>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</si>
  <si>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</si>
  <si>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</si>
  <si>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</si>
  <si>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</si>
  <si>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</si>
  <si>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</si>
  <si>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</si>
  <si>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</si>
  <si>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</si>
  <si>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</si>
  <si>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</si>
  <si>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</si>
  <si>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</si>
  <si>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</si>
  <si>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</si>
  <si>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</si>
  <si>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</si>
  <si>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</si>
  <si>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</si>
  <si>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</si>
  <si>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</si>
  <si>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</si>
  <si>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</si>
  <si>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</si>
  <si>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</si>
  <si>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</si>
  <si>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</si>
  <si>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</si>
  <si>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</si>
  <si>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</si>
  <si>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</si>
  <si>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</si>
  <si>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</si>
  <si>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</si>
  <si>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</si>
  <si>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</si>
  <si>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</si>
  <si>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</si>
  <si>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</si>
  <si>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</si>
  <si>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</si>
  <si>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</si>
  <si>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</si>
  <si>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</si>
  <si>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</si>
  <si>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</si>
  <si>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</si>
  <si>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</si>
  <si>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</si>
  <si>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</si>
  <si>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</si>
  <si>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</si>
  <si>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</si>
  <si>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</si>
  <si>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</si>
  <si>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</si>
  <si>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</si>
  <si>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</si>
  <si>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</si>
  <si>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</si>
  <si>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</si>
  <si>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</si>
  <si>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</si>
  <si>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</si>
  <si>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</si>
  <si>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</si>
  <si>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</si>
  <si>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</si>
  <si>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</si>
  <si>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</si>
  <si>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</si>
  <si>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</si>
  <si>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</si>
  <si>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</si>
  <si>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</si>
  <si>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</si>
  <si>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</si>
  <si>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</si>
  <si>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</si>
  <si>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</si>
  <si>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</si>
  <si>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</si>
  <si>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</si>
  <si>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</si>
  <si>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</si>
  <si>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</si>
  <si>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</si>
  <si>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</si>
  <si>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</si>
  <si>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</si>
  <si>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</si>
  <si>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</si>
  <si>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</si>
  <si>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</si>
  <si>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</si>
  <si>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</si>
  <si>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</si>
  <si>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</si>
  <si>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</si>
  <si>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</si>
  <si>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</si>
  <si>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</si>
  <si>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</si>
  <si>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</si>
  <si>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</si>
  <si>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</si>
  <si>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</si>
  <si>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</si>
  <si>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</si>
  <si>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</si>
  <si>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</si>
  <si>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</si>
  <si>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</si>
  <si>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</si>
  <si>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</si>
  <si>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</si>
  <si>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</si>
  <si>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</si>
  <si>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</si>
  <si>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</si>
  <si>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</si>
  <si>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</si>
  <si>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</si>
  <si>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</si>
  <si>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</si>
  <si>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</si>
  <si>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</si>
  <si>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</si>
  <si>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</si>
  <si>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</si>
  <si>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</si>
  <si>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</si>
  <si>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</si>
  <si>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</si>
  <si>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</si>
  <si>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</si>
  <si>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</si>
  <si>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</si>
  <si>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</si>
  <si>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</si>
  <si>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</si>
  <si>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</si>
  <si>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</si>
  <si>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</si>
  <si>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</si>
  <si>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</si>
  <si>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</si>
  <si>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</si>
  <si>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</si>
  <si>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</si>
  <si>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</si>
  <si>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</si>
  <si>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</si>
  <si>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</si>
  <si>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</si>
  <si>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</si>
  <si>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</si>
  <si>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</si>
  <si>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</si>
  <si>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</si>
  <si>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</si>
  <si>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</si>
  <si>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</si>
  <si>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</si>
  <si>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</si>
  <si>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</si>
  <si>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</si>
  <si>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</si>
  <si>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</si>
  <si>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</si>
  <si>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</si>
  <si>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</si>
  <si>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</si>
  <si>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</si>
  <si>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</si>
  <si>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</si>
  <si>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</si>
  <si>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</si>
  <si>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</si>
  <si>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</si>
  <si>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</si>
  <si>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</si>
  <si>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</si>
  <si>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</si>
  <si>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</si>
  <si>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</si>
  <si>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</si>
  <si>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</si>
  <si>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</si>
  <si>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</si>
  <si>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</si>
  <si>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</si>
  <si>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</si>
  <si>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</si>
  <si>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</si>
  <si>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</si>
  <si>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</si>
  <si>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</si>
  <si>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</si>
  <si>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</si>
  <si>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</si>
  <si>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</si>
  <si>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</si>
  <si>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</si>
  <si>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</si>
  <si>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</si>
  <si>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</si>
  <si>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</si>
  <si>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</si>
  <si>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</si>
  <si>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</si>
  <si>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</si>
  <si>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</si>
  <si>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</si>
  <si>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</si>
  <si>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</si>
  <si>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</si>
  <si>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</si>
  <si>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</si>
  <si>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</si>
  <si>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</si>
  <si>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</si>
  <si>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</si>
  <si>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</si>
  <si>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</si>
  <si>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</si>
  <si>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</si>
  <si>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</si>
  <si>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</si>
  <si>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</si>
  <si>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</si>
  <si>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</si>
  <si>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</si>
  <si>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</si>
  <si>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</si>
  <si>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</si>
  <si>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</si>
  <si>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</si>
  <si>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</si>
  <si>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</si>
  <si>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</si>
  <si>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</si>
  <si>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</si>
  <si>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</si>
  <si>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</si>
  <si>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</si>
  <si>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</si>
  <si>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</si>
  <si>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</si>
  <si>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</si>
  <si>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</si>
  <si>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</si>
  <si>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</si>
  <si>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</si>
  <si>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</si>
  <si>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</si>
  <si>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</si>
  <si>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</si>
  <si>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</si>
  <si>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</si>
  <si>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</si>
  <si>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</si>
  <si>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</si>
  <si>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</si>
  <si>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</si>
  <si>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</si>
  <si>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</si>
  <si>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</si>
  <si>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</si>
  <si>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</si>
  <si>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</si>
  <si>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</si>
  <si>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</si>
  <si>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</si>
  <si>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</si>
  <si>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</si>
  <si>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</si>
  <si>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</si>
  <si>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</si>
  <si>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</si>
  <si>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</si>
  <si>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</si>
  <si>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</si>
  <si>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</si>
  <si>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</si>
  <si>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</si>
  <si>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</si>
  <si>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</si>
  <si>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</si>
  <si>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</si>
  <si>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</si>
  <si>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</si>
  <si>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</si>
  <si>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</si>
  <si>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</si>
  <si>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</si>
  <si>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</si>
  <si>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</si>
  <si>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</si>
  <si>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</si>
  <si>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</si>
  <si>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</si>
  <si>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</si>
  <si>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</si>
  <si>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</si>
  <si>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</si>
  <si>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</si>
  <si>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</si>
  <si>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</si>
  <si>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</si>
  <si>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</si>
  <si>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</si>
  <si>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</si>
  <si>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</si>
  <si>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</si>
  <si>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</si>
  <si>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</si>
  <si>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</si>
  <si>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</si>
  <si>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</si>
  <si>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</si>
  <si>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</si>
  <si>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</si>
  <si>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</si>
  <si>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</si>
  <si>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</si>
  <si>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</si>
  <si>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</si>
  <si>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</si>
  <si>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</si>
  <si>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</si>
  <si>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</si>
  <si>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</si>
  <si>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</si>
  <si>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</si>
  <si>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</si>
  <si>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</si>
  <si>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</si>
  <si>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</si>
  <si>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</si>
  <si>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</si>
  <si>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</si>
  <si>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</si>
  <si>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</si>
  <si>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</si>
  <si>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</si>
  <si>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</si>
  <si>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</si>
  <si>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</si>
  <si>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</si>
  <si>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</si>
  <si>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</si>
  <si>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</si>
  <si>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</si>
  <si>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</si>
  <si>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</si>
  <si>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</si>
  <si>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</si>
  <si>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</si>
  <si>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</si>
  <si>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</si>
  <si>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</si>
  <si>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</si>
  <si>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</si>
  <si>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</si>
  <si>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</si>
  <si>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</si>
  <si>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</si>
  <si>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</si>
  <si>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</si>
  <si>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</si>
  <si>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</si>
  <si>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</si>
  <si>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</si>
  <si>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</si>
  <si>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</si>
  <si>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</si>
  <si>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</si>
  <si>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</si>
  <si>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</si>
  <si>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</si>
  <si>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</si>
  <si>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</si>
  <si>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</si>
  <si>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</si>
  <si>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</si>
  <si>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</si>
  <si>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</si>
  <si>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</si>
  <si>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</si>
  <si>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</si>
  <si>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</si>
  <si>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</si>
  <si>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</si>
  <si>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</si>
  <si>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</si>
  <si>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</si>
  <si>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</si>
  <si>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</si>
  <si>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</si>
  <si>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</si>
  <si>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</si>
  <si>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</si>
  <si>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</si>
  <si>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</si>
  <si>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</si>
  <si>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</si>
  <si>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</si>
  <si>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</si>
  <si>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</si>
  <si>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</si>
  <si>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</si>
  <si>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</si>
  <si>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</si>
  <si>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</si>
  <si>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</si>
  <si>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</si>
  <si>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</si>
  <si>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</si>
  <si>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</si>
  <si>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</si>
  <si>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</si>
  <si>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</si>
  <si>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</si>
  <si>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</si>
  <si>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</si>
  <si>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</si>
  <si>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</si>
  <si>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</si>
  <si>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</si>
  <si>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</si>
  <si>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</si>
  <si>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</si>
  <si>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</si>
  <si>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</si>
  <si>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</si>
  <si>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</si>
  <si>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</si>
  <si>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</si>
  <si>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</si>
  <si>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</si>
  <si>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</si>
  <si>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</si>
  <si>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</si>
  <si>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</si>
  <si>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</si>
  <si>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</si>
  <si>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</si>
  <si>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</si>
  <si>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</si>
  <si>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</si>
  <si>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</si>
  <si>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</si>
  <si>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</si>
  <si>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</si>
  <si>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</si>
  <si>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</si>
  <si>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</si>
  <si>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</si>
  <si>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</si>
  <si>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</si>
  <si>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</si>
  <si>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</si>
  <si>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</si>
  <si>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</si>
  <si>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</si>
  <si>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</si>
  <si>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</si>
  <si>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</si>
  <si>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</si>
  <si>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</si>
  <si>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</si>
  <si>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</si>
  <si>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</si>
  <si>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</si>
  <si>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</si>
  <si>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</si>
  <si>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</si>
  <si>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</si>
  <si>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</si>
  <si>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</si>
  <si>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</si>
  <si>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</si>
  <si>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</si>
  <si>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</si>
  <si>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</si>
  <si>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</si>
  <si>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</si>
  <si>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</si>
  <si>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</si>
  <si>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</si>
  <si>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</si>
  <si>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</si>
  <si>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</si>
  <si>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</si>
  <si>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</si>
  <si>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</si>
  <si>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</si>
  <si>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</si>
  <si>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</si>
  <si>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</si>
  <si>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</si>
  <si>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</si>
  <si>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</si>
  <si>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</si>
  <si>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</si>
  <si>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</si>
  <si>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</si>
  <si>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</si>
  <si>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</si>
  <si>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</si>
  <si>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</si>
  <si>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</si>
  <si>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</si>
  <si>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</si>
  <si>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</si>
  <si>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</si>
  <si>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</si>
  <si>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</si>
  <si>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</si>
  <si>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</si>
  <si>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</si>
  <si>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</si>
  <si>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</si>
  <si>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</si>
  <si>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</si>
  <si>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</si>
  <si>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</si>
  <si>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</si>
  <si>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</si>
  <si>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</si>
  <si>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</si>
  <si>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</si>
  <si>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</si>
  <si>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</si>
  <si>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</si>
  <si>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</si>
  <si>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</si>
  <si>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</si>
  <si>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</si>
  <si>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</si>
  <si>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</si>
  <si>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</si>
  <si>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</si>
  <si>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</si>
  <si>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</si>
  <si>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</si>
  <si>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</si>
  <si>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</si>
  <si>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</si>
  <si>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</si>
  <si>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</si>
  <si>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</si>
  <si>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</si>
  <si>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</si>
  <si>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</si>
  <si>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</si>
  <si>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</si>
  <si>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</si>
  <si>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</si>
  <si>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</si>
  <si>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</si>
  <si>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</si>
  <si>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</si>
  <si>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</si>
  <si>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</si>
  <si>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</si>
  <si>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</si>
  <si>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</si>
  <si>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</si>
  <si>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</si>
  <si>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</si>
  <si>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</si>
  <si>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</si>
  <si>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</si>
  <si>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</si>
  <si>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</si>
  <si>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</si>
  <si>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</si>
  <si>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</si>
  <si>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</si>
  <si>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</si>
  <si>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</si>
  <si>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</si>
  <si>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</si>
  <si>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</si>
  <si>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</si>
  <si>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</si>
  <si>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</si>
  <si>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</si>
  <si>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</si>
  <si>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</si>
  <si>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</si>
  <si>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</si>
  <si>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</si>
  <si>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</si>
  <si>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</si>
  <si>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</si>
  <si>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</si>
  <si>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</si>
  <si>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</si>
  <si>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</si>
  <si>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</si>
  <si>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</si>
  <si>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</si>
  <si>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</si>
  <si>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</si>
  <si>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</si>
  <si>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</si>
  <si>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</si>
  <si>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</si>
  <si>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</si>
  <si>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</si>
  <si>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</si>
  <si>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</si>
  <si>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</si>
  <si>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</si>
  <si>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</si>
  <si>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</si>
  <si>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</si>
  <si>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</si>
  <si>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</si>
  <si>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</si>
  <si>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</si>
  <si>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</si>
  <si>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</si>
  <si>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</si>
  <si>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</si>
  <si>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</si>
  <si>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</si>
  <si>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</si>
  <si>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</si>
  <si>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</si>
  <si>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</si>
  <si>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</si>
  <si>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</si>
  <si>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</si>
  <si>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</si>
  <si>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</si>
  <si>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</si>
  <si>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</si>
  <si>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</si>
  <si>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</si>
  <si>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</si>
  <si>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</si>
  <si>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</si>
  <si>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</si>
  <si>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</si>
  <si>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</si>
  <si>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</si>
  <si>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</si>
  <si>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</si>
  <si>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</si>
  <si>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</si>
  <si>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</si>
  <si>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</si>
  <si>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</si>
  <si>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</si>
  <si>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</si>
  <si>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</si>
  <si>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</si>
  <si>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</si>
  <si>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</si>
  <si>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</si>
  <si>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</si>
  <si>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</si>
  <si>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</si>
  <si>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</si>
  <si>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</si>
  <si>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</si>
  <si>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</si>
  <si>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</si>
  <si>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</si>
  <si>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</si>
  <si>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</si>
  <si>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</si>
  <si>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</si>
  <si>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</si>
  <si>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</si>
  <si>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</si>
  <si>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</si>
  <si>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</si>
  <si>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</si>
  <si>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</si>
  <si>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</si>
  <si>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</si>
  <si>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</si>
  <si>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</si>
  <si>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</si>
  <si>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</si>
  <si>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</si>
  <si>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</si>
  <si>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</si>
  <si>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</si>
  <si>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</si>
  <si>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</si>
  <si>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</si>
  <si>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</si>
  <si>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</si>
  <si>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</si>
  <si>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</si>
  <si>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</si>
  <si>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</si>
  <si>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</si>
  <si>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</si>
  <si>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</si>
  <si>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</si>
  <si>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</si>
  <si>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</si>
  <si>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</si>
  <si>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</si>
  <si>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</si>
  <si>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</si>
  <si>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</si>
  <si>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</si>
  <si>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</si>
  <si>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</si>
  <si>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</si>
  <si>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</si>
  <si>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</si>
  <si>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</si>
  <si>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</si>
  <si>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</si>
  <si>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</si>
  <si>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</si>
  <si>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</si>
  <si>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</si>
  <si>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</si>
  <si>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</si>
  <si>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</si>
  <si>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</si>
  <si>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</si>
  <si>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</si>
  <si>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</si>
  <si>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</si>
  <si>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</si>
  <si>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</si>
  <si>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</si>
  <si>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</si>
  <si>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</si>
  <si>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</si>
  <si>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</si>
  <si>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</si>
  <si>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</si>
  <si>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</si>
  <si>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</si>
  <si>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</si>
  <si>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</si>
  <si>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</si>
  <si>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</si>
  <si>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</si>
  <si>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</si>
  <si>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</si>
  <si>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</si>
  <si>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</si>
  <si>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</si>
  <si>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</si>
  <si>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</si>
  <si>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</si>
  <si>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</si>
  <si>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</si>
  <si>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</si>
  <si>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</si>
  <si>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</si>
  <si>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</si>
  <si>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</si>
  <si>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</si>
  <si>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</si>
  <si>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</si>
  <si>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</si>
  <si>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</si>
  <si>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</si>
  <si>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</si>
  <si>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</si>
  <si>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</si>
  <si>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</si>
  <si>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</si>
  <si>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</si>
  <si>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</si>
  <si>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</si>
  <si>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</si>
  <si>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</si>
  <si>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</si>
  <si>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</si>
  <si>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</si>
  <si>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</si>
  <si>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</si>
  <si>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</si>
  <si>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</si>
  <si>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</si>
  <si>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</si>
  <si>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</si>
  <si>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</si>
  <si>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</si>
  <si>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</si>
  <si>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</si>
  <si>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</si>
  <si>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</si>
  <si>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</si>
  <si>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</si>
  <si>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</si>
  <si>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</si>
  <si>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</si>
  <si>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</si>
  <si>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</si>
  <si>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</si>
  <si>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</si>
  <si>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</si>
  <si>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</si>
  <si>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</si>
  <si>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</si>
  <si>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</si>
  <si>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</si>
  <si>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</si>
  <si>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</si>
  <si>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</si>
  <si>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</si>
  <si>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</si>
  <si>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</si>
  <si>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</si>
  <si>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</si>
  <si>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</si>
  <si>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</si>
  <si>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</si>
  <si>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</si>
  <si>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</si>
  <si>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</si>
  <si>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</si>
  <si>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</si>
  <si>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</si>
  <si>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</si>
  <si>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</si>
  <si>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</si>
  <si>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</si>
  <si>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</si>
  <si>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</si>
  <si>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</si>
  <si>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</si>
  <si>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</si>
  <si>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</si>
  <si>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</si>
  <si>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</si>
  <si>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</si>
  <si>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</si>
  <si>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</si>
  <si>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</si>
  <si>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</si>
  <si>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</si>
  <si>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</si>
  <si>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</si>
  <si>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</si>
  <si>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</si>
  <si>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</si>
  <si>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</si>
  <si>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</si>
  <si>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</si>
  <si>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</si>
  <si>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</si>
  <si>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</si>
  <si>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</si>
  <si>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</si>
  <si>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</si>
  <si>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</si>
  <si>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</si>
  <si>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</si>
  <si>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</si>
  <si>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</si>
  <si>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</si>
  <si>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</si>
  <si>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</si>
  <si>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</si>
  <si>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</si>
  <si>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</si>
  <si>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</si>
  <si>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</si>
  <si>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</si>
  <si>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</si>
  <si>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</si>
  <si>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</si>
  <si>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</si>
  <si>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</si>
  <si>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</si>
  <si>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</si>
  <si>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</si>
  <si>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</si>
  <si>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</si>
  <si>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</si>
  <si>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</si>
  <si>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</si>
  <si>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</si>
  <si>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</si>
  <si>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</si>
  <si>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</si>
  <si>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</si>
  <si>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</si>
  <si>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</si>
  <si>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</si>
  <si>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</si>
  <si>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</si>
  <si>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</si>
  <si>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</si>
  <si>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</si>
  <si>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</si>
  <si>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</si>
  <si>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</si>
  <si>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</si>
  <si>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</si>
  <si>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</si>
  <si>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</si>
  <si>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</si>
  <si>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</si>
  <si>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</si>
  <si>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</si>
  <si>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</si>
  <si>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</si>
  <si>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</si>
  <si>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</si>
  <si>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</si>
  <si>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</si>
  <si>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</si>
  <si>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</si>
  <si>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</si>
  <si>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</si>
  <si>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</si>
  <si>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</si>
  <si>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</si>
  <si>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</si>
  <si>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</si>
  <si>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</si>
  <si>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</si>
  <si>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</si>
  <si>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</si>
  <si>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</si>
  <si>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</si>
  <si>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</si>
  <si>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</si>
  <si>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</si>
  <si>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</si>
  <si>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</si>
  <si>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</si>
  <si>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</si>
  <si>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</si>
  <si>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</si>
  <si>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</si>
  <si>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</si>
  <si>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</si>
  <si>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</si>
  <si>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</si>
  <si>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</si>
  <si>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</si>
  <si>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</si>
  <si>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</si>
  <si>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</si>
  <si>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</si>
  <si>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</si>
  <si>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</si>
  <si>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</si>
  <si>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</si>
  <si>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</si>
  <si>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</si>
  <si>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</si>
  <si>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</si>
  <si>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</si>
  <si>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</si>
  <si>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</si>
  <si>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</si>
  <si>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</si>
  <si>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</si>
  <si>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</si>
  <si>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</si>
  <si>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</si>
  <si>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</si>
  <si>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</si>
  <si>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</si>
  <si>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</si>
  <si>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</si>
  <si>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</si>
  <si>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</si>
  <si>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</si>
  <si>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</si>
  <si>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</si>
  <si>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</si>
  <si>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</si>
  <si>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</si>
  <si>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</si>
  <si>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</si>
  <si>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</si>
  <si>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</si>
  <si>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</si>
  <si>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</si>
  <si>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</si>
  <si>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</si>
  <si>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</si>
  <si>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</si>
  <si>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</si>
  <si>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</si>
  <si>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</si>
  <si>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</si>
  <si>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</si>
  <si>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</si>
  <si>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</si>
  <si>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</si>
  <si>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</si>
  <si>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</si>
  <si>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</si>
  <si>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</si>
  <si>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</si>
  <si>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</si>
  <si>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</si>
  <si>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</si>
  <si>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</si>
  <si>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</si>
  <si>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</si>
  <si>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</si>
  <si>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</si>
  <si>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</si>
  <si>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</si>
  <si>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</si>
  <si>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</si>
  <si>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</si>
  <si>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</si>
  <si>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</si>
  <si>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</si>
  <si>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</si>
  <si>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</si>
  <si>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</si>
  <si>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</si>
  <si>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</si>
  <si>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</si>
  <si>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</si>
  <si>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</si>
  <si>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</si>
  <si>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</si>
  <si>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</si>
  <si>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</si>
  <si>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</si>
  <si>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</si>
  <si>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</si>
  <si>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</si>
  <si>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</si>
  <si>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</si>
  <si>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</si>
  <si>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</si>
  <si>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</si>
  <si>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</si>
  <si>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</si>
  <si>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</si>
  <si>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</si>
  <si>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</si>
  <si>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</si>
  <si>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</si>
  <si>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</si>
  <si>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</si>
  <si>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</si>
  <si>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</si>
  <si>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</si>
  <si>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</si>
  <si>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</si>
  <si>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</si>
  <si>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</si>
  <si>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</si>
  <si>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</si>
  <si>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</si>
  <si>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</si>
  <si>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</si>
  <si>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</si>
  <si>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</si>
  <si>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</si>
  <si>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</si>
  <si>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</si>
  <si>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</si>
  <si>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</si>
  <si>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</si>
  <si>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</si>
  <si>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</si>
  <si>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</si>
  <si>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</si>
  <si>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</si>
  <si>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</si>
  <si>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</si>
  <si>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</si>
  <si>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</si>
  <si>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</si>
  <si>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</si>
  <si>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</si>
  <si>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</si>
  <si>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</si>
  <si>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</si>
  <si>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</si>
  <si>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</si>
  <si>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</si>
  <si>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</si>
  <si>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</si>
  <si>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</si>
  <si>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</si>
  <si>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</si>
  <si>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</si>
  <si>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</si>
  <si>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</si>
  <si>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</si>
  <si>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</si>
  <si>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</si>
  <si>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</si>
  <si>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</si>
  <si>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</si>
  <si>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</si>
  <si>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</si>
  <si>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</si>
  <si>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</si>
  <si>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</si>
  <si>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</si>
  <si>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</si>
  <si>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</si>
  <si>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</si>
  <si>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</si>
  <si>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</si>
  <si>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</si>
  <si>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</si>
  <si>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</si>
  <si>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</si>
  <si>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</si>
  <si>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</si>
  <si>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</si>
  <si>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</si>
  <si>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</si>
  <si>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</si>
  <si>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</si>
  <si>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</si>
  <si>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</si>
  <si>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</si>
  <si>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</si>
  <si>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</si>
  <si>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</si>
  <si>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</si>
  <si>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</si>
  <si>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</si>
  <si>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</si>
  <si>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</si>
  <si>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</si>
  <si>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</si>
  <si>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</si>
  <si>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</si>
  <si>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</si>
  <si>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</si>
  <si>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</si>
  <si>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</si>
  <si>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</si>
  <si>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</si>
  <si>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</si>
  <si>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</si>
  <si>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</si>
  <si>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</si>
  <si>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</si>
  <si>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</si>
  <si>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</si>
  <si>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</si>
  <si>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</si>
  <si>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</si>
  <si>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</si>
  <si>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</si>
  <si>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</si>
  <si>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</si>
  <si>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</si>
  <si>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</si>
  <si>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</si>
  <si>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</si>
  <si>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</si>
  <si>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</si>
  <si>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</si>
  <si>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</si>
  <si>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</si>
  <si>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</si>
  <si>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</si>
  <si>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</si>
  <si>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</si>
  <si>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</si>
  <si>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</si>
  <si>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</si>
  <si>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</si>
  <si>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</si>
  <si>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</si>
  <si>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</si>
  <si>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</si>
  <si>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</si>
  <si>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</si>
  <si>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</si>
  <si>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</si>
  <si>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</si>
  <si>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</si>
  <si>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</si>
  <si>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</si>
  <si>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</si>
  <si>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</si>
  <si>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</si>
  <si>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</si>
  <si>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</si>
  <si>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</si>
  <si>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</si>
  <si>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</si>
  <si>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</si>
  <si>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</si>
  <si>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</si>
  <si>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</si>
  <si>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</si>
  <si>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</si>
  <si>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</si>
  <si>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</si>
  <si>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</si>
  <si>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</si>
  <si>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</si>
  <si>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</si>
  <si>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</si>
  <si>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</si>
  <si>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</si>
  <si>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</si>
  <si>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</si>
  <si>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</si>
  <si>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</si>
  <si>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</si>
  <si>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</si>
  <si>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</si>
  <si>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</si>
  <si>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</si>
  <si>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</si>
  <si>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</si>
  <si>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</si>
  <si>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</si>
  <si>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</si>
  <si>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</si>
  <si>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</si>
  <si>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</si>
  <si>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</si>
  <si>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</si>
  <si>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</si>
  <si>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</si>
  <si>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</si>
  <si>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</si>
  <si>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</si>
  <si>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</si>
  <si>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</si>
  <si>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</si>
  <si>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</si>
  <si>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</si>
  <si>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</si>
  <si>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</si>
  <si>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</si>
  <si>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</si>
  <si>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</si>
  <si>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</si>
  <si>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</si>
  <si>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</si>
  <si>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</si>
  <si>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</si>
  <si>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</si>
  <si>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</si>
  <si>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</si>
  <si>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</si>
  <si>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</si>
  <si>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</si>
  <si>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</si>
  <si>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</si>
  <si>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</si>
  <si>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</si>
  <si>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</si>
  <si>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</si>
  <si>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</si>
  <si>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</si>
  <si>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</si>
  <si>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</si>
  <si>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</si>
  <si>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</si>
  <si>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</si>
  <si>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</si>
  <si>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</si>
  <si>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</si>
  <si>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</si>
  <si>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</si>
  <si>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</si>
  <si>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</si>
  <si>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</si>
  <si>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</si>
  <si>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</si>
  <si>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</si>
  <si>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</si>
  <si>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</si>
  <si>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</si>
  <si>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</si>
  <si>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</si>
  <si>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</si>
  <si>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</si>
  <si>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</si>
  <si>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</si>
  <si>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</si>
  <si>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</si>
  <si>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</si>
  <si>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</si>
  <si>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</si>
  <si>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</si>
  <si>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</si>
  <si>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</si>
  <si>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</si>
  <si>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</si>
  <si>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</si>
  <si>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</si>
  <si>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</si>
  <si>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</si>
  <si>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</si>
  <si>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</si>
  <si>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</si>
  <si>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</si>
  <si>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</si>
  <si>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</si>
  <si>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</si>
  <si>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</si>
  <si>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</si>
  <si>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</si>
  <si>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</si>
  <si>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</si>
  <si>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</si>
  <si>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</si>
  <si>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</si>
  <si>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</si>
  <si>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</si>
  <si>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</si>
  <si>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</si>
  <si>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</si>
  <si>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</si>
  <si>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</si>
  <si>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</si>
  <si>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</si>
  <si>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</si>
  <si>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</si>
  <si>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</si>
  <si>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</si>
  <si>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</si>
  <si>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</si>
  <si>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</si>
  <si>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</si>
  <si>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</si>
  <si>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</si>
  <si>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</si>
  <si>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</si>
  <si>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</si>
  <si>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</si>
  <si>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</si>
  <si>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</si>
  <si>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</si>
  <si>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</si>
  <si>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</si>
  <si>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</si>
  <si>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</si>
  <si>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</si>
  <si>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</si>
  <si>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</si>
  <si>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</si>
  <si>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</si>
  <si>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</si>
  <si>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</si>
  <si>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</si>
  <si>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</si>
  <si>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</si>
  <si>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</si>
  <si>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</si>
  <si>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</si>
  <si>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</si>
  <si>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</si>
  <si>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</si>
  <si>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</si>
  <si>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</si>
  <si>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</si>
  <si>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</si>
  <si>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</si>
  <si>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</si>
  <si>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</si>
  <si>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</si>
  <si>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</si>
  <si>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</si>
  <si>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</si>
  <si>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</si>
  <si>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</si>
  <si>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</si>
  <si>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</si>
  <si>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</si>
  <si>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</si>
  <si>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</si>
  <si>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</si>
  <si>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</si>
  <si>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</si>
  <si>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</si>
  <si>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</si>
  <si>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</si>
  <si>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</si>
  <si>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</si>
  <si>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</si>
  <si>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</si>
  <si>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</si>
  <si>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</si>
  <si>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</si>
  <si>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</si>
  <si>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</si>
  <si>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</si>
  <si>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</si>
  <si>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</si>
  <si>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</si>
  <si>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</si>
  <si>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</si>
  <si>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</si>
  <si>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</si>
  <si>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</si>
  <si>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</si>
  <si>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</si>
  <si>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</si>
  <si>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</si>
  <si>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</si>
  <si>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</si>
  <si>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</si>
  <si>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</si>
  <si>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</si>
  <si>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</si>
  <si>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</si>
  <si>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</si>
  <si>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</si>
  <si>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</si>
  <si>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</si>
  <si>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</si>
  <si>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</si>
  <si>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</si>
  <si>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</si>
  <si>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</si>
  <si>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</si>
  <si>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</si>
  <si>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</si>
  <si>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</si>
  <si>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</si>
  <si>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</si>
  <si>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</si>
  <si>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</si>
  <si>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</si>
  <si>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</si>
  <si>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</si>
  <si>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</si>
  <si>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</si>
  <si>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</si>
  <si>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</si>
  <si>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</si>
  <si>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</si>
  <si>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</si>
  <si>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</si>
  <si>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</si>
  <si>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</si>
  <si>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</si>
  <si>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</si>
  <si>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</si>
  <si>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</si>
  <si>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</si>
  <si>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</si>
  <si>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</si>
  <si>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</si>
  <si>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</si>
  <si>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</si>
  <si>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</si>
  <si>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</si>
  <si>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</si>
  <si>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</si>
  <si>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</si>
  <si>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</si>
  <si>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</si>
  <si>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</si>
  <si>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</si>
  <si>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</si>
  <si>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</si>
  <si>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</si>
  <si>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</si>
  <si>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</si>
  <si>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</si>
  <si>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</si>
  <si>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</si>
  <si>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</si>
  <si>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</si>
  <si>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</si>
  <si>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</si>
  <si>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</si>
  <si>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</si>
  <si>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</si>
  <si>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</si>
  <si>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</si>
  <si>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</si>
  <si>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</si>
  <si>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</si>
  <si>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</si>
  <si>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</si>
  <si>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</si>
  <si>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</si>
  <si>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</si>
  <si>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</si>
  <si>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</si>
  <si>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</si>
  <si>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</si>
  <si>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</si>
  <si>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</si>
  <si>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</si>
  <si>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</si>
  <si>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</si>
  <si>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</si>
  <si>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</si>
  <si>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</si>
  <si>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</si>
  <si>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</si>
  <si>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</si>
  <si>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</si>
  <si>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</si>
  <si>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</si>
  <si>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</si>
  <si>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</si>
  <si>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</si>
  <si>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</si>
  <si>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</si>
  <si>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</si>
  <si>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</si>
  <si>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</si>
  <si>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</si>
  <si>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</si>
  <si>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</si>
  <si>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</si>
  <si>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</si>
  <si>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</si>
  <si>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</si>
  <si>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</si>
  <si>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</si>
  <si>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</si>
  <si>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</si>
  <si>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</si>
  <si>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</si>
  <si>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</si>
  <si>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</si>
  <si>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</si>
  <si>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</si>
  <si>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</si>
  <si>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</si>
  <si>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</si>
  <si>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</si>
  <si>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</si>
  <si>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</si>
  <si>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</si>
  <si>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</si>
  <si>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</si>
  <si>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</si>
  <si>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</si>
  <si>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</si>
  <si>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</si>
  <si>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</si>
  <si>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</si>
  <si>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</si>
  <si>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</si>
  <si>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</si>
  <si>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</si>
  <si>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</si>
  <si>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</si>
  <si>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</si>
  <si>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</si>
  <si>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</si>
  <si>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</si>
  <si>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</si>
  <si>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</si>
  <si>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</si>
  <si>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</si>
  <si>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</si>
  <si>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</si>
  <si>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</si>
  <si>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</si>
  <si>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</si>
  <si>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</si>
  <si>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</si>
  <si>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</si>
  <si>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</si>
  <si>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</si>
  <si>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</si>
  <si>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</si>
  <si>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</si>
  <si>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</si>
  <si>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</si>
  <si>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</si>
  <si>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</si>
  <si>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</si>
  <si>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</si>
  <si>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</si>
  <si>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</si>
  <si>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</si>
  <si>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</si>
  <si>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</si>
  <si>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</si>
  <si>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</si>
  <si>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</si>
  <si>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</si>
  <si>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</si>
  <si>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</si>
  <si>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</si>
  <si>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</si>
  <si>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</si>
  <si>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</si>
  <si>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</si>
  <si>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</si>
  <si>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</si>
  <si>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</si>
  <si>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</si>
  <si>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</si>
  <si>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</si>
  <si>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</si>
  <si>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</si>
  <si>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</si>
  <si>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</si>
  <si>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</si>
  <si>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</si>
  <si>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</si>
  <si>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</si>
  <si>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</si>
  <si>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</si>
  <si>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</si>
  <si>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</si>
  <si>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</si>
  <si>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</si>
  <si>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</si>
  <si>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</si>
  <si>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</si>
  <si>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</si>
  <si>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</si>
  <si>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</si>
  <si>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</si>
  <si>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</si>
  <si>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</si>
  <si>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</si>
  <si>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</si>
  <si>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</si>
  <si>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</si>
  <si>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</si>
  <si>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</si>
  <si>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</si>
  <si>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</si>
  <si>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</si>
  <si>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</si>
  <si>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</si>
  <si>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</si>
  <si>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</si>
  <si>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</si>
  <si>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</si>
  <si>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</si>
  <si>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</si>
  <si>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</si>
  <si>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</si>
  <si>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</si>
  <si>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</si>
  <si>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</si>
  <si>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</si>
  <si>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</si>
  <si>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</si>
  <si>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</si>
  <si>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</si>
  <si>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</si>
  <si>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</si>
  <si>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</si>
  <si>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</si>
  <si>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</si>
  <si>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</si>
  <si>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</si>
  <si>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</si>
  <si>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</si>
  <si>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</si>
  <si>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</si>
  <si>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</si>
  <si>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</si>
  <si>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</si>
  <si>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</si>
  <si>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</si>
  <si>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</si>
  <si>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</si>
  <si>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</si>
  <si>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</si>
  <si>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</si>
  <si>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</si>
  <si>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</si>
  <si>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</si>
  <si>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</si>
  <si>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</si>
  <si>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</si>
  <si>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</si>
  <si>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</si>
  <si>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</si>
  <si>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</si>
  <si>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</si>
  <si>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</si>
  <si>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</si>
  <si>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</si>
  <si>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</si>
  <si>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</si>
  <si>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</si>
  <si>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</si>
  <si>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</si>
  <si>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</si>
  <si>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</si>
  <si>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</si>
  <si>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</si>
  <si>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</si>
  <si>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</si>
  <si>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</si>
  <si>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</si>
  <si>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</si>
  <si>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</si>
  <si>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</si>
  <si>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</si>
  <si>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</si>
  <si>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</si>
  <si>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</si>
  <si>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</si>
  <si>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</si>
  <si>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</si>
  <si>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</si>
  <si>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</si>
  <si>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</si>
  <si>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</si>
  <si>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</si>
  <si>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</si>
  <si>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</si>
  <si>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</si>
  <si>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</si>
  <si>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</si>
  <si>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</si>
  <si>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</si>
  <si>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</si>
  <si>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</si>
  <si>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</si>
  <si>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</si>
  <si>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</si>
  <si>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</si>
  <si>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</si>
  <si>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</si>
  <si>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</si>
  <si>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</si>
  <si>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</si>
  <si>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</si>
  <si>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</si>
  <si>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</si>
  <si>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</si>
  <si>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</si>
  <si>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</si>
  <si>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</si>
  <si>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</si>
  <si>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</si>
  <si>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</si>
  <si>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</si>
  <si>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</si>
  <si>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</si>
  <si>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</si>
  <si>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</si>
  <si>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</si>
  <si>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</si>
  <si>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</si>
  <si>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</si>
  <si>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</si>
  <si>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</si>
  <si>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</si>
  <si>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</si>
  <si>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</si>
  <si>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</si>
  <si>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</si>
  <si>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</si>
  <si>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</si>
  <si>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</si>
  <si>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</si>
  <si>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</si>
  <si>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</si>
  <si>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</si>
  <si>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</si>
  <si>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</si>
  <si>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</si>
  <si>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</si>
  <si>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</si>
  <si>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</si>
  <si>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</si>
  <si>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</si>
  <si>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</si>
  <si>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</si>
  <si>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</si>
  <si>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</si>
  <si>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</si>
  <si>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</si>
  <si>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</si>
  <si>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</si>
  <si>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</si>
  <si>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</si>
  <si>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</si>
  <si>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</si>
  <si>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</si>
  <si>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</si>
  <si>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</si>
  <si>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</si>
  <si>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</si>
  <si>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</si>
  <si>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</si>
  <si>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</si>
  <si>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</si>
  <si>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</si>
  <si>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</si>
  <si>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</si>
  <si>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</si>
  <si>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</si>
  <si>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</si>
  <si>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</si>
  <si>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</si>
  <si>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</si>
  <si>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</si>
  <si>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</si>
  <si>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</si>
  <si>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</si>
  <si>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</si>
  <si>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</si>
  <si>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</si>
  <si>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</si>
  <si>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</si>
  <si>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</si>
  <si>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</si>
  <si>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</si>
  <si>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</si>
  <si>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</si>
  <si>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</si>
  <si>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</si>
  <si>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</si>
  <si>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</si>
  <si>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</si>
  <si>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</si>
  <si>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</si>
  <si>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</si>
  <si>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</si>
  <si>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</si>
  <si>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</si>
  <si>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</si>
  <si>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</si>
  <si>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</si>
  <si>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</si>
  <si>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</si>
  <si>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</si>
  <si>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</si>
  <si>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</si>
  <si>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</si>
  <si>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</si>
  <si>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</si>
  <si>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</si>
  <si>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</si>
  <si>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</si>
  <si>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</si>
  <si>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</si>
  <si>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</si>
  <si>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</si>
  <si>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</si>
  <si>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</si>
  <si>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</si>
  <si>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</si>
  <si>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</si>
  <si>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</si>
  <si>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</si>
  <si>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</si>
  <si>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</si>
  <si>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</si>
  <si>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</si>
  <si>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</si>
  <si>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</si>
  <si>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</si>
  <si>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</si>
  <si>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</si>
  <si>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</si>
  <si>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</si>
  <si>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</si>
  <si>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</si>
  <si>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</si>
  <si>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</si>
  <si>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</si>
  <si>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</si>
  <si>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</si>
  <si>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</si>
  <si>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</si>
  <si>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</si>
  <si>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</si>
  <si>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</si>
  <si>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</si>
  <si>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</si>
  <si>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</si>
  <si>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</si>
  <si>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</si>
  <si>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</si>
  <si>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</si>
  <si>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</si>
  <si>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</si>
  <si>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</si>
  <si>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</si>
  <si>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</si>
  <si>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</si>
  <si>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</si>
  <si>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</si>
  <si>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</si>
  <si>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</si>
  <si>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</si>
  <si>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</si>
  <si>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</si>
  <si>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</si>
  <si>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</si>
  <si>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</si>
  <si>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</si>
  <si>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</si>
  <si>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</si>
  <si>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</si>
  <si>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</si>
  <si>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</si>
  <si>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</si>
  <si>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</si>
  <si>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</si>
  <si>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</si>
  <si>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</si>
  <si>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</si>
  <si>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</si>
  <si>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</si>
  <si>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</si>
  <si>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</si>
  <si>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</si>
  <si>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</si>
  <si>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</si>
  <si>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</si>
  <si>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</si>
  <si>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</si>
  <si>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</si>
  <si>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</si>
  <si>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</si>
  <si>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</si>
  <si>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</si>
  <si>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</si>
  <si>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</si>
  <si>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</si>
  <si>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</si>
  <si>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</si>
  <si>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</si>
  <si>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</si>
  <si>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</si>
  <si>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</si>
  <si>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</si>
  <si>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</si>
  <si>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</si>
  <si>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</si>
  <si>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</si>
  <si>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</si>
  <si>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</si>
  <si>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</si>
  <si>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</si>
  <si>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</si>
  <si>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</si>
  <si>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</si>
  <si>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</si>
  <si>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</si>
  <si>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</si>
  <si>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</si>
  <si>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</si>
  <si>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</si>
  <si>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</si>
  <si>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</si>
  <si>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</si>
  <si>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</si>
  <si>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</si>
  <si>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</si>
  <si>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</si>
  <si>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</si>
  <si>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</si>
  <si>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</si>
  <si>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</si>
  <si>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</si>
  <si>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</si>
  <si>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</si>
  <si>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</si>
  <si>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</si>
  <si>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</si>
  <si>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</si>
  <si>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</si>
  <si>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</si>
  <si>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</si>
  <si>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</si>
  <si>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</si>
  <si>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</si>
  <si>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</si>
  <si>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</si>
  <si>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</si>
  <si>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</si>
  <si>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</si>
  <si>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</si>
  <si>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</si>
  <si>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</si>
  <si>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</si>
  <si>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</si>
  <si>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</si>
  <si>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</si>
  <si>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</si>
  <si>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</si>
  <si>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</si>
  <si>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</si>
  <si>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</si>
  <si>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</si>
  <si>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</si>
  <si>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</si>
  <si>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</si>
  <si>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</si>
  <si>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</si>
  <si>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</si>
  <si>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</si>
  <si>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</si>
  <si>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</si>
  <si>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</si>
  <si>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</si>
  <si>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</si>
  <si>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</si>
  <si>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</si>
  <si>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</si>
  <si>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</si>
  <si>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</si>
  <si>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</si>
  <si>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</si>
  <si>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</si>
  <si>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</si>
  <si>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</si>
  <si>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</si>
  <si>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</si>
  <si>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</si>
  <si>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</si>
  <si>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</si>
  <si>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</si>
  <si>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</si>
  <si>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</si>
  <si>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</si>
  <si>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</si>
  <si>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</si>
  <si>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</si>
  <si>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</si>
  <si>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</si>
  <si>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</si>
  <si>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</si>
  <si>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</si>
  <si>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</si>
  <si>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</si>
  <si>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</si>
  <si>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</si>
  <si>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</si>
  <si>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</si>
  <si>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</si>
  <si>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</si>
  <si>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</si>
  <si>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</si>
  <si>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</si>
  <si>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</si>
  <si>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</si>
  <si>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</si>
  <si>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</si>
  <si>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</si>
  <si>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</si>
  <si>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</si>
  <si>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</si>
  <si>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</si>
  <si>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</si>
  <si>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</si>
  <si>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</si>
  <si>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</si>
  <si>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</si>
  <si>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</si>
  <si>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</si>
  <si>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</si>
  <si>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</si>
  <si>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</si>
  <si>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</si>
  <si>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</si>
  <si>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</si>
  <si>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</si>
  <si>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</si>
  <si>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</si>
  <si>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</si>
  <si>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</si>
  <si>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</si>
  <si>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</si>
  <si>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</si>
  <si>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</si>
  <si>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</si>
  <si>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</si>
  <si>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</si>
  <si>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</si>
  <si>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</si>
  <si>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</si>
  <si>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</si>
  <si>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</si>
  <si>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</si>
  <si>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</si>
  <si>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</si>
  <si>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</si>
  <si>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</si>
  <si>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</si>
  <si>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</si>
  <si>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</si>
  <si>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</si>
  <si>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</si>
  <si>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</si>
  <si>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</si>
  <si>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</si>
  <si>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</si>
  <si>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</si>
  <si>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</si>
  <si>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</si>
  <si>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</si>
  <si>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</si>
  <si>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</si>
  <si>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</si>
  <si>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</si>
  <si>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</si>
  <si>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</si>
  <si>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</si>
  <si>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</si>
  <si>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</si>
  <si>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</si>
  <si>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</si>
  <si>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</si>
  <si>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</si>
  <si>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</si>
  <si>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</si>
  <si>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</si>
  <si>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</si>
  <si>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</si>
  <si>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</si>
  <si>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</si>
  <si>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</si>
  <si>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</si>
  <si>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</si>
  <si>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</si>
  <si>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</si>
  <si>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</si>
  <si>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</si>
  <si>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</si>
  <si>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</si>
  <si>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</si>
  <si>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</si>
  <si>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</si>
  <si>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</si>
  <si>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</si>
  <si>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</si>
  <si>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</si>
  <si>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</si>
  <si>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</si>
  <si>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</si>
  <si>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</si>
  <si>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</si>
  <si>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</si>
  <si>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</si>
  <si>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</si>
  <si>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</si>
  <si>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</si>
  <si>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</si>
  <si>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</si>
  <si>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</si>
  <si>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</si>
  <si>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</si>
  <si>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</si>
  <si>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</si>
  <si>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</si>
  <si>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</si>
  <si>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</si>
  <si>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</si>
  <si>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</si>
  <si>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</si>
  <si>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</si>
  <si>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</si>
  <si>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</si>
  <si>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</si>
  <si>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</si>
  <si>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</si>
  <si>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</si>
  <si>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</si>
  <si>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</si>
  <si>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</si>
  <si>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</si>
  <si>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</si>
  <si>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</si>
  <si>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</si>
  <si>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</si>
  <si>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</si>
  <si>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</si>
  <si>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</si>
  <si>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</si>
  <si>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</si>
  <si>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</si>
  <si>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</si>
  <si>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</si>
  <si>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</si>
  <si>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</si>
  <si>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</si>
  <si>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</si>
  <si>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</si>
  <si>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</si>
  <si>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</si>
  <si>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</si>
  <si>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</si>
  <si>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</si>
  <si>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</si>
  <si>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</si>
  <si>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</si>
  <si>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</si>
  <si>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</si>
  <si>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</si>
  <si>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</si>
  <si>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</si>
  <si>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</si>
  <si>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</si>
  <si>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</si>
  <si>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</si>
  <si>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</si>
  <si>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</si>
  <si>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</si>
  <si>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</si>
  <si>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</si>
  <si>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</si>
  <si>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</si>
  <si>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</si>
  <si>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</si>
  <si>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</si>
  <si>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</si>
  <si>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</si>
  <si>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</si>
  <si>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</si>
  <si>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</si>
  <si>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</si>
  <si>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</si>
  <si>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</si>
  <si>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</si>
  <si>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</si>
  <si>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</si>
  <si>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</si>
  <si>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</si>
  <si>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</si>
  <si>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</si>
  <si>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</si>
  <si>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</si>
  <si>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</si>
  <si>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</si>
  <si>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</si>
  <si>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</si>
  <si>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</si>
  <si>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</si>
  <si>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</si>
  <si>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</si>
  <si>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</si>
  <si>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</si>
  <si>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</si>
  <si>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</si>
  <si>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</si>
  <si>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</si>
  <si>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</si>
  <si>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</si>
  <si>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</si>
  <si>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</si>
  <si>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</si>
  <si>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</si>
  <si>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</si>
  <si>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</si>
  <si>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</si>
  <si>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</si>
  <si>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</si>
  <si>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</si>
  <si>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</si>
  <si>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</si>
  <si>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</si>
  <si>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</si>
  <si>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</si>
  <si>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</si>
  <si>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</si>
  <si>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</si>
  <si>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</si>
  <si>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</si>
  <si>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</si>
  <si>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</si>
  <si>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</si>
  <si>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</si>
  <si>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</si>
  <si>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</si>
  <si>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</si>
  <si>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</si>
  <si>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</si>
  <si>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</si>
  <si>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</si>
  <si>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</si>
  <si>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</si>
  <si>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</si>
  <si>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</si>
  <si>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</si>
  <si>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</si>
  <si>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</si>
  <si>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</si>
  <si>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</si>
  <si>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</si>
  <si>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</si>
  <si>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</si>
  <si>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</si>
  <si>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</si>
  <si>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</si>
  <si>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</si>
  <si>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</si>
  <si>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</si>
  <si>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</si>
  <si>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</si>
  <si>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</si>
  <si>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</si>
  <si>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</si>
  <si>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</si>
  <si>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</si>
  <si>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</si>
  <si>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</si>
  <si>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</si>
  <si>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</si>
  <si>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</si>
  <si>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</si>
  <si>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</si>
  <si>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</si>
  <si>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</si>
  <si>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</si>
  <si>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</si>
  <si>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</si>
  <si>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</si>
  <si>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</si>
  <si>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</si>
  <si>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</si>
  <si>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</si>
  <si>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</si>
  <si>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</si>
  <si>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</si>
  <si>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</si>
  <si>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</si>
  <si>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</si>
  <si>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</si>
  <si>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</si>
  <si>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</si>
  <si>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</si>
  <si>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</si>
  <si>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</si>
  <si>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</si>
  <si>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</si>
  <si>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</si>
  <si>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</si>
  <si>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</si>
  <si>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</si>
  <si>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</si>
  <si>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</si>
  <si>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</si>
  <si>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</si>
  <si>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</si>
  <si>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</si>
  <si>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</si>
  <si>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</si>
  <si>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</si>
  <si>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</si>
  <si>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</si>
  <si>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</si>
  <si>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</si>
  <si>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</si>
  <si>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</si>
  <si>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</si>
  <si>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</si>
  <si>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</si>
  <si>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</si>
  <si>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</si>
  <si>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</si>
  <si>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</si>
  <si>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</si>
  <si>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</si>
  <si>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</si>
  <si>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</si>
  <si>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</si>
  <si>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</si>
  <si>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</si>
  <si>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</si>
  <si>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</si>
  <si>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</si>
  <si>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</si>
  <si>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</si>
  <si>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</si>
  <si>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</si>
  <si>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</si>
  <si>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</si>
  <si>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</si>
  <si>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</si>
  <si>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</si>
  <si>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</si>
  <si>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</si>
  <si>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</si>
  <si>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</si>
  <si>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</si>
  <si>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</si>
  <si>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</si>
  <si>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</si>
  <si>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</si>
  <si>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</si>
  <si>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</si>
  <si>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</si>
  <si>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</si>
  <si>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</si>
  <si>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</si>
  <si>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</si>
  <si>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</si>
  <si>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</si>
  <si>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</si>
  <si>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</si>
  <si>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</si>
  <si>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</si>
  <si>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</si>
  <si>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</si>
  <si>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</si>
  <si>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</si>
  <si>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</si>
  <si>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</si>
  <si>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</si>
  <si>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</si>
  <si>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</si>
  <si>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</si>
  <si>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</si>
  <si>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</si>
  <si>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</si>
  <si>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</si>
  <si>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</si>
  <si>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</si>
  <si>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</si>
  <si>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</si>
  <si>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</si>
  <si>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</si>
  <si>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</si>
  <si>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</si>
  <si>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</si>
  <si>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</si>
  <si>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</si>
  <si>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</si>
  <si>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</si>
  <si>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</si>
  <si>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</si>
  <si>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</si>
  <si>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</si>
  <si>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</si>
  <si>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</si>
  <si>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</si>
  <si>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</si>
  <si>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</si>
  <si>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</si>
  <si>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</si>
  <si>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</si>
  <si>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</si>
  <si>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</si>
  <si>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</si>
  <si>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</si>
  <si>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</si>
  <si>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</si>
  <si>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</si>
  <si>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</si>
  <si>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</si>
  <si>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</si>
  <si>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</si>
  <si>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</si>
  <si>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</si>
  <si>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</si>
  <si>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</si>
  <si>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</si>
  <si>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</si>
  <si>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</si>
  <si>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</si>
  <si>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</si>
  <si>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</si>
  <si>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</si>
  <si>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</si>
  <si>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</si>
  <si>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</si>
  <si>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</si>
  <si>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</si>
  <si>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</si>
  <si>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</si>
  <si>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</si>
  <si>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</si>
  <si>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</si>
  <si>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</si>
  <si>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</si>
  <si>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</si>
  <si>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</si>
  <si>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</si>
  <si>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</si>
  <si>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</si>
  <si>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</si>
  <si>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</si>
  <si>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</si>
  <si>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</si>
  <si>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</si>
  <si>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</si>
  <si>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</si>
  <si>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</si>
  <si>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</si>
  <si>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</si>
  <si>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</si>
  <si>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</si>
  <si>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</si>
  <si>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</si>
  <si>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</si>
  <si>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</si>
  <si>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</si>
  <si>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</si>
  <si>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</si>
  <si>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</si>
  <si>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</si>
  <si>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</si>
  <si>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</si>
  <si>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</si>
  <si>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</si>
  <si>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</si>
  <si>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</si>
  <si>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</si>
  <si>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</si>
  <si>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</si>
  <si>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</si>
  <si>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</si>
  <si>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</si>
  <si>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</si>
  <si>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</si>
  <si>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</si>
  <si>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</si>
  <si>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</si>
  <si>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</si>
  <si>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</si>
  <si>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</si>
  <si>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</si>
  <si>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</si>
  <si>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</si>
  <si>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</si>
  <si>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</si>
  <si>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</si>
  <si>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</si>
  <si>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</si>
  <si>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</si>
  <si>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</si>
  <si>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</si>
  <si>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</si>
  <si>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</si>
  <si>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</si>
  <si>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</si>
  <si>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</si>
  <si>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</si>
  <si>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</si>
  <si>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</si>
  <si>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</si>
  <si>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</si>
  <si>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</si>
  <si>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</si>
  <si>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</si>
  <si>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</si>
  <si>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</si>
  <si>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</si>
  <si>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</si>
  <si>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</si>
  <si>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</si>
  <si>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</si>
  <si>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</si>
  <si>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</si>
  <si>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</si>
  <si>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</si>
  <si>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</si>
  <si>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</si>
  <si>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</si>
  <si>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</si>
  <si>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</si>
  <si>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</si>
  <si>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</si>
  <si>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</si>
  <si>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</si>
  <si>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</si>
  <si>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</si>
  <si>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</si>
  <si>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</si>
  <si>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</si>
  <si>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</si>
  <si>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</si>
  <si>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</si>
  <si>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</si>
  <si>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</si>
  <si>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</si>
  <si>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</si>
  <si>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</si>
  <si>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</si>
  <si>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</si>
  <si>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</si>
  <si>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</si>
  <si>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</si>
  <si>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</si>
  <si>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</si>
  <si>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</si>
  <si>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</si>
  <si>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</si>
  <si>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</si>
  <si>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</si>
  <si>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</si>
  <si>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</si>
  <si>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</si>
  <si>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</si>
  <si>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</si>
  <si>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</si>
  <si>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</si>
  <si>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</si>
  <si>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</si>
  <si>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</si>
  <si>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</si>
  <si>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</si>
  <si>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</si>
  <si>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</si>
  <si>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</si>
  <si>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</si>
  <si>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</si>
  <si>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</si>
  <si>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</si>
  <si>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</si>
  <si>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</si>
  <si>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</si>
  <si>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</si>
  <si>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</si>
  <si>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</si>
  <si>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</si>
  <si>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</si>
  <si>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</si>
  <si>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</si>
  <si>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</si>
  <si>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</si>
  <si>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</si>
  <si>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</si>
  <si>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</si>
  <si>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</si>
  <si>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</si>
  <si>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</si>
  <si>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</si>
  <si>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</si>
  <si>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</si>
  <si>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</si>
  <si>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</si>
  <si>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</si>
  <si>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</si>
  <si>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</si>
  <si>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</si>
  <si>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</si>
  <si>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</si>
  <si>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</si>
  <si>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</si>
  <si>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</si>
  <si>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</si>
  <si>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</si>
  <si>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</si>
  <si>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</si>
  <si>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</si>
  <si>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</si>
  <si>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</si>
  <si>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</si>
  <si>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</si>
  <si>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</si>
  <si>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</si>
  <si>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</si>
  <si>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</si>
  <si>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</si>
  <si>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</si>
  <si>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</si>
  <si>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</si>
  <si>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</si>
  <si>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</si>
  <si>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</si>
  <si>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</si>
  <si>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</si>
  <si>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</si>
  <si>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</si>
  <si>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</si>
  <si>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</si>
  <si>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</si>
  <si>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</si>
  <si>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</si>
  <si>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</si>
  <si>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</si>
  <si>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</si>
  <si>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</si>
  <si>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</si>
  <si>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</si>
  <si>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</si>
  <si>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</si>
  <si>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</si>
  <si>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</si>
  <si>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</si>
  <si>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</si>
  <si>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</si>
  <si>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</si>
  <si>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</si>
  <si>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</si>
  <si>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</si>
  <si>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</si>
  <si>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</si>
  <si>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</si>
  <si>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</si>
  <si>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</si>
  <si>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</si>
  <si>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</si>
  <si>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</si>
  <si>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</si>
  <si>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</si>
  <si>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</si>
  <si>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</si>
  <si>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</si>
  <si>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</si>
  <si>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</si>
  <si>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</si>
  <si>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</si>
  <si>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</si>
  <si>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</si>
  <si>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</si>
  <si>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</si>
  <si>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</si>
  <si>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</si>
  <si>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</si>
  <si>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</si>
  <si>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</si>
  <si>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</si>
  <si>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</si>
  <si>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</si>
  <si>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</si>
  <si>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</si>
  <si>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</si>
  <si>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</si>
  <si>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</si>
  <si>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</si>
  <si>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</si>
  <si>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</si>
  <si>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</si>
  <si>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</si>
  <si>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</si>
  <si>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</si>
  <si>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</si>
  <si>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</si>
  <si>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</si>
  <si>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</si>
  <si>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</si>
  <si>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</si>
  <si>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</si>
  <si>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</si>
  <si>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</si>
  <si>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</si>
  <si>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</si>
  <si>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</si>
  <si>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</si>
  <si>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</si>
  <si>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</si>
  <si>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</si>
  <si>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</si>
  <si>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</si>
  <si>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</si>
  <si>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</si>
  <si>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</si>
  <si>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</si>
  <si>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</si>
  <si>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</si>
  <si>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</si>
  <si>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</si>
  <si>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</si>
  <si>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</si>
  <si>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</si>
  <si>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</si>
  <si>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</si>
  <si>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</si>
  <si>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</si>
  <si>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</si>
  <si>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</si>
  <si>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</si>
  <si>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</si>
  <si>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</si>
  <si>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</si>
  <si>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</si>
  <si>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</si>
  <si>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</si>
  <si>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</si>
  <si>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</si>
  <si>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</si>
  <si>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</si>
  <si>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</si>
  <si>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</si>
  <si>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</si>
  <si>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</si>
  <si>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</si>
  <si>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</si>
  <si>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</si>
  <si>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</si>
  <si>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</si>
  <si>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</si>
  <si>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</si>
  <si>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</si>
  <si>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</si>
  <si>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</si>
  <si>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</si>
  <si>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</si>
  <si>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</si>
  <si>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</si>
  <si>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</si>
  <si>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</si>
  <si>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</si>
  <si>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</si>
  <si>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</si>
  <si>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</si>
  <si>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</si>
  <si>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</si>
  <si>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</si>
  <si>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</si>
  <si>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</si>
  <si>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</si>
  <si>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</si>
  <si>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</si>
  <si>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</si>
  <si>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</si>
  <si>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</si>
  <si>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</si>
  <si>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</si>
  <si>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</si>
  <si>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</si>
  <si>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</si>
  <si>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</si>
  <si>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</si>
  <si>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</si>
  <si>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</si>
  <si>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</si>
  <si>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</si>
  <si>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</si>
  <si>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</si>
  <si>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</si>
  <si>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</si>
  <si>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</si>
  <si>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</si>
  <si>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</si>
  <si>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</si>
  <si>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</si>
  <si>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</si>
  <si>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</si>
  <si>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</si>
  <si>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</si>
  <si>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</si>
  <si>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</si>
  <si>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</si>
  <si>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</si>
  <si>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</si>
  <si>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</si>
  <si>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</si>
  <si>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</si>
  <si>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</si>
  <si>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</si>
  <si>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</si>
  <si>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</si>
  <si>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</si>
  <si>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</si>
  <si>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</si>
  <si>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</si>
  <si>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</si>
  <si>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</si>
  <si>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</si>
  <si>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</si>
  <si>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</si>
  <si>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</si>
  <si>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</si>
  <si>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</si>
  <si>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</si>
  <si>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</si>
  <si>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</si>
  <si>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</si>
  <si>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</si>
  <si>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</si>
  <si>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</si>
  <si>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</si>
  <si>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</si>
  <si>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</si>
  <si>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</si>
  <si>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</si>
  <si>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</si>
  <si>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</si>
  <si>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</si>
  <si>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</si>
  <si>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</si>
  <si>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</si>
  <si>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</si>
  <si>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</si>
  <si>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</si>
  <si>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</si>
  <si>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</si>
  <si>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</si>
  <si>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</si>
  <si>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</si>
  <si>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</si>
  <si>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</si>
  <si>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</si>
  <si>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</si>
  <si>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</si>
  <si>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</si>
  <si>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</si>
  <si>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</si>
  <si>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</si>
  <si>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</si>
  <si>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</si>
  <si>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</si>
  <si>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</si>
  <si>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</si>
  <si>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</si>
  <si>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</si>
  <si>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</si>
  <si>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</si>
  <si>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</si>
  <si>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</si>
  <si>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</si>
  <si>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</si>
  <si>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</si>
  <si>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</si>
  <si>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</si>
  <si>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</si>
  <si>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</si>
  <si>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</si>
  <si>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</si>
  <si>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</si>
  <si>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</si>
  <si>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</si>
  <si>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</si>
  <si>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</si>
  <si>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</si>
  <si>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</si>
  <si>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</si>
  <si>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</si>
  <si>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</si>
  <si>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</si>
  <si>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</si>
  <si>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</si>
  <si>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</si>
  <si>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</si>
  <si>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</si>
  <si>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</si>
  <si>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</si>
  <si>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</si>
  <si>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</si>
  <si>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</si>
  <si>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</si>
  <si>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</si>
  <si>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</si>
  <si>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</si>
  <si>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</si>
  <si>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</si>
  <si>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</si>
  <si>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</si>
  <si>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</si>
  <si>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</si>
  <si>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</si>
  <si>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</si>
  <si>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</si>
  <si>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</si>
  <si>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</si>
  <si>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</si>
  <si>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</si>
  <si>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</si>
  <si>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</si>
  <si>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</si>
  <si>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</si>
  <si>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</si>
  <si>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</si>
  <si>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</si>
  <si>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</si>
  <si>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</si>
  <si>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</si>
  <si>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</si>
  <si>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</si>
  <si>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</si>
  <si>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</si>
  <si>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</si>
  <si>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</si>
  <si>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</si>
  <si>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</si>
  <si>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</si>
  <si>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</si>
  <si>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</si>
  <si>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</si>
  <si>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</si>
  <si>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</si>
  <si>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</si>
  <si>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</si>
  <si>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</si>
  <si>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</si>
  <si>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</si>
  <si>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</si>
  <si>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</si>
  <si>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</si>
  <si>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</si>
  <si>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</si>
  <si>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</si>
  <si>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</si>
  <si>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</si>
  <si>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</si>
  <si>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</si>
  <si>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</si>
  <si>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</si>
  <si>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</si>
  <si>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</si>
  <si>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</si>
  <si>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</si>
  <si>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</si>
  <si>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</si>
  <si>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</si>
  <si>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</si>
  <si>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</si>
  <si>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</si>
  <si>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</si>
  <si>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</si>
  <si>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</si>
  <si>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</si>
  <si>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</si>
  <si>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</si>
  <si>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</si>
  <si>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</si>
  <si>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</si>
  <si>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</si>
  <si>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</si>
  <si>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</si>
  <si>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</si>
  <si>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</si>
  <si>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</si>
  <si>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</si>
  <si>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</si>
  <si>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</si>
  <si>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</si>
  <si>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</si>
  <si>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</si>
  <si>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</si>
  <si>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</si>
  <si>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</si>
  <si>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</si>
  <si>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</si>
  <si>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</si>
  <si>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</si>
  <si>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</si>
  <si>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</si>
  <si>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</si>
  <si>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</si>
  <si>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</si>
  <si>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</si>
  <si>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</si>
  <si>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</si>
  <si>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</si>
  <si>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</si>
  <si>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</si>
  <si>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</si>
  <si>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</si>
  <si>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</si>
  <si>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</si>
  <si>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</si>
  <si>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</si>
  <si>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</si>
  <si>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</si>
  <si>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</si>
  <si>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</si>
  <si>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</si>
  <si>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</si>
  <si>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</si>
  <si>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</si>
  <si>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</si>
  <si>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</si>
  <si>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</si>
  <si>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</si>
  <si>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</si>
  <si>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</si>
  <si>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</si>
  <si>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</si>
  <si>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</si>
  <si>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</si>
  <si>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</si>
  <si>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</si>
  <si>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</si>
  <si>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</si>
  <si>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</si>
  <si>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</si>
  <si>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</si>
  <si>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</si>
  <si>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</si>
  <si>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</si>
  <si>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</si>
  <si>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</si>
  <si>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</si>
  <si>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</si>
  <si>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</si>
  <si>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</si>
  <si>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</si>
  <si>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</si>
  <si>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</si>
  <si>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</si>
  <si>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</si>
  <si>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</si>
  <si>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</si>
  <si>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</si>
  <si>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</si>
  <si>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</si>
  <si>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</si>
  <si>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</si>
  <si>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</si>
  <si>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</si>
  <si>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</si>
  <si>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</si>
  <si>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</si>
  <si>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</si>
  <si>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</si>
  <si>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</si>
  <si>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</si>
  <si>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</si>
  <si>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</si>
  <si>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</si>
  <si>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</si>
  <si>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</si>
  <si>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</si>
  <si>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</si>
  <si>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</si>
  <si>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</si>
  <si>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</si>
  <si>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</si>
  <si>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</si>
  <si>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</si>
  <si>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</si>
  <si>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</si>
  <si>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</si>
  <si>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</si>
  <si>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</si>
  <si>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</si>
  <si>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</si>
  <si>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</si>
  <si>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</si>
  <si>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</si>
  <si>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</si>
  <si>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</si>
  <si>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</si>
  <si>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</si>
  <si>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</si>
  <si>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</si>
  <si>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</si>
  <si>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</si>
  <si>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</si>
  <si>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</si>
  <si>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</si>
  <si>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</si>
  <si>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</si>
  <si>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</si>
  <si>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</si>
  <si>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</si>
  <si>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</si>
  <si>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</si>
  <si>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</si>
  <si>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</si>
  <si>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</si>
  <si>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</si>
  <si>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</si>
  <si>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</si>
  <si>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</si>
  <si>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</si>
  <si>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</si>
  <si>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</si>
  <si>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</si>
  <si>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</si>
  <si>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</si>
  <si>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</si>
  <si>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</si>
  <si>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</si>
  <si>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</si>
  <si>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</si>
  <si>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</si>
  <si>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</si>
  <si>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</si>
  <si>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</si>
  <si>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</si>
  <si>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</si>
  <si>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</si>
  <si>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</si>
  <si>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</si>
  <si>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</si>
  <si>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</si>
  <si>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</si>
  <si>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</si>
  <si>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</si>
  <si>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</si>
  <si>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</si>
  <si>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</si>
  <si>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</si>
  <si>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</si>
  <si>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</si>
  <si>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</si>
  <si>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</si>
  <si>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</si>
  <si>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</si>
  <si>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</si>
  <si>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</si>
  <si>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</si>
  <si>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</si>
  <si>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</si>
  <si>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</si>
  <si>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</si>
  <si>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</si>
  <si>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</si>
  <si>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</si>
  <si>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</si>
  <si>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</si>
  <si>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</si>
  <si>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</si>
  <si>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</si>
  <si>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</si>
  <si>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</si>
  <si>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</si>
  <si>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</si>
  <si>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</si>
  <si>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</si>
  <si>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</si>
  <si>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</si>
  <si>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</si>
  <si>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</si>
  <si>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</si>
  <si>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</si>
  <si>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</si>
  <si>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</si>
  <si>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</si>
  <si>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</si>
  <si>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</si>
  <si>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</si>
  <si>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</si>
  <si>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</si>
  <si>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</si>
  <si>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</si>
  <si>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</si>
  <si>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</si>
  <si>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</si>
  <si>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</si>
  <si>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</si>
  <si>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</si>
  <si>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</si>
  <si>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</si>
  <si>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</si>
  <si>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</si>
  <si>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</si>
  <si>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</si>
  <si>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</si>
  <si>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</si>
  <si>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</si>
  <si>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</si>
  <si>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</si>
  <si>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</si>
  <si>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</si>
  <si>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</si>
  <si>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</si>
  <si>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</si>
  <si>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</si>
  <si>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</si>
  <si>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</si>
  <si>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</si>
  <si>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</si>
  <si>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</si>
  <si>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</si>
  <si>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</si>
  <si>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</si>
  <si>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</si>
  <si>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</si>
  <si>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</si>
  <si>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</si>
  <si>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</si>
  <si>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</si>
  <si>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</si>
  <si>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</si>
  <si>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</si>
  <si>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</si>
  <si>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</si>
  <si>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</si>
  <si>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</si>
  <si>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</si>
  <si>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</si>
  <si>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</si>
  <si>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</si>
  <si>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</si>
  <si>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</si>
  <si>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</si>
  <si>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</si>
  <si>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</si>
  <si>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</si>
  <si>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</si>
  <si>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</si>
  <si>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</si>
  <si>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</si>
  <si>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</si>
  <si>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</si>
  <si>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</si>
  <si>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</si>
  <si>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</si>
  <si>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</si>
  <si>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</si>
  <si>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</si>
  <si>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</si>
  <si>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</si>
  <si>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</si>
  <si>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</si>
  <si>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</si>
  <si>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</si>
  <si>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</si>
  <si>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</si>
  <si>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</si>
  <si>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</si>
  <si>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</si>
  <si>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</si>
  <si>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</si>
  <si>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</si>
  <si>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</si>
  <si>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</si>
  <si>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</si>
  <si>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</si>
  <si>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</si>
  <si>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</si>
  <si>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</si>
  <si>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</si>
  <si>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</si>
  <si>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</si>
  <si>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</si>
  <si>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</si>
  <si>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</si>
  <si>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</si>
  <si>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</si>
  <si>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</si>
  <si>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</si>
  <si>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</si>
  <si>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</si>
  <si>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</si>
  <si>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</si>
  <si>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</si>
  <si>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</si>
  <si>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</si>
  <si>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</si>
  <si>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</si>
  <si>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</si>
  <si>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</si>
  <si>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</si>
  <si>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</si>
  <si>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</si>
  <si>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</si>
  <si>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</si>
  <si>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</si>
  <si>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</si>
  <si>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</si>
  <si>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</si>
  <si>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</si>
  <si>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</si>
  <si>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</si>
  <si>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</si>
  <si>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</si>
  <si>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</si>
  <si>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</si>
  <si>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</si>
  <si>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</si>
  <si>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</si>
  <si>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</si>
  <si>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</si>
  <si>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</si>
  <si>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</si>
  <si>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</si>
  <si>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</si>
  <si>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</si>
  <si>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</si>
  <si>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</si>
  <si>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</si>
  <si>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</si>
  <si>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</si>
  <si>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</si>
  <si>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</si>
  <si>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</si>
  <si>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</si>
  <si>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</si>
  <si>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</si>
  <si>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</si>
  <si>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</si>
  <si>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</si>
  <si>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</si>
  <si>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</si>
  <si>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</si>
  <si>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</si>
  <si>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</si>
  <si>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</si>
  <si>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</si>
  <si>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</si>
  <si>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</si>
  <si>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</si>
  <si>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</si>
  <si>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</si>
  <si>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</si>
  <si>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</si>
  <si>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</si>
  <si>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</si>
  <si>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</si>
  <si>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</si>
  <si>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</si>
  <si>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</si>
  <si>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</si>
  <si>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</si>
  <si>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</si>
  <si>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</si>
  <si>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</si>
  <si>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</si>
  <si>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</si>
  <si>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</si>
  <si>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</si>
  <si>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</si>
  <si>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</si>
  <si>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</si>
  <si>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</si>
  <si>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</si>
  <si>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</si>
  <si>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</si>
  <si>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</si>
  <si>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</si>
  <si>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</si>
  <si>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</si>
  <si>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</si>
  <si>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</si>
  <si>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</si>
  <si>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</si>
  <si>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</si>
  <si>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</si>
  <si>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</si>
  <si>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</si>
  <si>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</si>
  <si>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</si>
  <si>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</si>
  <si>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</si>
  <si>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</si>
  <si>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</si>
  <si>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</si>
  <si>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</si>
  <si>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</si>
  <si>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</si>
  <si>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</si>
  <si>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</si>
  <si>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</si>
  <si>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</si>
  <si>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</si>
  <si>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</si>
  <si>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</si>
  <si>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</si>
  <si>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</si>
  <si>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</si>
  <si>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</si>
  <si>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</si>
  <si>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</si>
  <si>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</si>
  <si>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</si>
  <si>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</si>
  <si>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</si>
  <si>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</si>
  <si>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</si>
  <si>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</si>
  <si>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</si>
  <si>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</si>
  <si>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</si>
  <si>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</si>
  <si>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</si>
  <si>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</si>
  <si>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</si>
  <si>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</si>
  <si>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</si>
  <si>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</si>
  <si>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</si>
  <si>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</si>
  <si>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</si>
  <si>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</si>
  <si>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</si>
  <si>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</si>
  <si>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</si>
  <si>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</si>
  <si>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</si>
  <si>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</si>
  <si>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</si>
  <si>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</si>
  <si>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</si>
  <si>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</si>
  <si>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</si>
  <si>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</si>
  <si>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</si>
  <si>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</si>
  <si>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</si>
  <si>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</si>
  <si>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</si>
  <si>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</si>
  <si>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</si>
  <si>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</si>
  <si>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</si>
  <si>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</si>
  <si>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</si>
  <si>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</si>
  <si>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</si>
  <si>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</si>
  <si>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</si>
  <si>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</si>
  <si>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</si>
  <si>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</si>
  <si>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</si>
  <si>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</si>
  <si>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</si>
  <si>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</si>
  <si>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</si>
  <si>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</si>
  <si>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</si>
  <si>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</si>
  <si>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</si>
  <si>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</si>
  <si>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</si>
  <si>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</si>
  <si>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</si>
  <si>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</si>
  <si>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</si>
  <si>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</si>
  <si>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</si>
  <si>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</si>
  <si>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</si>
  <si>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</si>
  <si>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</si>
  <si>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</si>
  <si>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</si>
  <si>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</si>
  <si>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</si>
  <si>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</si>
  <si>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</si>
  <si>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</si>
  <si>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</si>
  <si>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</si>
  <si>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</si>
  <si>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</si>
  <si>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</si>
  <si>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</si>
  <si>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</si>
  <si>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</si>
  <si>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</si>
  <si>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</si>
  <si>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</si>
  <si>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</si>
  <si>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</si>
  <si>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</si>
  <si>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</si>
  <si>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</si>
  <si>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</si>
  <si>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</si>
  <si>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</si>
  <si>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</si>
  <si>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</si>
  <si>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</si>
  <si>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</si>
  <si>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</si>
  <si>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</si>
  <si>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</si>
  <si>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</si>
  <si>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</si>
  <si>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</si>
  <si>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</si>
  <si>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</si>
  <si>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</si>
  <si>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</si>
  <si>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</si>
  <si>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</si>
  <si>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</si>
  <si>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</si>
  <si>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</si>
  <si>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</si>
  <si>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</si>
  <si>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</si>
  <si>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</si>
  <si>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</si>
  <si>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</si>
  <si>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</si>
  <si>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</si>
  <si>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</si>
  <si>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</si>
  <si>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</si>
  <si>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</si>
  <si>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</si>
  <si>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</si>
  <si>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</si>
  <si>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</si>
  <si>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</si>
  <si>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</si>
  <si>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</si>
  <si>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</si>
  <si>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</si>
  <si>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</si>
  <si>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</si>
  <si>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</si>
  <si>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</si>
  <si>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</si>
  <si>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</si>
  <si>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</si>
  <si>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</si>
  <si>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</si>
  <si>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</si>
  <si>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</si>
  <si>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</si>
  <si>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</si>
  <si>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</si>
  <si>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</si>
  <si>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</si>
  <si>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</si>
  <si>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</si>
  <si>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</si>
  <si>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</si>
  <si>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</si>
  <si>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</si>
  <si>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</si>
  <si>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</si>
  <si>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</si>
  <si>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</si>
  <si>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</si>
  <si>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</si>
  <si>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</si>
  <si>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</si>
  <si>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</si>
  <si>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</si>
  <si>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</si>
  <si>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</si>
  <si>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</si>
  <si>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</si>
  <si>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</si>
  <si>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</si>
  <si>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</si>
  <si>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</si>
  <si>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</si>
  <si>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</si>
  <si>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</si>
  <si>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</si>
  <si>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</si>
  <si>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</si>
  <si>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</si>
  <si>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</si>
  <si>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</si>
  <si>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</si>
  <si>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</si>
  <si>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</si>
  <si>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</si>
  <si>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</si>
  <si>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</si>
  <si>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</si>
  <si>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</si>
  <si>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</si>
  <si>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</si>
  <si>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</si>
  <si>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</si>
  <si>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</si>
  <si>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</si>
  <si>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</si>
  <si>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</si>
  <si>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</si>
  <si>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</si>
  <si>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</si>
  <si>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</si>
  <si>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</si>
  <si>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</si>
  <si>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</si>
  <si>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</si>
  <si>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</si>
  <si>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</si>
  <si>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</si>
  <si>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</si>
  <si>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</si>
  <si>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</si>
  <si>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</si>
  <si>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</si>
  <si>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</si>
  <si>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</si>
  <si>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</si>
  <si>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</si>
  <si>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</si>
  <si>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</si>
  <si>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</si>
  <si>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</si>
  <si>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</si>
  <si>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</si>
  <si>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</si>
  <si>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</si>
  <si>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</si>
  <si>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</si>
  <si>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</si>
  <si>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</si>
  <si>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</si>
  <si>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</si>
  <si>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</si>
  <si>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</si>
  <si>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</si>
  <si>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</si>
  <si>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</si>
  <si>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</si>
  <si>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</si>
  <si>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</si>
  <si>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</si>
  <si>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</si>
  <si>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</si>
  <si>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</si>
  <si>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</si>
  <si>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</si>
  <si>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</si>
  <si>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</si>
  <si>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</si>
  <si>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</si>
  <si>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</si>
  <si>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</si>
  <si>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</si>
  <si>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</si>
  <si>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</si>
  <si>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</si>
  <si>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</si>
  <si>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</si>
  <si>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</si>
  <si>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</si>
  <si>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</si>
  <si>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</si>
  <si>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</si>
  <si>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</si>
  <si>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</si>
  <si>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</si>
  <si>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</si>
  <si>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</si>
  <si>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</si>
  <si>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</si>
  <si>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</si>
  <si>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</si>
  <si>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</si>
  <si>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</si>
  <si>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</si>
  <si>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</si>
  <si>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</si>
  <si>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</si>
  <si>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</si>
  <si>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</si>
  <si>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</si>
  <si>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</si>
  <si>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</si>
  <si>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</si>
  <si>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</si>
  <si>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</si>
  <si>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</si>
  <si>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</si>
  <si>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</si>
  <si>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</si>
  <si>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</si>
  <si>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</si>
  <si>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</si>
  <si>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</si>
  <si>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</si>
  <si>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</si>
  <si>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</si>
  <si>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</si>
  <si>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</si>
  <si>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</si>
  <si>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</si>
  <si>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</si>
  <si>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</si>
  <si>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</si>
  <si>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</si>
  <si>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</si>
  <si>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</si>
  <si>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</si>
  <si>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</si>
  <si>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</si>
  <si>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</si>
  <si>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</si>
  <si>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</si>
  <si>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</si>
  <si>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</si>
  <si>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</si>
  <si>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</si>
  <si>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</si>
  <si>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</si>
  <si>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</si>
  <si>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</si>
  <si>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</si>
  <si>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</si>
  <si>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</si>
  <si>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</si>
  <si>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</si>
  <si>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</si>
  <si>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</si>
  <si>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</si>
  <si>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</si>
  <si>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</si>
  <si>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</si>
  <si>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</si>
  <si>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</si>
  <si>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</si>
  <si>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</si>
  <si>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</si>
  <si>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</si>
  <si>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</si>
  <si>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</si>
  <si>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</si>
  <si>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</si>
  <si>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</si>
  <si>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</si>
  <si>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</si>
  <si>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</si>
  <si>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</si>
  <si>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</si>
  <si>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</si>
  <si>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</si>
  <si>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</si>
  <si>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</si>
  <si>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</si>
  <si>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</si>
  <si>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</si>
  <si>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</si>
  <si>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</si>
  <si>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</si>
  <si>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</si>
  <si>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</si>
  <si>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</si>
  <si>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</si>
  <si>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</si>
  <si>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</si>
  <si>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</si>
  <si>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</si>
  <si>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</si>
  <si>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</si>
  <si>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</si>
  <si>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</si>
  <si>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</si>
  <si>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</si>
  <si>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</si>
  <si>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</si>
  <si>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</si>
  <si>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</si>
  <si>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</si>
  <si>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</si>
  <si>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</si>
  <si>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</si>
  <si>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</si>
  <si>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</si>
  <si>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</si>
  <si>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</si>
  <si>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</si>
  <si>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</si>
  <si>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</si>
  <si>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</si>
  <si>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</si>
  <si>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</si>
  <si>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</si>
  <si>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</si>
  <si>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</si>
  <si>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</si>
  <si>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</si>
  <si>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</si>
  <si>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</si>
  <si>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</si>
  <si>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</si>
  <si>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</si>
  <si>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</si>
  <si>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</si>
  <si>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</si>
  <si>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</si>
  <si>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</si>
  <si>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</si>
  <si>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</si>
  <si>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</si>
  <si>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</si>
  <si>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</si>
  <si>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</si>
  <si>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</si>
  <si>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</si>
  <si>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</si>
  <si>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</si>
  <si>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</si>
  <si>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</si>
  <si>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</si>
  <si>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</si>
  <si>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</si>
  <si>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</si>
  <si>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</si>
  <si>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</si>
  <si>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</si>
  <si>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</si>
  <si>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</si>
  <si>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</si>
  <si>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</si>
  <si>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</si>
  <si>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</si>
  <si>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</si>
  <si>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</si>
  <si>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</si>
  <si>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</si>
  <si>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</si>
  <si>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</si>
  <si>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</si>
  <si>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</si>
  <si>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</si>
  <si>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</si>
  <si>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</si>
  <si>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</si>
  <si>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</si>
  <si>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</si>
  <si>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</si>
  <si>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</si>
  <si>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</si>
  <si>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</si>
  <si>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</si>
  <si>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</si>
  <si>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</si>
  <si>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</si>
  <si>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</si>
  <si>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</si>
  <si>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</si>
  <si>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</si>
  <si>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</si>
  <si>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</si>
  <si>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</si>
  <si>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</si>
  <si>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</si>
  <si>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</si>
  <si>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</si>
  <si>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</si>
  <si>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</si>
  <si>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</si>
  <si>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</si>
  <si>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</si>
  <si>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</si>
  <si>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</si>
  <si>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</si>
  <si>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</si>
  <si>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</si>
  <si>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</si>
  <si>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</si>
  <si>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</si>
  <si>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</si>
  <si>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</si>
  <si>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</si>
  <si>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</si>
  <si>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</si>
  <si>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</si>
  <si>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</si>
  <si>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</si>
  <si>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</si>
  <si>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</si>
  <si>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</si>
  <si>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</si>
  <si>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</si>
  <si>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</si>
  <si>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</si>
  <si>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</si>
  <si>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</si>
  <si>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</si>
  <si>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</si>
  <si>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</si>
  <si>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</si>
  <si>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</si>
  <si>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</si>
  <si>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</si>
  <si>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</si>
  <si>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</si>
  <si>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</si>
  <si>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</si>
  <si>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</si>
  <si>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</si>
  <si>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</si>
  <si>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</si>
  <si>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</si>
  <si>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</si>
  <si>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</si>
  <si>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</si>
  <si>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</si>
  <si>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</si>
  <si>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</si>
  <si>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</si>
  <si>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</si>
  <si>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</si>
  <si>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</si>
  <si>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</si>
  <si>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</si>
  <si>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</si>
  <si>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</si>
  <si>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</si>
  <si>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</si>
  <si>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</si>
  <si>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</si>
  <si>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</si>
  <si>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</si>
  <si>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</si>
  <si>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</si>
  <si>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</si>
  <si>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</si>
  <si>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</si>
  <si>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</si>
  <si>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</si>
  <si>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</si>
  <si>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</si>
  <si>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</si>
  <si>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</si>
  <si>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</si>
  <si>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</si>
  <si>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</si>
  <si>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</si>
  <si>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</si>
  <si>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</si>
  <si>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</si>
  <si>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</si>
  <si>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</si>
  <si>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</si>
  <si>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</si>
  <si>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</si>
  <si>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</si>
  <si>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</si>
  <si>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</si>
  <si>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</si>
  <si>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</si>
  <si>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</si>
  <si>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</si>
  <si>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</si>
  <si>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</si>
  <si>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</si>
  <si>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</si>
  <si>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</si>
  <si>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</si>
  <si>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</si>
  <si>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</si>
  <si>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</si>
  <si>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</si>
  <si>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</si>
  <si>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</si>
  <si>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</si>
  <si>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</si>
  <si>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</si>
  <si>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</si>
  <si>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</si>
  <si>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</si>
  <si>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</si>
  <si>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</si>
  <si>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</si>
  <si>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</si>
  <si>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</si>
  <si>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</si>
  <si>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</si>
  <si>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</si>
  <si>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</si>
  <si>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</si>
  <si>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</si>
  <si>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</si>
  <si>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</si>
  <si>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</si>
  <si>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</si>
  <si>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</si>
  <si>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</si>
  <si>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</si>
  <si>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</si>
  <si>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</si>
  <si>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</si>
  <si>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</si>
  <si>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</si>
  <si>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</si>
  <si>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</si>
  <si>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</si>
  <si>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</si>
  <si>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</si>
  <si>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</si>
  <si>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</si>
  <si>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</si>
  <si>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</si>
  <si>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</si>
  <si>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</si>
  <si>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</si>
  <si>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</si>
  <si>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</si>
  <si>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</si>
  <si>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</si>
  <si>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</si>
  <si>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</si>
  <si>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</si>
  <si>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</si>
  <si>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</si>
  <si>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</si>
  <si>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</si>
  <si>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</si>
  <si>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</si>
  <si>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</si>
  <si>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</si>
  <si>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</si>
  <si>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</si>
  <si>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</si>
  <si>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</si>
  <si>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</si>
  <si>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</si>
  <si>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</si>
  <si>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</si>
  <si>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</si>
  <si>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</si>
  <si>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</si>
  <si>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</si>
  <si>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</si>
  <si>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</si>
  <si>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</si>
  <si>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</si>
  <si>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</si>
  <si>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</si>
  <si>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</si>
  <si>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</si>
  <si>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</si>
  <si>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</si>
  <si>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</si>
  <si>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</si>
  <si>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</si>
  <si>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</si>
  <si>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</si>
  <si>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</si>
  <si>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</si>
  <si>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</si>
  <si>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</si>
  <si>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</si>
  <si>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</si>
  <si>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</si>
  <si>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</si>
  <si>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</si>
  <si>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</si>
  <si>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</si>
  <si>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</si>
  <si>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</si>
  <si>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</si>
  <si>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</si>
  <si>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</si>
  <si>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</si>
  <si>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</si>
  <si>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</si>
  <si>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</si>
  <si>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</si>
  <si>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</si>
  <si>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</si>
  <si>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</si>
  <si>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</si>
  <si>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</si>
  <si>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</si>
  <si>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</si>
  <si>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</si>
  <si>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</si>
  <si>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</si>
  <si>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</si>
  <si>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</si>
  <si>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</si>
  <si>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</si>
  <si>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</si>
  <si>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</si>
  <si>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</si>
  <si>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</si>
  <si>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</si>
  <si>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</si>
  <si>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</si>
  <si>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</si>
  <si>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</si>
  <si>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</si>
  <si>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</si>
  <si>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</si>
  <si>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</si>
  <si>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</si>
  <si>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</si>
  <si>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</si>
  <si>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</si>
  <si>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</si>
  <si>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</si>
  <si>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</si>
  <si>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</si>
  <si>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</si>
  <si>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</si>
  <si>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</si>
  <si>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</si>
  <si>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</si>
  <si>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</si>
  <si>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</si>
  <si>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</si>
  <si>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</si>
  <si>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</si>
  <si>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</si>
  <si>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</si>
  <si>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</si>
  <si>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</si>
  <si>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</si>
  <si>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</si>
  <si>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</si>
  <si>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</si>
  <si>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</si>
  <si>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</si>
  <si>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</si>
  <si>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</si>
  <si>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</si>
  <si>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</si>
  <si>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</si>
  <si>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</si>
  <si>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</si>
  <si>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</si>
  <si>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</si>
  <si>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</si>
  <si>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</si>
  <si>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</si>
  <si>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</si>
  <si>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</si>
  <si>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</si>
  <si>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</si>
  <si>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</si>
  <si>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</si>
  <si>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</si>
  <si>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</si>
  <si>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</si>
  <si>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</si>
  <si>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</si>
  <si>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</si>
  <si>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</si>
  <si>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</si>
  <si>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</si>
  <si>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</si>
  <si>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</si>
  <si>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</si>
  <si>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</si>
  <si>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</si>
  <si>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</si>
  <si>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</si>
  <si>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</si>
  <si>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</si>
  <si>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</si>
  <si>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</si>
  <si>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</si>
  <si>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</si>
  <si>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</si>
  <si>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</si>
  <si>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</si>
  <si>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</si>
  <si>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</si>
  <si>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</si>
  <si>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</si>
  <si>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</si>
  <si>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</si>
  <si>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</si>
  <si>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</si>
  <si>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</si>
  <si>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</si>
  <si>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</si>
  <si>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</si>
  <si>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</si>
  <si>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</si>
  <si>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</si>
  <si>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</si>
  <si>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</si>
  <si>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</si>
  <si>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</si>
  <si>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</si>
  <si>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</si>
  <si>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</si>
  <si>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</si>
  <si>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</si>
  <si>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</si>
  <si>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</si>
  <si>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</si>
  <si>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</si>
  <si>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</si>
  <si>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</si>
  <si>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</si>
  <si>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</si>
  <si>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</si>
  <si>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</si>
  <si>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</si>
  <si>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</si>
  <si>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</si>
  <si>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</si>
  <si>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</si>
  <si>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</si>
  <si>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</si>
  <si>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</si>
  <si>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</si>
  <si>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</si>
  <si>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</si>
  <si>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</si>
  <si>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</si>
  <si>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</si>
  <si>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</si>
  <si>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</si>
  <si>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</si>
  <si>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</si>
  <si>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</si>
  <si>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</si>
  <si>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</si>
  <si>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</si>
  <si>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</si>
  <si>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</si>
  <si>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</si>
  <si>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</si>
  <si>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</si>
  <si>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</si>
  <si>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</si>
  <si>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</si>
  <si>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</si>
  <si>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</si>
  <si>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</si>
  <si>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</si>
  <si>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</si>
  <si>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</si>
  <si>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</si>
  <si>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</si>
  <si>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</si>
  <si>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</si>
  <si>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</si>
  <si>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</si>
  <si>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</si>
  <si>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</si>
  <si>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</si>
  <si>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</si>
  <si>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</si>
  <si>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</si>
  <si>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</si>
  <si>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</si>
  <si>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</si>
  <si>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</si>
  <si>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</si>
  <si>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</si>
  <si>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</si>
  <si>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</si>
  <si>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</si>
  <si>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</si>
  <si>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</si>
  <si>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</si>
  <si>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</si>
  <si>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</si>
  <si>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</si>
  <si>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</si>
  <si>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</si>
  <si>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</si>
  <si>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</si>
  <si>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</si>
  <si>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</si>
  <si>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</si>
  <si>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</si>
  <si>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</si>
  <si>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</si>
  <si>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</si>
  <si>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</si>
  <si>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</si>
  <si>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</si>
  <si>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</si>
  <si>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</si>
  <si>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</si>
  <si>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</si>
  <si>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</si>
  <si>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</si>
  <si>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</si>
  <si>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</si>
  <si>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</si>
  <si>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</si>
  <si>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</si>
  <si>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</si>
  <si>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</si>
  <si>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</si>
  <si>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</si>
  <si>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</si>
  <si>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</si>
  <si>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</si>
  <si>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</si>
  <si>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</si>
  <si>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</si>
  <si>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</si>
  <si>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</si>
  <si>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</si>
  <si>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</si>
  <si>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</si>
  <si>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</si>
  <si>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</si>
  <si>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</si>
  <si>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</si>
  <si>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</si>
  <si>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</si>
  <si>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</si>
  <si>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</si>
  <si>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</si>
  <si>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</si>
  <si>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</si>
  <si>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</si>
  <si>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</si>
  <si>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</si>
  <si>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</si>
  <si>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</si>
  <si>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</si>
  <si>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</si>
  <si>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</si>
  <si>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</si>
  <si>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</si>
  <si>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</si>
  <si>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</si>
  <si>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</si>
  <si>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</si>
  <si>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</si>
  <si>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</si>
  <si>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</si>
  <si>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</si>
  <si>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</si>
  <si>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</si>
  <si>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</si>
  <si>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</si>
  <si>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</si>
  <si>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</si>
  <si>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</si>
  <si>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</si>
  <si>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</si>
  <si>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</si>
  <si>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</si>
  <si>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</si>
  <si>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</si>
  <si>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</si>
  <si>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</si>
  <si>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</si>
  <si>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</si>
  <si>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</si>
  <si>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</si>
  <si>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</si>
  <si>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</si>
  <si>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</si>
  <si>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</si>
  <si>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</si>
  <si>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</si>
  <si>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</si>
  <si>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</si>
  <si>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</si>
  <si>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</si>
  <si>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</si>
  <si>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</si>
  <si>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</si>
  <si>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</si>
  <si>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</si>
  <si>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</si>
  <si>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</si>
  <si>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</si>
  <si>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</si>
  <si>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</si>
  <si>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</si>
  <si>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</si>
  <si>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</si>
  <si>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</si>
  <si>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</si>
  <si>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</si>
  <si>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</si>
  <si>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</si>
  <si>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</si>
  <si>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</si>
  <si>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</si>
  <si>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</si>
  <si>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</si>
  <si>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</si>
  <si>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</si>
  <si>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</si>
  <si>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</si>
  <si>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</si>
  <si>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</si>
  <si>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</si>
  <si>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</si>
  <si>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</si>
  <si>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</si>
  <si>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</si>
  <si>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</si>
  <si>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</si>
  <si>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</si>
  <si>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</si>
  <si>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</si>
  <si>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</si>
  <si>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</si>
  <si>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</si>
  <si>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</si>
  <si>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</si>
  <si>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</si>
  <si>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</si>
  <si>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</si>
  <si>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</si>
  <si>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</si>
  <si>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</si>
  <si>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</si>
  <si>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</si>
  <si>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</si>
  <si>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</si>
  <si>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</si>
  <si>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</si>
  <si>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</si>
  <si>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</si>
  <si>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</si>
  <si>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</si>
  <si>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</si>
  <si>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</si>
  <si>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</si>
  <si>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</si>
  <si>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</si>
  <si>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</si>
  <si>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</si>
  <si>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</si>
  <si>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</si>
  <si>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</si>
  <si>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</si>
  <si>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</si>
  <si>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</si>
  <si>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</si>
  <si>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</si>
  <si>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</si>
  <si>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</si>
  <si>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</si>
  <si>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</si>
  <si>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</si>
  <si>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</si>
  <si>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</si>
  <si>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</si>
  <si>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</si>
  <si>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</si>
  <si>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</si>
  <si>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</si>
  <si>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</si>
  <si>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</si>
  <si>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</si>
  <si>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</si>
  <si>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</si>
  <si>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</si>
  <si>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</si>
  <si>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</si>
  <si>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</si>
  <si>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</si>
  <si>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</si>
  <si>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</si>
  <si>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</si>
  <si>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</si>
  <si>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</si>
  <si>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</si>
  <si>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</si>
  <si>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</si>
  <si>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</si>
  <si>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</si>
  <si>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</si>
  <si>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</si>
  <si>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</si>
  <si>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</si>
  <si>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</si>
  <si>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</si>
  <si>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</si>
  <si>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</si>
  <si>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</si>
  <si>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</si>
  <si>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</si>
  <si>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</si>
  <si>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</si>
  <si>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</si>
  <si>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</si>
  <si>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</si>
  <si>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</si>
  <si>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</si>
  <si>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</si>
  <si>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</si>
  <si>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</si>
  <si>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</si>
  <si>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</si>
  <si>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</si>
  <si>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</si>
  <si>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</si>
  <si>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</si>
  <si>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</si>
  <si>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</si>
  <si>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</si>
  <si>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</si>
  <si>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</si>
  <si>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</si>
  <si>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</si>
  <si>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</si>
  <si>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</si>
  <si>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</si>
  <si>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</si>
  <si>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</si>
  <si>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</si>
  <si>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</si>
  <si>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</si>
  <si>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</si>
  <si>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</si>
  <si>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</si>
  <si>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</si>
  <si>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</si>
  <si>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</si>
  <si>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</si>
  <si>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</si>
  <si>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</si>
  <si>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</si>
  <si>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</si>
  <si>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</si>
  <si>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</si>
  <si>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</si>
  <si>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</si>
  <si>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</si>
  <si>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</si>
  <si>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</si>
  <si>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</si>
  <si>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</si>
  <si>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</si>
  <si>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</si>
  <si>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</si>
  <si>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</si>
  <si>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</si>
  <si>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</si>
  <si>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</si>
  <si>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</si>
  <si>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</si>
  <si>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</si>
  <si>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</si>
  <si>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</si>
  <si>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</si>
  <si>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</si>
  <si>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</si>
  <si>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</si>
  <si>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</si>
  <si>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</si>
  <si>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</si>
  <si>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</si>
  <si>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</si>
  <si>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</si>
  <si>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</si>
  <si>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</si>
  <si>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</si>
  <si>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</si>
  <si>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</si>
  <si>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</si>
  <si>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</si>
  <si>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</si>
  <si>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</si>
  <si>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</si>
  <si>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</si>
  <si>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</si>
  <si>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</si>
  <si>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</si>
  <si>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</si>
  <si>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</si>
  <si>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</si>
  <si>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</si>
  <si>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</si>
  <si>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</si>
  <si>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</si>
  <si>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</si>
  <si>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</si>
  <si>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</si>
  <si>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</si>
  <si>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</si>
  <si>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</si>
  <si>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</si>
  <si>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</si>
  <si>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</si>
  <si>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</si>
  <si>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</si>
  <si>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</si>
  <si>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</si>
  <si>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</si>
  <si>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</si>
  <si>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</si>
  <si>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</si>
  <si>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</si>
  <si>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</si>
  <si>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</si>
  <si>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</si>
  <si>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</si>
  <si>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</si>
  <si>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</si>
  <si>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</si>
  <si>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</si>
  <si>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</si>
  <si>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</si>
  <si>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</si>
  <si>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</si>
  <si>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</si>
  <si>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</si>
  <si>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</si>
  <si>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</si>
  <si>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</si>
  <si>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</si>
  <si>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</si>
  <si>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</si>
  <si>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</si>
  <si>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</si>
  <si>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</si>
  <si>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</si>
  <si>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</si>
  <si>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</si>
  <si>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</si>
  <si>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</si>
  <si>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</si>
  <si>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</si>
  <si>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</si>
  <si>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</si>
  <si>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</si>
  <si>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</si>
  <si>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</si>
  <si>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</si>
  <si>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</si>
  <si>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</si>
  <si>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</si>
  <si>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</si>
  <si>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</si>
  <si>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</si>
  <si>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</si>
  <si>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</si>
  <si>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</si>
  <si>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</si>
  <si>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</si>
  <si>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</si>
  <si>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</si>
  <si>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</si>
  <si>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</si>
  <si>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</si>
  <si>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</si>
  <si>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</si>
  <si>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</si>
  <si>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</si>
  <si>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</si>
  <si>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</si>
  <si>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</si>
  <si>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</si>
  <si>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</si>
  <si>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</si>
  <si>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</si>
  <si>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</si>
  <si>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</si>
  <si>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</si>
  <si>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</si>
  <si>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</si>
  <si>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</si>
  <si>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</si>
  <si>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</si>
  <si>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</si>
  <si>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</si>
  <si>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</si>
  <si>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</si>
  <si>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</si>
  <si>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</si>
  <si>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</si>
  <si>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</si>
  <si>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</si>
  <si>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</si>
  <si>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</si>
  <si>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</si>
  <si>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</si>
  <si>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</si>
  <si>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</si>
  <si>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</si>
  <si>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</si>
  <si>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</si>
  <si>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</si>
  <si>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</si>
  <si>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</si>
  <si>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</si>
  <si>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</si>
  <si>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</si>
  <si>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</si>
  <si>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</si>
  <si>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</si>
  <si>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</si>
  <si>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</si>
  <si>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</si>
  <si>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</si>
  <si>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</si>
  <si>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</si>
  <si>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</si>
  <si>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</si>
  <si>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</si>
  <si>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</si>
  <si>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</si>
  <si>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</si>
  <si>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</si>
  <si>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</si>
  <si>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</si>
  <si>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</si>
  <si>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</si>
  <si>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</si>
  <si>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</si>
  <si>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</si>
  <si>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</si>
  <si>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</si>
  <si>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</si>
  <si>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</si>
  <si>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</si>
  <si>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</si>
  <si>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</si>
  <si>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</si>
  <si>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</si>
  <si>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</si>
  <si>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</si>
  <si>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</si>
  <si>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</si>
  <si>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</si>
  <si>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</si>
  <si>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</si>
  <si>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</si>
  <si>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</si>
  <si>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</si>
  <si>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</si>
  <si>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</si>
  <si>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</si>
  <si>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</si>
  <si>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</si>
  <si>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</si>
  <si>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</si>
  <si>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</si>
  <si>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</si>
  <si>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</si>
  <si>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</si>
  <si>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</si>
  <si>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</si>
  <si>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</si>
  <si>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</si>
  <si>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</si>
  <si>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</si>
  <si>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</si>
  <si>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</si>
  <si>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</si>
  <si>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</si>
  <si>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</si>
  <si>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</si>
  <si>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</si>
  <si>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</si>
  <si>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</si>
  <si>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</si>
  <si>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</si>
  <si>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</si>
  <si>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</si>
  <si>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</si>
  <si>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</si>
  <si>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</si>
  <si>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</si>
  <si>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</si>
  <si>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</si>
  <si>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</si>
  <si>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</si>
  <si>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</si>
  <si>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</si>
  <si>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</si>
  <si>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</si>
  <si>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</si>
  <si>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</si>
  <si>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</si>
  <si>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</si>
  <si>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</si>
  <si>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</si>
  <si>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</si>
  <si>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</si>
  <si>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</si>
  <si>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</si>
  <si>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</si>
  <si>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</si>
  <si>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</si>
  <si>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</si>
  <si>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</si>
  <si>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</si>
  <si>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</si>
  <si>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</si>
  <si>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</si>
  <si>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</si>
  <si>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</si>
  <si>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</si>
  <si>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</si>
  <si>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</si>
  <si>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</si>
  <si>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</si>
  <si>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</si>
  <si>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</si>
  <si>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</si>
  <si>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</si>
  <si>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</si>
  <si>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</si>
  <si>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</si>
  <si>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</si>
  <si>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</si>
  <si>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</si>
  <si>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</si>
  <si>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</si>
  <si>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</si>
  <si>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</si>
  <si>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</si>
  <si>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</si>
  <si>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</si>
  <si>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</si>
  <si>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</si>
  <si>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</si>
  <si>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</si>
  <si>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</si>
  <si>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</si>
  <si>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</si>
  <si>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</si>
  <si>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</si>
  <si>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</si>
  <si>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</si>
  <si>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</si>
  <si>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</si>
  <si>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</si>
  <si>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</si>
  <si>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</si>
  <si>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</si>
  <si>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</si>
  <si>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</si>
  <si>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</si>
  <si>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</si>
  <si>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</si>
  <si>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</si>
  <si>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</si>
  <si>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</si>
  <si>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</si>
  <si>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</si>
  <si>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</si>
  <si>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</si>
  <si>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</si>
  <si>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</si>
  <si>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</si>
  <si>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</si>
  <si>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</si>
  <si>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</si>
  <si>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</si>
  <si>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</si>
  <si>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</si>
  <si>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</si>
  <si>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</si>
  <si>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</si>
  <si>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</si>
  <si>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</si>
  <si>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</si>
  <si>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</si>
  <si>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</si>
  <si>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</si>
  <si>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</si>
  <si>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</si>
  <si>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</si>
  <si>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</si>
  <si>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</si>
  <si>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</si>
  <si>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</si>
  <si>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</si>
  <si>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</si>
  <si>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</si>
  <si>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</si>
  <si>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</si>
  <si>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</si>
  <si>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</si>
  <si>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</si>
  <si>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</si>
  <si>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</si>
  <si>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</si>
  <si>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</si>
  <si>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</si>
  <si>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</si>
  <si>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</si>
  <si>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</si>
  <si>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</si>
  <si>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</si>
  <si>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</si>
  <si>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</si>
  <si>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</si>
  <si>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</si>
  <si>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</si>
  <si>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</si>
  <si>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</si>
  <si>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</si>
  <si>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</si>
  <si>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</si>
  <si>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</si>
  <si>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</si>
  <si>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</si>
  <si>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</si>
  <si>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</si>
  <si>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</si>
  <si>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</si>
  <si>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</si>
  <si>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</si>
  <si>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</si>
  <si>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</si>
  <si>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</si>
  <si>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</si>
  <si>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</si>
  <si>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</si>
  <si>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</si>
  <si>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</si>
  <si>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</si>
  <si>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</si>
  <si>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</si>
  <si>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</si>
  <si>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</si>
  <si>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</si>
  <si>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</si>
  <si>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</si>
  <si>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</si>
  <si>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</si>
  <si>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</si>
  <si>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</si>
  <si>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</si>
  <si>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</si>
  <si>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</si>
  <si>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</si>
  <si>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</si>
  <si>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</si>
  <si>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</si>
  <si>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</si>
  <si>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</si>
  <si>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</si>
  <si>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</si>
  <si>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</si>
  <si>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</si>
  <si>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</si>
  <si>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</si>
  <si>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</si>
  <si>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</si>
  <si>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</si>
  <si>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</si>
  <si>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</si>
  <si>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</si>
  <si>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</si>
  <si>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</si>
  <si>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</si>
  <si>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</si>
  <si>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</si>
  <si>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</si>
  <si>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</si>
  <si>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</si>
  <si>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</si>
  <si>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</si>
  <si>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</si>
  <si>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</si>
  <si>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</si>
  <si>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</si>
  <si>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</si>
  <si>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</si>
  <si>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</si>
  <si>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</si>
  <si>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</si>
  <si>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</si>
  <si>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</si>
  <si>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</si>
  <si>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</si>
  <si>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</si>
  <si>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</si>
  <si>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</si>
  <si>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</si>
  <si>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</si>
  <si>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</si>
  <si>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</si>
  <si>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</si>
  <si>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</si>
  <si>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</si>
  <si>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</si>
  <si>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</si>
  <si>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</si>
  <si>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</si>
  <si>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</si>
  <si>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</si>
  <si>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</si>
  <si>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</si>
  <si>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</si>
  <si>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</si>
  <si>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</si>
  <si>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</si>
  <si>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</si>
  <si>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</si>
  <si>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</si>
  <si>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</si>
  <si>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</si>
  <si>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</si>
  <si>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</si>
  <si>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</si>
  <si>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</si>
  <si>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</si>
  <si>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</si>
  <si>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</si>
  <si>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</si>
  <si>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</si>
  <si>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</si>
  <si>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</si>
  <si>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</si>
  <si>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</si>
  <si>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</si>
  <si>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</si>
  <si>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</si>
  <si>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</si>
  <si>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</si>
  <si>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</si>
  <si>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</si>
  <si>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</si>
  <si>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</si>
  <si>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</si>
  <si>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</si>
  <si>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</si>
  <si>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</si>
  <si>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</si>
  <si>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</si>
  <si>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</si>
  <si>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</si>
  <si>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</si>
  <si>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</si>
  <si>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</si>
  <si>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</si>
  <si>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</si>
  <si>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</si>
  <si>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</si>
  <si>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</si>
  <si>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</si>
  <si>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</si>
  <si>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</si>
  <si>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</si>
  <si>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</si>
  <si>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</si>
  <si>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</si>
  <si>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</si>
  <si>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</si>
  <si>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</si>
  <si>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</si>
  <si>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</si>
  <si>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</si>
  <si>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</si>
  <si>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</si>
  <si>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</si>
  <si>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</si>
  <si>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</si>
  <si>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</si>
  <si>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</si>
  <si>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</si>
  <si>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</si>
  <si>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</si>
  <si>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</si>
  <si>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</si>
  <si>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</si>
  <si>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</si>
  <si>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</si>
  <si>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</si>
  <si>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</si>
  <si>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</si>
  <si>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</si>
  <si>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</si>
  <si>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</si>
  <si>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</si>
  <si>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</si>
  <si>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</si>
  <si>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</si>
  <si>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</si>
  <si>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</si>
  <si>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</si>
  <si>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</si>
  <si>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</si>
  <si>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</si>
  <si>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</si>
  <si>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</si>
  <si>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</si>
  <si>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</si>
  <si>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</si>
  <si>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</si>
  <si>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</si>
  <si>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</si>
  <si>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</si>
  <si>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</si>
  <si>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</si>
  <si>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</si>
  <si>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</si>
  <si>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</si>
  <si>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</si>
  <si>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</si>
  <si>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</si>
  <si>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</si>
  <si>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</si>
  <si>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</si>
  <si>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</si>
  <si>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</si>
  <si>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</si>
  <si>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</si>
  <si>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</si>
  <si>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</si>
  <si>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</si>
  <si>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</si>
  <si>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</si>
  <si>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</si>
  <si>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</si>
  <si>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</si>
  <si>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</si>
  <si>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</si>
  <si>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</si>
  <si>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</si>
  <si>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</si>
  <si>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</si>
  <si>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</si>
  <si>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</si>
  <si>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</si>
  <si>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</si>
  <si>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</si>
  <si>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</si>
  <si>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</si>
  <si>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</si>
  <si>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</si>
  <si>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</si>
  <si>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</si>
  <si>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</si>
  <si>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</si>
  <si>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</si>
  <si>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</si>
  <si>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</si>
  <si>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</si>
  <si>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</si>
  <si>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</si>
  <si>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</si>
  <si>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</si>
  <si>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</si>
  <si>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</si>
  <si>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</si>
  <si>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</si>
  <si>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</si>
  <si>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</si>
  <si>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</si>
  <si>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</si>
  <si>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</si>
  <si>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</si>
  <si>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</si>
  <si>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</si>
  <si>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</si>
  <si>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</si>
  <si>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</si>
  <si>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</si>
  <si>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</si>
  <si>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</si>
  <si>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</si>
  <si>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</si>
  <si>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</si>
  <si>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</si>
  <si>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</si>
  <si>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</si>
  <si>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</si>
  <si>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</si>
  <si>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</si>
  <si>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</si>
  <si>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</si>
  <si>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</si>
  <si>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</si>
  <si>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</si>
  <si>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</si>
  <si>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</si>
  <si>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</si>
  <si>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</si>
  <si>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</si>
  <si>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</si>
  <si>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</si>
  <si>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</si>
  <si>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</si>
  <si>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</si>
  <si>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</si>
  <si>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</si>
  <si>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</si>
  <si>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</si>
  <si>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</si>
  <si>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</si>
  <si>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</si>
  <si>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</si>
  <si>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</si>
  <si>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</si>
  <si>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</si>
  <si>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</si>
  <si>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</si>
  <si>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</si>
  <si>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</si>
  <si>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</si>
  <si>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</si>
  <si>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</si>
  <si>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</si>
  <si>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</si>
  <si>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</si>
  <si>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</si>
  <si>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</si>
  <si>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</si>
  <si>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</si>
  <si>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</si>
  <si>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</si>
  <si>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</si>
  <si>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</si>
  <si>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</si>
  <si>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</si>
  <si>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</si>
  <si>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</si>
  <si>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</si>
  <si>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</si>
  <si>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</si>
  <si>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</si>
  <si>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</si>
  <si>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</si>
  <si>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</si>
  <si>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</si>
  <si>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</si>
  <si>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</si>
  <si>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</si>
  <si>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</si>
  <si>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</si>
  <si>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</si>
  <si>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</si>
  <si>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</si>
  <si>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</si>
  <si>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</si>
  <si>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</si>
  <si>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</si>
  <si>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</si>
  <si>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</si>
  <si>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</si>
  <si>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</si>
  <si>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</si>
  <si>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</si>
  <si>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</si>
  <si>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</si>
  <si>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</si>
  <si>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</si>
  <si>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</si>
  <si>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</si>
  <si>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</si>
  <si>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</si>
  <si>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</si>
  <si>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</si>
  <si>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</si>
  <si>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</si>
  <si>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</si>
  <si>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</si>
  <si>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</si>
  <si>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</si>
  <si>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</si>
  <si>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</si>
  <si>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</si>
  <si>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</si>
  <si>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</si>
  <si>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</si>
  <si>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</si>
  <si>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</si>
  <si>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</si>
  <si>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</si>
  <si>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</si>
  <si>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</si>
  <si>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</si>
  <si>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</si>
  <si>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</si>
  <si>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</si>
  <si>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</si>
  <si>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</si>
  <si>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</si>
  <si>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</si>
  <si>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</si>
  <si>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</si>
  <si>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</si>
  <si>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</si>
  <si>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</si>
  <si>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</si>
  <si>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</si>
  <si>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</si>
  <si>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</si>
  <si>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</si>
  <si>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</si>
  <si>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</si>
  <si>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</si>
  <si>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</si>
  <si>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</si>
  <si>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</si>
  <si>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</si>
  <si>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</si>
  <si>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</si>
  <si>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</si>
  <si>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</si>
  <si>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</si>
  <si>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</si>
  <si>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</si>
  <si>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</si>
  <si>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</si>
  <si>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</si>
  <si>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</si>
  <si>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</si>
  <si>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</si>
  <si>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</si>
  <si>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</si>
  <si>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</si>
  <si>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</si>
  <si>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</si>
  <si>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</si>
  <si>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</si>
  <si>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</si>
  <si>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</si>
  <si>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</si>
  <si>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</si>
  <si>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</si>
  <si>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</si>
  <si>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</si>
  <si>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</si>
  <si>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</si>
  <si>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</si>
  <si>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</si>
  <si>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</si>
  <si>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</si>
  <si>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</si>
  <si>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</si>
  <si>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</si>
  <si>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</si>
  <si>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</si>
  <si>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</si>
  <si>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</si>
  <si>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</si>
  <si>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</si>
  <si>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</si>
  <si>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</si>
  <si>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</si>
  <si>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</si>
  <si>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</si>
  <si>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</si>
  <si>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</si>
  <si>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</si>
  <si>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</si>
  <si>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</si>
  <si>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</si>
  <si>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</si>
  <si>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</si>
  <si>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</si>
  <si>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</si>
  <si>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</si>
  <si>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</si>
  <si>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</si>
  <si>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</si>
  <si>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</si>
  <si>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</si>
  <si>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</si>
  <si>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</si>
  <si>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</si>
  <si>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</si>
  <si>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</si>
  <si>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</si>
  <si>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</si>
  <si>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</si>
  <si>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</si>
  <si>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</si>
  <si>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</si>
  <si>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</si>
  <si>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</si>
  <si>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</si>
  <si>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</si>
  <si>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</si>
  <si>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</si>
  <si>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</si>
  <si>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</si>
  <si>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</si>
  <si>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</si>
  <si>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</si>
  <si>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</si>
  <si>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</si>
  <si>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</si>
  <si>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</si>
  <si>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</si>
  <si>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</si>
  <si>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</si>
  <si>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</si>
  <si>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</si>
  <si>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</si>
  <si>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</si>
  <si>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</si>
  <si>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</si>
  <si>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</si>
  <si>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</si>
  <si>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</si>
  <si>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</si>
  <si>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</si>
  <si>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</si>
  <si>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</si>
  <si>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</si>
  <si>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</si>
  <si>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</si>
  <si>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</si>
  <si>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</si>
  <si>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</si>
  <si>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</si>
  <si>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</si>
  <si>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</si>
  <si>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</si>
  <si>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</si>
  <si>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</si>
  <si>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</si>
  <si>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</si>
  <si>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</si>
  <si>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</si>
  <si>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</si>
  <si>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</si>
  <si>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</si>
  <si>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</si>
  <si>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</si>
  <si>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</si>
  <si>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</si>
  <si>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</si>
  <si>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</si>
  <si>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</si>
  <si>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</si>
  <si>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</si>
  <si>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</si>
  <si>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</si>
  <si>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</si>
  <si>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</si>
  <si>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</si>
  <si>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</si>
  <si>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</si>
  <si>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</si>
  <si>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</si>
  <si>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</si>
  <si>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</si>
  <si>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</si>
  <si>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</si>
  <si>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</si>
  <si>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</si>
  <si>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</si>
  <si>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</si>
  <si>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</si>
  <si>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</si>
  <si>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</si>
  <si>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</si>
  <si>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</si>
  <si>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</si>
  <si>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</si>
  <si>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</si>
  <si>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</si>
  <si>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</si>
  <si>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</si>
  <si>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</si>
  <si>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</si>
  <si>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</si>
  <si>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</si>
  <si>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</si>
  <si>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</si>
  <si>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</si>
  <si>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</si>
  <si>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</si>
  <si>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</si>
  <si>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</si>
  <si>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</si>
  <si>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</si>
  <si>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</si>
  <si>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</si>
  <si>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</si>
  <si>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</si>
  <si>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</si>
  <si>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</si>
  <si>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</si>
  <si>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</si>
  <si>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</si>
  <si>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</si>
  <si>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</si>
  <si>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</si>
  <si>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</si>
  <si>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</si>
  <si>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</si>
  <si>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</si>
  <si>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</si>
  <si>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</si>
  <si>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</si>
  <si>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</si>
  <si>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</si>
  <si>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</si>
  <si>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</si>
  <si>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</si>
  <si>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</si>
  <si>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</si>
  <si>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</si>
  <si>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</si>
  <si>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</si>
  <si>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</si>
  <si>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</si>
  <si>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</si>
  <si>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</si>
  <si>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</si>
  <si>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</si>
  <si>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</si>
  <si>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</si>
  <si>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</si>
  <si>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</si>
  <si>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</si>
  <si>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</si>
  <si>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</si>
  <si>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</si>
  <si>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</si>
  <si>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</si>
  <si>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</si>
  <si>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</si>
  <si>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</si>
  <si>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</si>
  <si>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</si>
  <si>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</si>
  <si>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</si>
  <si>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</si>
  <si>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</si>
  <si>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</si>
  <si>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</si>
  <si>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</si>
  <si>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</si>
  <si>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</si>
  <si>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</si>
  <si>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</si>
  <si>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</si>
  <si>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</si>
  <si>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</si>
  <si>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</si>
  <si>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</si>
  <si>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</si>
  <si>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</si>
  <si>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</si>
  <si>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</si>
  <si>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</si>
  <si>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</si>
  <si>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</si>
  <si>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</si>
  <si>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</si>
  <si>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</si>
  <si>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</si>
  <si>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</si>
  <si>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</si>
  <si>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</si>
  <si>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</si>
  <si>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</si>
  <si>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</si>
  <si>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</si>
  <si>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</si>
  <si>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</si>
  <si>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</si>
  <si>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</si>
  <si>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</si>
  <si>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</si>
  <si>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</si>
  <si>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</si>
  <si>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</si>
  <si>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</si>
  <si>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</si>
  <si>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</si>
  <si>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</si>
  <si>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</si>
  <si>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</si>
  <si>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</si>
  <si>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</si>
  <si>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</si>
  <si>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</si>
  <si>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</si>
  <si>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</si>
  <si>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</si>
  <si>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</si>
  <si>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</si>
  <si>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</si>
  <si>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</si>
  <si>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</si>
  <si>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</si>
  <si>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</si>
  <si>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</si>
  <si>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</si>
  <si>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</si>
  <si>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</si>
  <si>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</si>
  <si>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</si>
  <si>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</si>
  <si>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</si>
  <si>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</si>
  <si>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</si>
  <si>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</si>
  <si>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</si>
  <si>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</si>
  <si>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</si>
  <si>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</si>
  <si>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</si>
  <si>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</si>
  <si>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</si>
  <si>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</si>
  <si>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</si>
  <si>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</si>
  <si>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</si>
  <si>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</si>
  <si>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</si>
  <si>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</si>
  <si>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</si>
  <si>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</si>
  <si>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</si>
  <si>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</si>
  <si>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</si>
  <si>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</si>
  <si>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</si>
  <si>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</si>
  <si>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</si>
  <si>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</si>
  <si>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</si>
  <si>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</si>
  <si>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</si>
  <si>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</si>
  <si>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</si>
  <si>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</si>
  <si>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</si>
  <si>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</si>
  <si>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</si>
  <si>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</si>
  <si>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</si>
  <si>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</si>
  <si>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</si>
  <si>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</si>
  <si>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</si>
  <si>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</si>
  <si>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</si>
  <si>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</si>
  <si>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</si>
  <si>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</si>
  <si>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</si>
  <si>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</si>
  <si>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</si>
  <si>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</si>
  <si>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</si>
  <si>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</si>
  <si>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</si>
  <si>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</si>
  <si>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</si>
  <si>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</si>
  <si>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</si>
  <si>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</si>
  <si>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</si>
  <si>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</si>
  <si>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</si>
  <si>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</si>
  <si>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</si>
  <si>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</si>
  <si>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</si>
  <si>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</si>
  <si>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</si>
  <si>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</si>
  <si>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</si>
  <si>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</si>
  <si>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</si>
  <si>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</si>
  <si>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</si>
  <si>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</si>
  <si>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</si>
  <si>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</si>
  <si>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</si>
  <si>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</si>
  <si>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</si>
  <si>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</si>
  <si>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</si>
  <si>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</si>
  <si>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</si>
  <si>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</si>
  <si>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</si>
  <si>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</si>
  <si>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</si>
  <si>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</si>
  <si>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</si>
  <si>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</si>
  <si>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</si>
  <si>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</si>
  <si>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</si>
  <si>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</si>
  <si>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</si>
  <si>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</si>
  <si>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</si>
  <si>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</si>
  <si>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</si>
  <si>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</si>
  <si>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</si>
  <si>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</si>
  <si>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</si>
  <si>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</si>
  <si>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</si>
  <si>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</si>
  <si>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</si>
  <si>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</si>
  <si>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</si>
  <si>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</si>
  <si>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</si>
  <si>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</si>
  <si>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</si>
  <si>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</si>
  <si>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</si>
  <si>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</si>
  <si>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</si>
  <si>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</si>
  <si>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</si>
  <si>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</si>
  <si>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</si>
  <si>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</si>
  <si>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</si>
  <si>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</si>
  <si>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</si>
  <si>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</si>
  <si>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</si>
  <si>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</si>
  <si>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</si>
  <si>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</si>
  <si>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</si>
  <si>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</si>
  <si>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</si>
  <si>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</si>
  <si>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</si>
  <si>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</si>
  <si>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</si>
  <si>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</si>
  <si>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</si>
  <si>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</si>
  <si>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</si>
  <si>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</si>
  <si>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</si>
  <si>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</si>
  <si>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</si>
  <si>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</si>
  <si>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</si>
  <si>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</si>
  <si>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</si>
  <si>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</si>
  <si>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</si>
  <si>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</si>
  <si>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</si>
  <si>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</si>
  <si>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</si>
  <si>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</si>
  <si>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</si>
  <si>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</si>
  <si>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</si>
  <si>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</si>
  <si>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</si>
  <si>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</si>
  <si>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</si>
  <si>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</si>
  <si>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</si>
  <si>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</si>
  <si>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</si>
  <si>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</si>
  <si>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</si>
  <si>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</si>
  <si>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</si>
  <si>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</si>
  <si>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</si>
  <si>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</si>
  <si>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</si>
  <si>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</si>
  <si>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</si>
  <si>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</si>
  <si>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</si>
  <si>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</si>
  <si>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</si>
  <si>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</si>
  <si>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</si>
  <si>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</si>
  <si>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</si>
  <si>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</si>
  <si>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</si>
  <si>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</si>
  <si>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</si>
  <si>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</si>
  <si>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</si>
  <si>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</si>
  <si>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</si>
  <si>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</si>
  <si>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</si>
  <si>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</si>
  <si>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</si>
  <si>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</si>
  <si>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</si>
  <si>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</si>
  <si>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</si>
  <si>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</si>
  <si>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</si>
  <si>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</si>
  <si>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</si>
  <si>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</si>
  <si>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</si>
  <si>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</si>
  <si>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</si>
  <si>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</si>
  <si>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</si>
  <si>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</si>
  <si>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</si>
  <si>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</si>
  <si>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</si>
  <si>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</si>
  <si>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</si>
  <si>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</si>
  <si>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</si>
  <si>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</si>
  <si>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</si>
  <si>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</si>
  <si>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</si>
  <si>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</si>
  <si>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</si>
  <si>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</si>
  <si>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</si>
  <si>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</si>
  <si>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</si>
  <si>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</si>
  <si>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</si>
  <si>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</si>
  <si>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</si>
  <si>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</si>
  <si>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</si>
  <si>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</si>
  <si>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</si>
  <si>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</si>
  <si>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</si>
  <si>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</si>
  <si>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</si>
  <si>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</si>
  <si>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</si>
  <si>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</si>
  <si>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</si>
  <si>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</si>
  <si>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</si>
  <si>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</si>
  <si>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</si>
  <si>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</si>
  <si>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</si>
  <si>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</si>
  <si>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</si>
  <si>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</si>
  <si>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</si>
  <si>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</si>
  <si>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</si>
  <si>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</si>
  <si>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</si>
  <si>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</si>
  <si>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</si>
  <si>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</si>
  <si>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</si>
  <si>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</si>
  <si>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</si>
  <si>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</si>
  <si>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</si>
  <si>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</si>
  <si>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</si>
  <si>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</si>
  <si>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</si>
  <si>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</si>
  <si>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</si>
  <si>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</si>
  <si>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</si>
  <si>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</si>
  <si>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</si>
  <si>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</si>
  <si>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</si>
  <si>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</si>
  <si>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</si>
  <si>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</si>
  <si>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</si>
  <si>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</si>
  <si>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</si>
  <si>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</si>
  <si>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</si>
  <si>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</si>
  <si>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</si>
  <si>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</si>
  <si>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</si>
  <si>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</si>
  <si>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</si>
  <si>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</si>
  <si>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</si>
  <si>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</si>
  <si>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</si>
  <si>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</si>
  <si>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</si>
  <si>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</si>
  <si>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</si>
  <si>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</si>
  <si>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</si>
  <si>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</si>
  <si>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</si>
  <si>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</si>
  <si>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</si>
  <si>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</si>
  <si>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</si>
  <si>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</si>
  <si>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</si>
  <si>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</si>
  <si>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</si>
  <si>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</si>
  <si>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</si>
  <si>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</si>
  <si>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</si>
  <si>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</si>
  <si>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</si>
  <si>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</si>
  <si>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</si>
  <si>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</si>
  <si>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</si>
  <si>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</si>
  <si>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</si>
  <si>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</si>
  <si>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</si>
  <si>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</si>
  <si>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</si>
  <si>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</si>
  <si>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</si>
  <si>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</si>
  <si>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</si>
  <si>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</si>
  <si>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</si>
  <si>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</si>
  <si>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</si>
  <si>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</si>
  <si>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</si>
  <si>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</si>
  <si>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</si>
  <si>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</si>
  <si>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</si>
  <si>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</si>
  <si>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</si>
  <si>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</si>
  <si>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</si>
  <si>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</si>
  <si>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</si>
  <si>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</si>
  <si>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</si>
  <si>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</si>
  <si>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</si>
  <si>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</si>
  <si>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</si>
  <si>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</si>
  <si>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</si>
  <si>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</si>
  <si>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</si>
  <si>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</si>
  <si>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</si>
  <si>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</si>
  <si>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</si>
  <si>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</si>
  <si>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</si>
  <si>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</si>
  <si>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</si>
  <si>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</si>
  <si>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</si>
  <si>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</si>
  <si>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</si>
  <si>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</si>
  <si>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</si>
  <si>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</si>
  <si>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</si>
  <si>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</si>
  <si>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</si>
  <si>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</si>
  <si>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</si>
  <si>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</si>
  <si>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</si>
  <si>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</si>
  <si>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</si>
  <si>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</si>
  <si>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</si>
  <si>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</si>
  <si>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</si>
  <si>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</si>
  <si>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</si>
  <si>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</si>
  <si>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</si>
  <si>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</si>
  <si>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</si>
  <si>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</si>
  <si>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</si>
  <si>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</si>
  <si>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</si>
  <si>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</si>
  <si>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</si>
  <si>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</si>
  <si>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</si>
  <si>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</si>
  <si>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</si>
  <si>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</si>
  <si>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</si>
  <si>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</si>
  <si>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</si>
  <si>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</si>
  <si>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</si>
  <si>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</si>
  <si>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</si>
  <si>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</si>
  <si>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</si>
  <si>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</si>
  <si>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</si>
  <si>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</si>
  <si>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</si>
  <si>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</si>
  <si>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</si>
  <si>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</si>
  <si>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</si>
  <si>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</si>
  <si>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</si>
  <si>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</si>
  <si>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</si>
  <si>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</si>
  <si>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</si>
  <si>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</si>
  <si>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</si>
  <si>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</si>
  <si>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</si>
  <si>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</si>
  <si>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</si>
  <si>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</si>
  <si>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</si>
  <si>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</si>
  <si>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</si>
  <si>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</si>
  <si>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</si>
  <si>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</si>
  <si>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</si>
  <si>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</si>
  <si>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</si>
  <si>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</si>
  <si>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</si>
  <si>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</si>
  <si>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</si>
  <si>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</si>
  <si>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</si>
  <si>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</si>
  <si>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</si>
  <si>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</si>
  <si>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</si>
  <si>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</si>
  <si>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</si>
  <si>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</si>
  <si>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</si>
  <si>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</si>
  <si>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</si>
  <si>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</si>
  <si>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</si>
  <si>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</si>
  <si>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</si>
  <si>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</si>
  <si>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</si>
  <si>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</si>
  <si>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</si>
  <si>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</si>
  <si>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</si>
  <si>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</si>
  <si>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</si>
  <si>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</si>
  <si>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</si>
  <si>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</si>
  <si>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</si>
  <si>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</si>
  <si>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</si>
  <si>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</si>
  <si>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</si>
  <si>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</si>
  <si>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</si>
  <si>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</si>
  <si>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</si>
  <si>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</si>
  <si>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</si>
  <si>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</si>
  <si>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</si>
  <si>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</si>
  <si>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</si>
  <si>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</si>
  <si>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</si>
  <si>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</si>
  <si>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</si>
  <si>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</si>
  <si>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</si>
  <si>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</si>
  <si>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</si>
  <si>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</si>
  <si>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</si>
  <si>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</si>
  <si>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</si>
  <si>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</si>
  <si>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</si>
  <si>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</si>
  <si>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</si>
  <si>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</si>
  <si>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</si>
  <si>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</si>
  <si>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</si>
  <si>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</si>
  <si>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</si>
  <si>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</si>
  <si>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</si>
  <si>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</si>
  <si>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</si>
  <si>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</si>
  <si>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</si>
  <si>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</si>
  <si>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</si>
  <si>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</si>
  <si>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</si>
  <si>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</si>
  <si>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</si>
  <si>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</si>
  <si>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</si>
  <si>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</si>
  <si>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</si>
  <si>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</si>
  <si>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</si>
  <si>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</si>
  <si>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</si>
  <si>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</si>
  <si>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</si>
  <si>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</si>
  <si>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</si>
  <si>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</si>
  <si>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</si>
  <si>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</si>
  <si>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</si>
  <si>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</si>
  <si>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</si>
  <si>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</si>
  <si>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</si>
  <si>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</si>
  <si>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</si>
  <si>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</si>
  <si>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</si>
  <si>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</si>
  <si>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</si>
  <si>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</si>
  <si>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</si>
  <si>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</si>
  <si>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</si>
  <si>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</si>
  <si>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</si>
  <si>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</si>
  <si>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</si>
  <si>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</si>
  <si>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</si>
  <si>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</si>
  <si>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</si>
  <si>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</si>
  <si>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</si>
  <si>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</si>
  <si>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</si>
  <si>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</si>
  <si>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</si>
  <si>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</si>
  <si>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</si>
  <si>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</si>
  <si>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</si>
  <si>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</si>
  <si>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</si>
  <si>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</si>
  <si>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</si>
  <si>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</si>
  <si>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</si>
  <si>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</si>
  <si>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</si>
  <si>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</si>
  <si>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</si>
  <si>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</si>
  <si>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</si>
  <si>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</si>
  <si>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</si>
  <si>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</si>
  <si>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</si>
  <si>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</si>
  <si>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</si>
  <si>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</si>
  <si>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</si>
  <si>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</si>
  <si>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</si>
  <si>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</si>
  <si>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</si>
  <si>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</si>
  <si>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</si>
  <si>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</si>
  <si>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</si>
  <si>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</si>
  <si>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</si>
  <si>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</si>
  <si>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</si>
  <si>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</si>
  <si>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</si>
  <si>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</si>
  <si>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</si>
  <si>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</si>
  <si>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</si>
  <si>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</si>
  <si>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</si>
  <si>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</si>
  <si>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</si>
  <si>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</si>
  <si>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</si>
  <si>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</si>
  <si>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</si>
  <si>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</si>
  <si>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</si>
  <si>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</si>
  <si>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</si>
  <si>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</si>
  <si>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</si>
  <si>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</si>
  <si>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</si>
  <si>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</si>
  <si>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</si>
  <si>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</si>
  <si>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</si>
  <si>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</si>
  <si>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</si>
  <si>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</si>
  <si>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</si>
  <si>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</si>
  <si>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</si>
  <si>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</si>
  <si>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</si>
  <si>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</si>
  <si>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</si>
  <si>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</si>
  <si>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</si>
  <si>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</si>
  <si>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</si>
  <si>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</si>
  <si>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</si>
  <si>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</si>
  <si>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</si>
  <si>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</si>
  <si>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</si>
  <si>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</si>
  <si>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</si>
  <si>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</si>
  <si>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</si>
  <si>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</si>
  <si>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</si>
  <si>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</si>
  <si>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</si>
  <si>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</si>
  <si>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</si>
  <si>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</si>
  <si>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</si>
  <si>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</si>
  <si>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</si>
  <si>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</si>
  <si>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</si>
  <si>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</si>
  <si>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</si>
  <si>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</si>
  <si>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</si>
  <si>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</si>
  <si>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</si>
  <si>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</si>
  <si>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</si>
  <si>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</si>
  <si>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</si>
  <si>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</si>
  <si>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</si>
  <si>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</si>
  <si>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</si>
  <si>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</si>
  <si>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</si>
  <si>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</si>
  <si>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</si>
  <si>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</si>
  <si>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</si>
  <si>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</si>
  <si>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</si>
  <si>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</si>
  <si>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</si>
  <si>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</si>
  <si>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</si>
  <si>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</si>
  <si>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</si>
  <si>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</si>
  <si>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</si>
  <si>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</si>
  <si>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</si>
  <si>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</si>
  <si>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</si>
  <si>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</si>
  <si>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</si>
  <si>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</si>
  <si>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</si>
  <si>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</si>
  <si>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</si>
  <si>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</si>
  <si>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</si>
  <si>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</si>
  <si>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</si>
  <si>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</si>
  <si>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</si>
  <si>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</si>
  <si>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</si>
  <si>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</si>
  <si>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</si>
  <si>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</si>
  <si>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</si>
  <si>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</si>
  <si>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</si>
  <si>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</si>
  <si>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</si>
  <si>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</si>
  <si>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</si>
  <si>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</si>
  <si>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</si>
  <si>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</si>
  <si>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</si>
  <si>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</si>
  <si>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</si>
  <si>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</si>
  <si>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</si>
  <si>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</si>
  <si>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</si>
  <si>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</si>
  <si>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</si>
  <si>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</si>
  <si>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</si>
  <si>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</si>
  <si>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</si>
  <si>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</si>
  <si>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</si>
  <si>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</si>
  <si>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</si>
  <si>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</si>
  <si>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</si>
  <si>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</si>
  <si>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</si>
  <si>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</si>
  <si>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</si>
  <si>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</si>
  <si>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</si>
  <si>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</si>
  <si>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</si>
  <si>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</si>
  <si>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</si>
  <si>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</si>
  <si>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</si>
  <si>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</si>
  <si>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</si>
  <si>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</si>
  <si>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</si>
  <si>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</si>
  <si>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</si>
  <si>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</si>
  <si>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</si>
  <si>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</si>
  <si>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</si>
  <si>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</si>
  <si>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</si>
  <si>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</si>
  <si>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</si>
  <si>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</si>
  <si>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</si>
  <si>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</si>
  <si>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</si>
  <si>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</si>
  <si>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</si>
  <si>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</si>
  <si>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</si>
  <si>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</si>
  <si>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</si>
  <si>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</si>
  <si>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</si>
  <si>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</si>
  <si>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</si>
  <si>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</si>
  <si>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</si>
  <si>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</si>
  <si>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</si>
  <si>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</si>
  <si>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</si>
  <si>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</si>
  <si>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</si>
  <si>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</si>
  <si>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</si>
  <si>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</si>
  <si>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</si>
  <si>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</si>
  <si>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</si>
  <si>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</si>
  <si>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</si>
  <si>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</si>
  <si>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</si>
  <si>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</si>
  <si>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</si>
  <si>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</si>
  <si>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</si>
  <si>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</si>
  <si>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</si>
  <si>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</si>
  <si>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</si>
  <si>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</si>
  <si>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</si>
  <si>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</si>
  <si>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</si>
  <si>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</si>
  <si>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</si>
  <si>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</si>
  <si>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</si>
  <si>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</si>
  <si>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</si>
  <si>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</si>
  <si>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</si>
  <si>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</si>
  <si>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</si>
  <si>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</si>
  <si>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</si>
  <si>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</si>
  <si>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</si>
  <si>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</si>
  <si>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</si>
  <si>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</si>
  <si>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</si>
  <si>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</si>
  <si>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</si>
  <si>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</si>
  <si>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</si>
  <si>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</si>
  <si>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</si>
  <si>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</si>
  <si>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</si>
  <si>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</si>
  <si>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</si>
  <si>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</si>
  <si>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</si>
  <si>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</si>
  <si>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</si>
  <si>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</si>
  <si>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</si>
  <si>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</si>
  <si>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</si>
  <si>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</si>
  <si>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</si>
  <si>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</si>
  <si>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</si>
  <si>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</si>
  <si>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</si>
  <si>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</si>
  <si>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</si>
  <si>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</si>
  <si>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</si>
  <si>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</si>
  <si>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</si>
  <si>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</si>
  <si>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</si>
  <si>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</si>
  <si>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</si>
  <si>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</si>
  <si>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</si>
  <si>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</si>
  <si>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</si>
  <si>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</si>
  <si>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</si>
  <si>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</si>
  <si>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</si>
  <si>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</si>
  <si>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</si>
  <si>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</si>
  <si>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</si>
  <si>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</si>
  <si>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</si>
  <si>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</si>
  <si>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</si>
  <si>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</si>
  <si>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</si>
  <si>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</si>
  <si>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</si>
  <si>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</si>
  <si>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</si>
  <si>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</si>
  <si>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</si>
  <si>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</si>
  <si>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</si>
  <si>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</si>
  <si>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</si>
  <si>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</si>
  <si>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</si>
  <si>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</si>
  <si>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</si>
  <si>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</si>
  <si>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</si>
  <si>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</si>
  <si>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</si>
  <si>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</si>
  <si>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</si>
  <si>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</si>
  <si>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</si>
  <si>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</si>
  <si>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</si>
  <si>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</si>
  <si>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</si>
  <si>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</si>
  <si>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</si>
  <si>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</si>
  <si>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</si>
  <si>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</si>
  <si>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</si>
  <si>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</si>
  <si>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</si>
  <si>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</si>
  <si>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</si>
  <si>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</si>
  <si>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</si>
  <si>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</si>
  <si>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</si>
  <si>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</si>
  <si>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</si>
  <si>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</si>
  <si>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</si>
  <si>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</si>
  <si>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</si>
  <si>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</si>
  <si>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</si>
  <si>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</si>
  <si>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</si>
  <si>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</si>
  <si>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</si>
  <si>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</si>
  <si>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</si>
  <si>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</si>
  <si>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</si>
  <si>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</si>
  <si>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</si>
  <si>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</si>
  <si>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</si>
  <si>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</si>
  <si>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</si>
  <si>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</si>
  <si>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</si>
  <si>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</si>
  <si>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</si>
  <si>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</si>
  <si>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</si>
  <si>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</si>
  <si>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</si>
  <si>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</si>
  <si>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</si>
  <si>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</si>
  <si>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</si>
  <si>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</si>
  <si>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</si>
  <si>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</si>
  <si>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</si>
  <si>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</si>
  <si>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</si>
  <si>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</si>
  <si>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</si>
  <si>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</si>
  <si>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</si>
  <si>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</si>
  <si>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</si>
  <si>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</si>
  <si>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</si>
  <si>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</si>
  <si>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</si>
  <si>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</si>
  <si>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</si>
  <si>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</si>
  <si>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</si>
  <si>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</si>
  <si>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</si>
  <si>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</si>
  <si>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</si>
  <si>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</si>
  <si>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</si>
  <si>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</si>
  <si>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</si>
  <si>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</si>
  <si>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</si>
  <si>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</si>
  <si>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</si>
  <si>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</si>
  <si>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</si>
  <si>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</si>
  <si>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</si>
  <si>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</si>
  <si>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</si>
  <si>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</si>
  <si>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</si>
  <si>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</si>
  <si>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</si>
  <si>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</si>
  <si>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</si>
  <si>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</si>
  <si>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</si>
  <si>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</si>
  <si>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</si>
  <si>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</si>
  <si>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</si>
  <si>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</si>
  <si>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</si>
  <si>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</si>
  <si>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</si>
  <si>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</si>
  <si>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</si>
  <si>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</si>
  <si>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</si>
  <si>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</si>
  <si>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</si>
  <si>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</si>
  <si>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</si>
  <si>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</si>
  <si>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</si>
  <si>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</si>
  <si>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</si>
  <si>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</si>
  <si>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</si>
  <si>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</si>
  <si>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</si>
  <si>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</si>
  <si>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</si>
  <si>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</si>
  <si>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</si>
  <si>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</si>
  <si>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</si>
  <si>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</si>
  <si>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</si>
  <si>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</si>
  <si>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</si>
  <si>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</si>
  <si>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</si>
  <si>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</si>
  <si>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</si>
  <si>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</si>
  <si>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</si>
  <si>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</si>
  <si>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</si>
  <si>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</si>
  <si>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</si>
  <si>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</si>
  <si>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</si>
  <si>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</si>
  <si>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</si>
  <si>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</si>
  <si>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</si>
  <si>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</si>
  <si>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</si>
  <si>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</si>
  <si>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</si>
  <si>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</si>
  <si>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</si>
  <si>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</si>
  <si>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</si>
  <si>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</si>
  <si>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</si>
  <si>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</si>
  <si>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</si>
  <si>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</si>
  <si>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</si>
  <si>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</si>
  <si>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</si>
  <si>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</si>
  <si>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</si>
  <si>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</si>
  <si>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</si>
  <si>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</si>
  <si>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</si>
  <si>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</si>
  <si>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</si>
  <si>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</si>
  <si>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</si>
  <si>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</si>
  <si>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</si>
  <si>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</si>
  <si>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</si>
  <si>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</si>
  <si>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</si>
  <si>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</si>
  <si>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</si>
  <si>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</si>
  <si>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</si>
  <si>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</si>
  <si>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</si>
  <si>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</si>
  <si>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</si>
  <si>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</si>
  <si>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</si>
  <si>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</si>
  <si>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</si>
  <si>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</si>
  <si>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</si>
  <si>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</si>
  <si>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</si>
  <si>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</si>
  <si>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</si>
  <si>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</si>
  <si>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</si>
  <si>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</si>
  <si>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</si>
  <si>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</si>
  <si>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</si>
  <si>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</si>
  <si>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</si>
  <si>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</si>
  <si>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</si>
  <si>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</si>
  <si>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</si>
  <si>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</si>
  <si>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</si>
  <si>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</si>
  <si>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</si>
  <si>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</si>
  <si>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</si>
  <si>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</si>
  <si>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</si>
  <si>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</si>
  <si>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</si>
  <si>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</si>
  <si>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</si>
  <si>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</si>
  <si>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</si>
  <si>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</si>
  <si>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</si>
  <si>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</si>
  <si>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</si>
  <si>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</si>
  <si>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</si>
  <si>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</si>
  <si>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</si>
  <si>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</si>
  <si>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</si>
  <si>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</si>
  <si>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</si>
  <si>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</si>
  <si>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</si>
  <si>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</si>
  <si>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</si>
  <si>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</si>
  <si>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</si>
  <si>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</si>
  <si>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</si>
  <si>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</si>
  <si>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</si>
  <si>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</si>
  <si>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</si>
  <si>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</si>
  <si>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</si>
  <si>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</si>
  <si>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</si>
  <si>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</si>
  <si>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</si>
  <si>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</si>
  <si>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</si>
  <si>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</si>
  <si>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</si>
  <si>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</si>
  <si>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</si>
  <si>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</si>
  <si>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</si>
  <si>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</si>
  <si>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</si>
  <si>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</si>
  <si>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</si>
  <si>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</si>
  <si>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</si>
  <si>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</si>
  <si>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</si>
  <si>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</si>
  <si>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</si>
  <si>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</si>
  <si>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</si>
  <si>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</si>
  <si>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</si>
  <si>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</si>
  <si>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</si>
  <si>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</si>
  <si>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</si>
  <si>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</si>
  <si>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</si>
  <si>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</si>
  <si>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</si>
  <si>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</si>
  <si>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</si>
  <si>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</si>
  <si>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</si>
  <si>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</si>
  <si>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</si>
  <si>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</si>
  <si>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</si>
  <si>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</si>
  <si>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</si>
  <si>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</si>
  <si>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</si>
  <si>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</si>
  <si>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</si>
  <si>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</si>
  <si>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</si>
  <si>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</si>
  <si>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</si>
  <si>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</si>
  <si>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</si>
  <si>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</si>
  <si>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</si>
  <si>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</si>
  <si>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</si>
  <si>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</si>
  <si>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</si>
  <si>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</si>
  <si>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</si>
  <si>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</si>
  <si>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</si>
  <si>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</si>
  <si>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</si>
  <si>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</si>
  <si>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</si>
  <si>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</si>
  <si>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</si>
  <si>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</si>
  <si>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</si>
  <si>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</si>
  <si>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</si>
  <si>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</si>
  <si>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</si>
  <si>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</si>
  <si>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</si>
  <si>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</si>
  <si>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</si>
  <si>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</si>
  <si>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</si>
  <si>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</si>
  <si>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</si>
  <si>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</si>
  <si>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</si>
  <si>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</si>
  <si>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</si>
  <si>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</si>
  <si>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</si>
  <si>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</si>
  <si>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</si>
  <si>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</si>
  <si>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</si>
  <si>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</si>
  <si>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</si>
  <si>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</si>
  <si>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</si>
  <si>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</si>
  <si>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</si>
  <si>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</si>
  <si>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</si>
  <si>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</si>
  <si>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</si>
  <si>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</si>
  <si>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</si>
  <si>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</si>
  <si>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</si>
  <si>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</si>
  <si>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</si>
  <si>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</si>
  <si>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</si>
  <si>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</si>
  <si>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</si>
  <si>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</si>
  <si>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</si>
  <si>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</si>
  <si>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</si>
  <si>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</si>
  <si>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</si>
  <si>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</si>
  <si>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</si>
  <si>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</si>
  <si>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</si>
  <si>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</si>
  <si>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</si>
  <si>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</si>
  <si>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</si>
  <si>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</si>
  <si>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</si>
  <si>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</si>
  <si>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</si>
  <si>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</si>
  <si>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</si>
  <si>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</si>
  <si>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</si>
  <si>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</si>
  <si>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</si>
  <si>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</si>
  <si>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</si>
  <si>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</si>
  <si>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</si>
  <si>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</si>
  <si>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</si>
  <si>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</si>
  <si>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</si>
  <si>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</si>
  <si>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</si>
  <si>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</si>
  <si>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</si>
  <si>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</si>
  <si>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</si>
  <si>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</si>
  <si>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</si>
  <si>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</si>
  <si>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</si>
  <si>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</si>
  <si>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</si>
  <si>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</si>
  <si>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</si>
  <si>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</si>
  <si>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</si>
  <si>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</si>
  <si>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</si>
  <si>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</si>
  <si>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</si>
  <si>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</si>
  <si>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</si>
  <si>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</si>
  <si>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</si>
  <si>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</si>
  <si>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</si>
  <si>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</si>
  <si>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</si>
  <si>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</si>
  <si>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</si>
  <si>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</si>
  <si>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</si>
  <si>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</si>
  <si>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</si>
  <si>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</si>
  <si>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</si>
  <si>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</si>
  <si>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</si>
  <si>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</si>
  <si>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</si>
  <si>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</si>
  <si>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</si>
  <si>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</si>
  <si>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</si>
  <si>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</si>
  <si>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</si>
  <si>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</si>
  <si>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</si>
  <si>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</si>
  <si>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</si>
  <si>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</si>
  <si>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</si>
  <si>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</si>
  <si>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</si>
  <si>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</si>
  <si>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</si>
  <si>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</si>
  <si>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</si>
  <si>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</si>
  <si>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</si>
  <si>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</si>
  <si>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</si>
  <si>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</si>
  <si>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</si>
  <si>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</si>
  <si>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</si>
  <si>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</si>
  <si>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</si>
  <si>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</si>
  <si>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</si>
  <si>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</si>
  <si>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</si>
  <si>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</si>
  <si>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</si>
  <si>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</si>
  <si>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</si>
  <si>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</si>
  <si>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</si>
  <si>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</si>
  <si>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</si>
  <si>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</si>
  <si>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</si>
  <si>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</si>
  <si>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</si>
  <si>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</si>
  <si>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</si>
  <si>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</si>
  <si>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</si>
  <si>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</si>
  <si>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</si>
  <si>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</si>
  <si>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</si>
  <si>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</si>
  <si>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</si>
  <si>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</si>
  <si>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</si>
  <si>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</si>
  <si>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</si>
  <si>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</si>
  <si>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</si>
  <si>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</si>
  <si>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</si>
  <si>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</si>
  <si>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</si>
  <si>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</si>
  <si>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</si>
  <si>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</si>
  <si>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</si>
  <si>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</si>
  <si>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</si>
  <si>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</si>
  <si>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</si>
  <si>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</si>
  <si>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</si>
  <si>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</si>
  <si>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</si>
  <si>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</si>
  <si>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</si>
  <si>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</si>
  <si>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</si>
  <si>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</si>
  <si>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</si>
  <si>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</si>
  <si>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</si>
  <si>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</si>
  <si>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</si>
  <si>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</si>
  <si>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</si>
  <si>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</si>
  <si>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</si>
  <si>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</si>
  <si>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</si>
  <si>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</si>
  <si>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</si>
  <si>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</si>
  <si>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</si>
  <si>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</si>
  <si>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</si>
  <si>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</si>
  <si>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</si>
  <si>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</si>
  <si>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</si>
  <si>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</si>
  <si>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</si>
  <si>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</si>
  <si>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</si>
  <si>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</si>
  <si>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</si>
  <si>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</si>
  <si>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</si>
  <si>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</si>
  <si>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</si>
  <si>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</si>
  <si>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</si>
  <si>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</si>
  <si>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</si>
  <si>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</si>
  <si>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</si>
  <si>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</si>
  <si>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</si>
  <si>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</si>
  <si>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</si>
  <si>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</si>
  <si>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</si>
  <si>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</si>
  <si>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</si>
  <si>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</si>
  <si>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</si>
  <si>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</si>
  <si>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</si>
  <si>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</si>
  <si>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</si>
  <si>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</si>
  <si>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</si>
  <si>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</si>
  <si>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</si>
  <si>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</si>
  <si>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</si>
  <si>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</si>
  <si>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</si>
  <si>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</si>
  <si>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</si>
  <si>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</si>
  <si>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</si>
  <si>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</si>
  <si>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</si>
  <si>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</si>
  <si>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</si>
  <si>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</si>
  <si>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</si>
  <si>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</si>
  <si>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</si>
  <si>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</si>
  <si>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</si>
  <si>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</si>
  <si>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</si>
  <si>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</si>
  <si>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</si>
  <si>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</si>
  <si>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</si>
  <si>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</si>
  <si>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</si>
  <si>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</si>
  <si>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</si>
  <si>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</si>
  <si>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</si>
  <si>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</si>
  <si>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</si>
  <si>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</si>
  <si>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</si>
  <si>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</si>
  <si>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</si>
  <si>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</si>
  <si>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</si>
  <si>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</si>
  <si>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</si>
  <si>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</si>
  <si>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</si>
  <si>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</si>
  <si>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</si>
  <si>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</si>
  <si>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</si>
  <si>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</si>
  <si>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</si>
  <si>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</si>
  <si>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</si>
  <si>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</si>
  <si>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</si>
  <si>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</si>
  <si>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</si>
  <si>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</si>
  <si>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</si>
  <si>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</si>
  <si>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</si>
  <si>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</si>
  <si>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</si>
  <si>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</si>
  <si>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</si>
  <si>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</si>
  <si>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</si>
  <si>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</si>
  <si>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</si>
  <si>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</si>
  <si>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</si>
  <si>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</si>
  <si>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</si>
  <si>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</si>
  <si>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</si>
  <si>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</si>
  <si>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</si>
  <si>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</si>
  <si>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</si>
  <si>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</si>
  <si>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</si>
  <si>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</si>
  <si>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</si>
  <si>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</si>
  <si>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</si>
  <si>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</si>
  <si>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</si>
  <si>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</si>
  <si>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</si>
  <si>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</si>
  <si>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</si>
  <si>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</si>
  <si>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</si>
  <si>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</si>
  <si>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</si>
  <si>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</si>
  <si>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</si>
  <si>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</si>
  <si>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</si>
  <si>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</si>
  <si>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</si>
  <si>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</si>
  <si>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</si>
  <si>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</si>
  <si>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</si>
  <si>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</si>
  <si>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</si>
  <si>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</si>
  <si>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</si>
  <si>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</si>
  <si>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</si>
  <si>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</si>
  <si>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</si>
  <si>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</si>
  <si>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</si>
  <si>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</si>
  <si>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</si>
  <si>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</si>
  <si>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</si>
  <si>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</si>
  <si>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</si>
  <si>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</si>
  <si>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</si>
  <si>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</si>
  <si>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</si>
  <si>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</si>
  <si>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</si>
  <si>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</si>
  <si>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</si>
  <si>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</si>
  <si>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</si>
  <si>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</si>
  <si>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</si>
  <si>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</si>
  <si>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</si>
  <si>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</si>
  <si>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</si>
  <si>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</si>
  <si>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</si>
  <si>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</si>
  <si>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</si>
  <si>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</si>
  <si>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</si>
  <si>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</si>
  <si>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</si>
  <si>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</si>
  <si>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</si>
  <si>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</si>
  <si>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</si>
  <si>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</si>
  <si>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</si>
  <si>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</si>
  <si>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</si>
  <si>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</si>
  <si>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</si>
  <si>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</si>
  <si>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</si>
  <si>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</si>
  <si>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</si>
  <si>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</si>
  <si>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</si>
  <si>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</si>
  <si>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</si>
  <si>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</si>
  <si>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</si>
  <si>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</si>
  <si>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</si>
  <si>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</si>
  <si>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</si>
  <si>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</si>
  <si>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</si>
  <si>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</si>
  <si>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</si>
  <si>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</si>
  <si>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</si>
  <si>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</si>
  <si>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</si>
  <si>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</si>
  <si>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</si>
  <si>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</si>
  <si>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</si>
  <si>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</si>
  <si>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</si>
  <si>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</si>
  <si>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</si>
  <si>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</si>
  <si>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</si>
  <si>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</si>
  <si>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</si>
  <si>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</si>
  <si>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</si>
  <si>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</si>
  <si>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</si>
  <si>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</si>
  <si>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</si>
  <si>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</si>
  <si>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</si>
  <si>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</si>
  <si>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</si>
  <si>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</si>
  <si>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</si>
  <si>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</si>
  <si>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</si>
  <si>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</si>
  <si>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</si>
  <si>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</si>
  <si>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</si>
  <si>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</si>
  <si>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</si>
  <si>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</si>
  <si>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</si>
  <si>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</si>
  <si>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</si>
  <si>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</si>
  <si>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</si>
  <si>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</si>
  <si>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</si>
  <si>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</si>
  <si>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</si>
  <si>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</si>
  <si>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</si>
  <si>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</si>
  <si>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</si>
  <si>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</si>
  <si>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</si>
  <si>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</si>
  <si>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</si>
  <si>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</si>
  <si>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</si>
  <si>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</si>
  <si>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</si>
  <si>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</si>
  <si>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</si>
  <si>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</si>
  <si>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</si>
  <si>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</si>
  <si>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</si>
  <si>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</si>
  <si>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</si>
  <si>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</si>
  <si>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</si>
  <si>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</si>
  <si>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</si>
  <si>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</si>
  <si>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</si>
  <si>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</si>
  <si>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</si>
  <si>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</si>
  <si>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</si>
  <si>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</si>
  <si>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</si>
  <si>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</si>
  <si>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</si>
  <si>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</si>
  <si>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</si>
  <si>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</si>
  <si>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</si>
  <si>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</si>
  <si>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</si>
  <si>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</si>
  <si>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</si>
  <si>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</si>
  <si>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</si>
  <si>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</si>
  <si>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</si>
  <si>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</si>
  <si>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</si>
  <si>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</si>
  <si>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</si>
  <si>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</si>
  <si>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</si>
  <si>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</si>
  <si>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</si>
  <si>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</si>
  <si>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</si>
  <si>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</si>
  <si>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</si>
  <si>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</si>
  <si>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</si>
  <si>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</si>
  <si>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</si>
  <si>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</si>
  <si>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</si>
  <si>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</si>
  <si>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</si>
  <si>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</si>
  <si>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</si>
  <si>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</si>
  <si>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</si>
  <si>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</si>
  <si>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</si>
  <si>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</si>
  <si>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</si>
  <si>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</si>
  <si>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</si>
  <si>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</si>
  <si>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</si>
  <si>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</si>
  <si>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</si>
  <si>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</si>
  <si>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</si>
  <si>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</si>
  <si>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</si>
  <si>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</si>
  <si>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</si>
  <si>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</si>
  <si>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</si>
  <si>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</si>
  <si>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</si>
  <si>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</si>
  <si>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</si>
  <si>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</si>
  <si>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</si>
  <si>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</si>
  <si>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</si>
  <si>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</si>
  <si>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</si>
  <si>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</si>
  <si>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</si>
  <si>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</si>
  <si>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</si>
  <si>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</si>
  <si>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</si>
  <si>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</si>
  <si>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</si>
  <si>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</si>
  <si>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</si>
  <si>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</si>
  <si>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</si>
  <si>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</si>
  <si>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</si>
  <si>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</si>
  <si>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</si>
  <si>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</si>
  <si>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</si>
  <si>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</si>
  <si>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</si>
  <si>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</si>
  <si>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</si>
  <si>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</si>
  <si>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</si>
  <si>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</si>
  <si>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</si>
  <si>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</si>
  <si>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</si>
  <si>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</si>
  <si>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</si>
  <si>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</si>
  <si>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</si>
  <si>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</si>
  <si>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</si>
  <si>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</si>
  <si>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</si>
  <si>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</si>
  <si>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</si>
  <si>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</si>
  <si>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</si>
  <si>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</si>
  <si>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</si>
  <si>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</si>
  <si>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</si>
  <si>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</si>
  <si>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</si>
  <si>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</si>
  <si>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</si>
  <si>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</si>
  <si>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</si>
  <si>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</si>
  <si>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</si>
  <si>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</si>
  <si>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</si>
  <si>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</si>
  <si>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</si>
  <si>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</si>
  <si>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</si>
  <si>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</si>
  <si>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</si>
  <si>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</si>
  <si>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</si>
  <si>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</si>
  <si>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</si>
  <si>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</si>
  <si>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</si>
  <si>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</si>
  <si>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</si>
  <si>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</si>
  <si>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</si>
  <si>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</si>
  <si>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</si>
  <si>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</si>
  <si>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</si>
  <si>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</si>
  <si>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</si>
  <si>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</si>
  <si>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</si>
  <si>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</si>
  <si>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</si>
  <si>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</si>
  <si>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</si>
  <si>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</si>
  <si>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</si>
  <si>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</si>
  <si>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</si>
  <si>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</si>
  <si>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</si>
  <si>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</si>
  <si>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</si>
  <si>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</si>
  <si>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</si>
  <si>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</si>
  <si>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</si>
  <si>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</si>
  <si>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</si>
  <si>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</si>
  <si>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</si>
  <si>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</si>
  <si>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</si>
  <si>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</si>
  <si>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</si>
  <si>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</si>
  <si>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</si>
  <si>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</si>
  <si>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</si>
  <si>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</si>
  <si>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</si>
  <si>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</si>
  <si>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</si>
  <si>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</si>
  <si>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</si>
  <si>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</si>
  <si>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</si>
  <si>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</si>
  <si>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</si>
  <si>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</si>
  <si>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</si>
  <si>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</si>
  <si>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</si>
  <si>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</si>
  <si>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</si>
  <si>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</si>
  <si>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</si>
  <si>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</si>
  <si>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</si>
  <si>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</si>
  <si>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</si>
  <si>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</si>
  <si>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</si>
  <si>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</si>
  <si>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</si>
  <si>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</si>
  <si>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</si>
  <si>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</si>
  <si>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</si>
  <si>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</si>
  <si>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</si>
  <si>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</si>
  <si>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</si>
  <si>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</si>
  <si>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</si>
  <si>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</si>
  <si>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</si>
  <si>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</si>
  <si>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</si>
  <si>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</si>
  <si>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</si>
  <si>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</si>
  <si>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</si>
  <si>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</si>
  <si>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</si>
  <si>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</si>
  <si>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</si>
  <si>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</si>
  <si>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</si>
  <si>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</si>
  <si>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</si>
  <si>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</si>
  <si>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</si>
  <si>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</si>
  <si>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</si>
  <si>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</si>
  <si>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</si>
  <si>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</si>
  <si>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</si>
  <si>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</si>
  <si>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</si>
  <si>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</si>
  <si>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</si>
  <si>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</si>
  <si>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</si>
  <si>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</si>
  <si>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</si>
  <si>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</si>
  <si>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</si>
  <si>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</si>
  <si>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</si>
  <si>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</si>
  <si>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</si>
  <si>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</si>
  <si>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</si>
  <si>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</si>
  <si>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</si>
  <si>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</si>
  <si>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</si>
  <si>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</si>
  <si>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</si>
  <si>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</si>
  <si>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</si>
  <si>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</si>
  <si>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</si>
  <si>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</si>
  <si>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</si>
  <si>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</si>
  <si>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</si>
  <si>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</si>
  <si>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</si>
  <si>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</si>
  <si>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</si>
  <si>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</si>
  <si>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</si>
  <si>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</si>
  <si>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</si>
  <si>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</si>
  <si>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</si>
  <si>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</si>
  <si>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</si>
  <si>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</si>
  <si>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</si>
  <si>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</si>
  <si>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</si>
  <si>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</si>
  <si>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</si>
  <si>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</si>
  <si>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</si>
  <si>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</si>
  <si>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</si>
  <si>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</si>
  <si>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</si>
  <si>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</si>
  <si>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</si>
  <si>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</si>
  <si>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</si>
  <si>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</si>
  <si>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</si>
  <si>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</si>
  <si>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</si>
  <si>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</si>
  <si>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</si>
  <si>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</si>
  <si>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</si>
  <si>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</si>
  <si>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</si>
  <si>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</si>
  <si>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</si>
  <si>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</si>
  <si>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</si>
  <si>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</si>
  <si>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</si>
  <si>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</si>
  <si>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</si>
  <si>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</si>
  <si>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</si>
  <si>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</si>
  <si>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</si>
  <si>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</si>
  <si>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</si>
  <si>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</si>
  <si>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</si>
  <si>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</si>
  <si>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</si>
  <si>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</si>
  <si>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</si>
  <si>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</si>
  <si>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</si>
  <si>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</si>
  <si>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</si>
  <si>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</si>
  <si>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</si>
  <si>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</si>
  <si>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</si>
  <si>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</si>
  <si>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</si>
  <si>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</si>
  <si>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</si>
  <si>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</si>
  <si>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</si>
  <si>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</si>
  <si>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</si>
  <si>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</si>
  <si>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</si>
  <si>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</si>
  <si>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</si>
  <si>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</si>
  <si>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</si>
  <si>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</si>
  <si>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</si>
  <si>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</si>
  <si>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</si>
  <si>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</si>
  <si>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</si>
  <si>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</si>
  <si>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</si>
  <si>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</si>
  <si>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</si>
  <si>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</si>
  <si>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</si>
  <si>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</si>
  <si>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</si>
  <si>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</si>
  <si>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</si>
  <si>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</si>
  <si>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</si>
  <si>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</si>
  <si>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</si>
  <si>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</si>
  <si>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</si>
  <si>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</si>
  <si>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</si>
  <si>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</si>
  <si>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</si>
  <si>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</si>
  <si>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</si>
  <si>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</si>
  <si>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</si>
  <si>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</si>
  <si>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</si>
  <si>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</si>
  <si>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</si>
  <si>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</si>
  <si>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</si>
  <si>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</si>
  <si>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</si>
  <si>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</si>
  <si>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</si>
  <si>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</si>
  <si>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</si>
  <si>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</si>
  <si>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</si>
  <si>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</si>
  <si>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</si>
  <si>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</si>
  <si>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</si>
  <si>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</si>
  <si>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</si>
  <si>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</si>
  <si>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</si>
  <si>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</si>
  <si>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</si>
  <si>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</si>
  <si>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</si>
  <si>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</si>
  <si>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</si>
  <si>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</si>
  <si>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</si>
  <si>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</si>
  <si>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</si>
  <si>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</si>
  <si>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</si>
  <si>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</si>
  <si>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</si>
  <si>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</si>
  <si>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</si>
  <si>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</si>
  <si>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</si>
  <si>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</si>
  <si>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</si>
  <si>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</si>
  <si>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</si>
  <si>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</si>
  <si>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</si>
  <si>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</si>
  <si>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</si>
  <si>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</si>
  <si>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</si>
  <si>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</si>
  <si>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</si>
  <si>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</si>
  <si>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</si>
  <si>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</si>
  <si>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</si>
  <si>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</si>
  <si>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</si>
  <si>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</si>
  <si>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</si>
  <si>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</si>
  <si>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</si>
  <si>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</si>
  <si>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</si>
  <si>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</si>
  <si>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</si>
  <si>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</si>
  <si>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</si>
  <si>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</si>
  <si>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</si>
  <si>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</si>
  <si>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</si>
  <si>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</si>
  <si>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</si>
  <si>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</si>
  <si>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</si>
  <si>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</si>
  <si>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</si>
  <si>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</si>
  <si>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</si>
  <si>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</si>
  <si>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</si>
  <si>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</si>
  <si>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</si>
  <si>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</si>
  <si>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</si>
  <si>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</si>
  <si>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</si>
  <si>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</si>
  <si>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</si>
  <si>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</si>
  <si>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</si>
  <si>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</si>
  <si>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</si>
  <si>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</si>
  <si>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</si>
  <si>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</si>
  <si>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</si>
  <si>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</si>
  <si>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</si>
  <si>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</si>
  <si>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</si>
  <si>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</si>
  <si>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</si>
  <si>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</si>
  <si>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</si>
  <si>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</si>
  <si>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</si>
  <si>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</si>
  <si>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</si>
  <si>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</si>
  <si>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</si>
  <si>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</si>
  <si>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</si>
  <si>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</si>
  <si>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</si>
  <si>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</si>
  <si>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</si>
  <si>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</si>
  <si>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</si>
  <si>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</si>
  <si>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</si>
  <si>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</si>
  <si>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</si>
  <si>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</si>
  <si>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</si>
  <si>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</si>
  <si>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</si>
  <si>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</si>
  <si>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</si>
  <si>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</si>
  <si>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</si>
  <si>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</si>
  <si>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</si>
  <si>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</si>
  <si>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</si>
  <si>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</si>
  <si>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</si>
  <si>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</si>
  <si>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</si>
  <si>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</si>
  <si>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</si>
  <si>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</si>
  <si>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</si>
  <si>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</si>
  <si>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</si>
  <si>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</si>
  <si>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</si>
  <si>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</si>
  <si>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</si>
  <si>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</si>
  <si>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</si>
  <si>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</si>
  <si>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</si>
  <si>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</si>
  <si>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</si>
  <si>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</si>
  <si>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</si>
  <si>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</si>
  <si>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</si>
  <si>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</si>
  <si>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</si>
  <si>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</si>
  <si>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</si>
  <si>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</si>
  <si>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</si>
  <si>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</si>
  <si>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</si>
  <si>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</si>
  <si>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</si>
  <si>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</si>
  <si>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</si>
  <si>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</si>
  <si>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</si>
  <si>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</si>
  <si>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</si>
  <si>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</si>
  <si>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</si>
  <si>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</si>
  <si>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</si>
  <si>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</si>
  <si>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</si>
  <si>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</si>
  <si>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</si>
  <si>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</si>
  <si>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</si>
  <si>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</si>
  <si>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</si>
  <si>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</si>
  <si>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</si>
  <si>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</si>
  <si>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</si>
  <si>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</si>
  <si>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</si>
  <si>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</si>
  <si>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</si>
  <si>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</si>
  <si>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</si>
  <si>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</si>
  <si>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</si>
  <si>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</si>
  <si>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</si>
  <si>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</si>
  <si>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</si>
  <si>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</si>
  <si>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</si>
  <si>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</si>
  <si>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</si>
  <si>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</si>
  <si>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</si>
  <si>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</si>
  <si>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</si>
  <si>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</si>
  <si>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</si>
  <si>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</si>
  <si>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</si>
  <si>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</si>
  <si>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</si>
  <si>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</si>
  <si>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</si>
  <si>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</si>
  <si>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</si>
  <si>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</si>
  <si>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</si>
  <si>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</si>
  <si>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</si>
  <si>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</si>
  <si>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</si>
  <si>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</si>
  <si>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</si>
  <si>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</si>
  <si>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</si>
  <si>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</si>
  <si>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</si>
  <si>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</si>
  <si>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</si>
  <si>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</si>
  <si>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</si>
  <si>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</si>
  <si>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</si>
  <si>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</si>
  <si>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</si>
  <si>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</si>
  <si>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</si>
  <si>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</si>
  <si>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</si>
  <si>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</si>
  <si>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</si>
  <si>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</si>
  <si>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</si>
  <si>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</si>
  <si>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</si>
  <si>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</si>
  <si>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</si>
  <si>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</si>
  <si>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</si>
  <si>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</si>
  <si>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</si>
  <si>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</si>
  <si>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</si>
  <si>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</si>
  <si>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</si>
  <si>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</si>
  <si>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</si>
  <si>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</si>
  <si>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</si>
  <si>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</si>
  <si>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</si>
  <si>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</si>
  <si>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</si>
  <si>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</si>
  <si>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</si>
  <si>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</si>
  <si>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</si>
  <si>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</si>
  <si>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</si>
  <si>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</si>
  <si>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</si>
  <si>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</si>
  <si>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</si>
  <si>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</si>
  <si>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</si>
  <si>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</si>
  <si>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</si>
  <si>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</si>
  <si>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</si>
  <si>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</si>
  <si>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</si>
  <si>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</si>
  <si>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</si>
  <si>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</si>
  <si>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</si>
  <si>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</si>
  <si>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</si>
  <si>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</si>
  <si>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</si>
  <si>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</si>
  <si>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</si>
  <si>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</si>
  <si>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</si>
  <si>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</si>
  <si>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</si>
  <si>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</si>
  <si>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</si>
  <si>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</si>
  <si>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</si>
  <si>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</si>
  <si>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</si>
  <si>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</si>
  <si>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</si>
  <si>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</si>
  <si>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</si>
  <si>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</si>
  <si>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</si>
  <si>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</si>
  <si>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</si>
  <si>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</si>
  <si>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</si>
  <si>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</si>
  <si>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</si>
  <si>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</si>
  <si>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</si>
  <si>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</si>
  <si>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</si>
  <si>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</si>
  <si>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</si>
  <si>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</si>
  <si>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</si>
  <si>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</si>
  <si>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</si>
  <si>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</si>
  <si>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</si>
  <si>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</si>
  <si>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</si>
  <si>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</si>
  <si>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</si>
  <si>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</si>
  <si>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</si>
  <si>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</si>
  <si>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</si>
  <si>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</si>
  <si>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</si>
  <si>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</si>
  <si>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</si>
  <si>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</si>
  <si>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</si>
  <si>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</si>
  <si>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</si>
  <si>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</si>
  <si>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</si>
  <si>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</si>
  <si>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</si>
  <si>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</si>
  <si>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</si>
  <si>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</si>
  <si>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</si>
  <si>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</si>
  <si>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</si>
  <si>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</si>
  <si>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</si>
  <si>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</si>
  <si>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</si>
  <si>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</si>
  <si>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</si>
  <si>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</si>
  <si>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</si>
  <si>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</si>
  <si>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</si>
  <si>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</si>
  <si>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</si>
  <si>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</si>
  <si>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</si>
  <si>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</si>
  <si>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</si>
  <si>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</si>
  <si>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</si>
  <si>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</si>
  <si>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</si>
  <si>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</si>
  <si>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</si>
  <si>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</si>
  <si>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</si>
  <si>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</si>
  <si>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</si>
  <si>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</si>
  <si>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</si>
  <si>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</si>
  <si>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</si>
  <si>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</si>
  <si>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</si>
  <si>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</si>
  <si>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</si>
  <si>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</si>
  <si>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</si>
  <si>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</si>
  <si>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</si>
  <si>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</si>
  <si>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</si>
  <si>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</si>
  <si>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</si>
  <si>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</si>
  <si>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</si>
  <si>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</si>
  <si>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</si>
  <si>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</si>
  <si>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</si>
  <si>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</si>
  <si>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</si>
  <si>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</si>
  <si>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</si>
  <si>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</si>
  <si>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</si>
  <si>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</si>
  <si>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</si>
  <si>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</si>
  <si>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</si>
  <si>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</si>
  <si>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</si>
  <si>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</si>
  <si>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</si>
  <si>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</si>
  <si>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</si>
  <si>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</si>
  <si>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</si>
  <si>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</si>
  <si>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</si>
  <si>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</si>
  <si>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</si>
  <si>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</si>
  <si>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</si>
  <si>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</si>
  <si>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</si>
  <si>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</si>
  <si>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</si>
  <si>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</si>
  <si>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</si>
  <si>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</si>
  <si>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</si>
  <si>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</si>
  <si>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</si>
  <si>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</si>
  <si>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</si>
  <si>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</si>
  <si>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</si>
  <si>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</si>
  <si>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</si>
  <si>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</si>
  <si>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</si>
  <si>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</si>
  <si>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</si>
  <si>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</si>
  <si>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</si>
  <si>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</si>
  <si>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</si>
  <si>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</si>
  <si>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</si>
  <si>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</si>
  <si>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</si>
  <si>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</si>
  <si>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</si>
  <si>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</si>
  <si>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</si>
  <si>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</si>
  <si>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</si>
  <si>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</si>
  <si>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</si>
  <si>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</si>
  <si>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</si>
  <si>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</si>
  <si>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</si>
  <si>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</si>
  <si>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</si>
  <si>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</si>
  <si>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</si>
  <si>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</si>
  <si>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</si>
  <si>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</si>
  <si>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</si>
  <si>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</si>
  <si>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</si>
  <si>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</si>
  <si>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</si>
  <si>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</si>
  <si>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</si>
  <si>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</si>
  <si>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</si>
  <si>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</si>
  <si>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</si>
  <si>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</si>
  <si>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</si>
  <si>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</si>
  <si>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</si>
  <si>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</si>
  <si>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</si>
  <si>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</si>
  <si>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</si>
  <si>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</si>
  <si>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</si>
  <si>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</si>
  <si>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</si>
  <si>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</si>
  <si>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</si>
  <si>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</si>
  <si>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</si>
  <si>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</si>
  <si>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</si>
  <si>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</si>
  <si>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</si>
  <si>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</si>
  <si>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</si>
  <si>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</si>
  <si>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</si>
  <si>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</si>
  <si>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</si>
  <si>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</si>
  <si>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</si>
  <si>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</si>
  <si>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</si>
  <si>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</si>
  <si>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</si>
  <si>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</si>
  <si>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</si>
  <si>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</si>
  <si>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</si>
  <si>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</si>
  <si>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</si>
  <si>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</si>
  <si>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</si>
  <si>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</si>
  <si>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</si>
  <si>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</si>
  <si>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</si>
  <si>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</si>
  <si>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</si>
  <si>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</si>
  <si>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</si>
  <si>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</si>
  <si>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</si>
  <si>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</si>
  <si>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</si>
  <si>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</si>
  <si>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</si>
  <si>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</si>
  <si>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</si>
  <si>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</si>
  <si>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</si>
  <si>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</si>
  <si>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</si>
  <si>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</si>
  <si>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</si>
  <si>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</si>
  <si>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</si>
  <si>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</si>
  <si>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</si>
  <si>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</si>
  <si>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</si>
  <si>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</si>
  <si>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</si>
  <si>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</si>
  <si>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</si>
  <si>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</si>
  <si>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</si>
  <si>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</si>
  <si>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</si>
  <si>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</si>
  <si>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</si>
  <si>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</si>
  <si>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</si>
  <si>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</si>
  <si>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</si>
  <si>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</si>
  <si>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</si>
  <si>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</si>
  <si>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</si>
  <si>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</si>
  <si>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</si>
  <si>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</si>
  <si>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</si>
  <si>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</si>
  <si>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</si>
  <si>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</si>
  <si>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</si>
  <si>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</si>
  <si>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</si>
  <si>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</si>
  <si>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</si>
  <si>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</si>
  <si>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</si>
  <si>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</si>
  <si>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</si>
  <si>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</si>
  <si>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</si>
  <si>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</si>
  <si>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</si>
  <si>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</si>
  <si>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</si>
  <si>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</si>
  <si>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</si>
  <si>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</si>
  <si>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</si>
  <si>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</si>
  <si>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</si>
  <si>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</si>
  <si>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</si>
  <si>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</si>
  <si>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</si>
  <si>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</si>
  <si>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</si>
  <si>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</si>
  <si>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</si>
  <si>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</si>
  <si>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</si>
  <si>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</si>
  <si>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</si>
  <si>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</si>
  <si>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</si>
  <si>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</si>
  <si>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</si>
  <si>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</si>
  <si>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</si>
  <si>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</si>
  <si>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</si>
  <si>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</si>
  <si>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</si>
  <si>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</si>
  <si>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</si>
  <si>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</si>
  <si>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</si>
  <si>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</si>
  <si>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</si>
  <si>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</si>
  <si>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</si>
  <si>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</si>
  <si>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</si>
  <si>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</si>
  <si>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</si>
  <si>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</si>
  <si>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</si>
  <si>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</si>
  <si>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</si>
  <si>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</si>
  <si>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</si>
  <si>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</si>
  <si>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</si>
  <si>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</si>
  <si>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</si>
  <si>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</si>
  <si>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</si>
  <si>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</si>
  <si>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</si>
  <si>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</si>
  <si>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</si>
  <si>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</si>
  <si>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</si>
  <si>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</si>
  <si>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</si>
  <si>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</si>
  <si>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</si>
  <si>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</si>
  <si>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</si>
  <si>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</si>
  <si>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</si>
  <si>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</si>
  <si>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</si>
  <si>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</si>
  <si>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</si>
  <si>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</si>
  <si>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</si>
  <si>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</si>
  <si>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</si>
  <si>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</si>
  <si>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</si>
  <si>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</si>
  <si>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</si>
  <si>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</si>
  <si>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</si>
  <si>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</si>
  <si>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</si>
  <si>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</si>
  <si>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</si>
  <si>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</si>
  <si>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</si>
  <si>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</si>
  <si>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</si>
  <si>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</si>
  <si>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</si>
  <si>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</si>
  <si>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</si>
  <si>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</si>
  <si>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</si>
  <si>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</si>
  <si>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</si>
  <si>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</si>
  <si>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</si>
  <si>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</si>
  <si>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</si>
  <si>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</si>
  <si>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</si>
  <si>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</si>
  <si>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</si>
  <si>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</si>
  <si>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</si>
  <si>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</si>
  <si>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</si>
  <si>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</si>
  <si>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</si>
  <si>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</si>
  <si>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</si>
  <si>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</si>
  <si>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</si>
  <si>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</si>
  <si>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</si>
  <si>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</si>
  <si>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</si>
  <si>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</si>
  <si>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</si>
  <si>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</si>
  <si>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</si>
  <si>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</si>
  <si>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</si>
  <si>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</si>
  <si>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</si>
  <si>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</si>
  <si>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</si>
  <si>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</si>
  <si>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</si>
  <si>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</si>
  <si>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</si>
  <si>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</si>
  <si>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</si>
  <si>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</si>
  <si>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</si>
  <si>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</si>
  <si>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</si>
  <si>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</si>
  <si>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</si>
  <si>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</si>
  <si>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</si>
  <si>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</si>
  <si>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</si>
  <si>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</si>
  <si>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</si>
  <si>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</si>
  <si>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</si>
  <si>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</si>
  <si>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</si>
  <si>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</si>
  <si>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</si>
  <si>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</si>
  <si>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</si>
  <si>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</si>
  <si>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</si>
  <si>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</si>
  <si>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</si>
  <si>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</si>
  <si>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</si>
  <si>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</si>
  <si>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</si>
  <si>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</si>
  <si>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</si>
  <si>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</si>
  <si>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</si>
  <si>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</si>
  <si>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</si>
  <si>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</si>
  <si>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</si>
  <si>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</si>
  <si>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</si>
  <si>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</si>
  <si>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</si>
  <si>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</si>
  <si>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</si>
  <si>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</si>
  <si>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</si>
  <si>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</si>
  <si>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</si>
  <si>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</si>
  <si>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</si>
  <si>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</si>
  <si>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</si>
  <si>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</si>
  <si>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</si>
  <si>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</si>
  <si>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</si>
  <si>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</si>
  <si>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</si>
  <si>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</si>
  <si>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</si>
  <si>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</si>
  <si>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</si>
  <si>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</si>
  <si>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</si>
  <si>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</si>
  <si>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</si>
  <si>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</si>
  <si>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</si>
  <si>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</si>
  <si>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</si>
  <si>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</si>
  <si>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</si>
  <si>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</si>
  <si>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</si>
  <si>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</si>
  <si>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</si>
  <si>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</si>
  <si>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</si>
  <si>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</si>
  <si>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</si>
  <si>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</si>
  <si>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</si>
  <si>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</si>
  <si>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</si>
  <si>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</si>
  <si>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</si>
  <si>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</si>
  <si>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</si>
  <si>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</si>
  <si>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</si>
  <si>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</si>
  <si>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</si>
  <si>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</si>
  <si>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</si>
  <si>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</si>
  <si>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</si>
  <si>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</si>
  <si>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</si>
  <si>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</si>
  <si>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</si>
  <si>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</si>
  <si>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</si>
  <si>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</si>
  <si>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</si>
  <si>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</si>
  <si>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</si>
  <si>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</si>
  <si>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</si>
  <si>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</si>
  <si>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</si>
  <si>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</si>
  <si>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</si>
  <si>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</si>
  <si>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</si>
  <si>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</si>
  <si>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</si>
  <si>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</si>
  <si>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</si>
  <si>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</si>
  <si>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</si>
  <si>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</si>
  <si>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</si>
  <si>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</si>
  <si>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</si>
  <si>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</si>
  <si>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</si>
  <si>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</si>
  <si>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</si>
  <si>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</si>
  <si>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</si>
  <si>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</si>
  <si>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</si>
  <si>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</si>
  <si>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</si>
  <si>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</si>
  <si>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</si>
  <si>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</si>
  <si>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</si>
  <si>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</si>
  <si>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</si>
  <si>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</si>
  <si>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</si>
  <si>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</si>
  <si>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</si>
  <si>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</si>
  <si>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</si>
  <si>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</si>
  <si>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</si>
  <si>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</si>
  <si>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</si>
  <si>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</si>
  <si>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</si>
  <si>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</si>
  <si>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</si>
  <si>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</si>
  <si>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</si>
  <si>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</si>
  <si>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</si>
  <si>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</si>
  <si>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</si>
  <si>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</si>
  <si>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</si>
  <si>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</si>
  <si>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</si>
  <si>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</si>
  <si>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</si>
  <si>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</si>
  <si>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</si>
  <si>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</si>
  <si>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</si>
  <si>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</si>
  <si>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</si>
  <si>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</si>
  <si>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</si>
  <si>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</si>
  <si>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</si>
  <si>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</si>
  <si>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</si>
  <si>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</si>
  <si>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</si>
  <si>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</si>
  <si>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</si>
  <si>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</si>
  <si>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</si>
  <si>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</si>
  <si>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</si>
  <si>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</si>
  <si>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</si>
  <si>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</si>
  <si>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</si>
  <si>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</si>
  <si>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</si>
  <si>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</si>
  <si>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</si>
  <si>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</si>
  <si>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</si>
  <si>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</si>
  <si>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</si>
  <si>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</si>
  <si>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</si>
  <si>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</si>
  <si>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</si>
  <si>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</si>
  <si>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</si>
  <si>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</si>
  <si>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</si>
  <si>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</si>
  <si>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</si>
  <si>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</si>
  <si>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</si>
  <si>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</si>
  <si>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</si>
  <si>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</si>
  <si>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</si>
  <si>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</si>
  <si>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</si>
  <si>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</si>
  <si>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</si>
  <si>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</si>
  <si>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</si>
  <si>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</si>
  <si>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</si>
  <si>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</si>
  <si>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</si>
  <si>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</si>
  <si>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</si>
  <si>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</si>
  <si>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</si>
  <si>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</si>
  <si>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</si>
  <si>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</si>
  <si>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</si>
  <si>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</si>
  <si>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</si>
  <si>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</si>
  <si>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</si>
  <si>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</si>
  <si>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</si>
  <si>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</si>
  <si>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</si>
  <si>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</si>
  <si>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</si>
  <si>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</si>
  <si>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</si>
  <si>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</si>
  <si>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</si>
  <si>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</si>
  <si>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</si>
  <si>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</si>
  <si>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</si>
  <si>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</si>
  <si>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</si>
  <si>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</si>
  <si>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</si>
  <si>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</si>
  <si>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</si>
  <si>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</si>
  <si>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</si>
  <si>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</si>
  <si>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</si>
  <si>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</si>
  <si>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</si>
  <si>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</si>
  <si>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</si>
  <si>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</si>
  <si>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</si>
  <si>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</si>
  <si>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</si>
  <si>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</si>
  <si>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</si>
  <si>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</si>
  <si>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</si>
  <si>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</si>
  <si>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</si>
  <si>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</si>
  <si>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</si>
  <si>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</si>
  <si>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</si>
  <si>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</si>
  <si>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</si>
  <si>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</si>
  <si>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</si>
  <si>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</si>
  <si>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</si>
  <si>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</si>
  <si>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</si>
  <si>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</si>
  <si>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</si>
  <si>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</si>
  <si>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</si>
  <si>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</si>
  <si>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</si>
  <si>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</si>
  <si>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</si>
  <si>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</si>
  <si>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</si>
  <si>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</si>
  <si>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</si>
  <si>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</si>
  <si>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</si>
  <si>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</si>
  <si>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</si>
  <si>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</si>
  <si>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</si>
  <si>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</si>
  <si>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</si>
  <si>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</si>
  <si>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</si>
  <si>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</si>
  <si>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</si>
  <si>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</si>
  <si>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</si>
  <si>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</si>
  <si>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</si>
  <si>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</si>
  <si>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</si>
  <si>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</si>
  <si>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</si>
  <si>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</si>
  <si>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</si>
  <si>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</si>
  <si>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</si>
  <si>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</si>
  <si>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</si>
  <si>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</si>
  <si>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</si>
  <si>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</si>
  <si>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</si>
  <si>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</si>
  <si>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</si>
  <si>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</si>
  <si>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</si>
  <si>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</si>
  <si>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</si>
  <si>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</si>
  <si>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</si>
  <si>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</si>
  <si>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</si>
  <si>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</si>
  <si>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</si>
  <si>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</si>
  <si>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</si>
  <si>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</si>
  <si>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</si>
  <si>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</si>
  <si>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</si>
  <si>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</si>
  <si>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</si>
  <si>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</si>
  <si>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</si>
  <si>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</si>
  <si>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</si>
  <si>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</si>
  <si>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</si>
  <si>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</si>
  <si>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</si>
  <si>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</si>
  <si>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</si>
  <si>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</si>
  <si>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</si>
  <si>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</si>
  <si>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</si>
  <si>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</si>
  <si>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</si>
  <si>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</si>
  <si>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</si>
  <si>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</si>
  <si>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</si>
  <si>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</si>
  <si>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SWHC027-09</t>
  </si>
  <si>
    <t>PTAC PTHP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</si>
</sst>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5">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48994"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7" t="s">
        <v>15</v>
      </c>
    </row>
    <row r="39" spans="1:1" x14ac:dyDescent="0.35">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1083"/>
  <sheetViews>
    <sheetView tabSelected="1" zoomScale="60" zoomScaleNormal="60" workbookViewId="0">
      <pane ySplit="5" topLeftCell="A919" activePane="bottomLeft" state="frozen"/>
      <selection pane="bottomLeft" activeCell="F970" sqref="F970:F987"/>
    </sheetView>
  </sheetViews>
  <sheetFormatPr defaultRowHeight="14.5" outlineLevelCol="1" x14ac:dyDescent="0.35"/>
  <cols>
    <col min="1" max="3" width="24.453125" customWidth="1"/>
    <col min="4" max="4" width="33.81640625" customWidth="1"/>
    <col min="5" max="5" width="41.54296875" customWidth="1"/>
    <col min="6" max="6" width="41.453125" customWidth="1"/>
    <col min="7" max="7" width="49.453125" bestFit="1" customWidth="1"/>
    <col min="8" max="8" width="34.54296875" bestFit="1" customWidth="1"/>
    <col min="9" max="9" width="34" bestFit="1" customWidth="1"/>
    <col min="10" max="10" width="39.453125" bestFit="1" customWidth="1"/>
    <col min="11" max="11" width="34.54296875" customWidth="1" outlineLevel="1"/>
    <col min="12" max="12" width="29.453125" customWidth="1" outlineLevel="1"/>
    <col min="13" max="13" width="37.453125" customWidth="1" outlineLevel="1"/>
    <col min="14" max="14" width="71.1796875" customWidth="1"/>
    <col min="15" max="15" width="11.1796875" bestFit="1" customWidth="1"/>
    <col min="16" max="17" width="11.54296875" bestFit="1" customWidth="1"/>
    <col min="18" max="18" width="10.54296875" bestFit="1" customWidth="1"/>
    <col min="19" max="19" width="19.54296875" customWidth="1"/>
    <col min="20" max="20" width="31.54296875" customWidth="1"/>
    <col min="21" max="21" width="28.54296875" bestFit="1" customWidth="1"/>
    <col min="22" max="22" width="16" bestFit="1" customWidth="1"/>
    <col min="23" max="23" width="14.54296875" bestFit="1" customWidth="1"/>
    <col min="24" max="24" width="17.54296875" bestFit="1" customWidth="1"/>
    <col min="25" max="25" width="16.54296875" bestFit="1" customWidth="1"/>
    <col min="26" max="26" width="22.1796875" customWidth="1"/>
    <col min="27" max="27" width="11" customWidth="1"/>
    <col min="28" max="28" width="31.81640625" customWidth="1"/>
    <col min="29" max="29" width="11.54296875" customWidth="1"/>
    <col min="30" max="30" width="20.81640625" customWidth="1"/>
    <col min="33" max="33" width="8.81640625" customWidth="1"/>
  </cols>
  <sheetData>
    <row r="2" spans="1:33" x14ac:dyDescent="0.35">
      <c r="AF2" s="36"/>
    </row>
    <row r="3" spans="1:33" x14ac:dyDescent="0.35">
      <c r="A3" t="s">
        <v>17</v>
      </c>
    </row>
    <row r="4" spans="1:33" ht="15" thickBot="1" x14ac:dyDescent="0.4">
      <c r="H4" s="52" t="s">
        <v>18</v>
      </c>
      <c r="I4" s="52"/>
      <c r="J4" s="52"/>
      <c r="K4" s="52" t="s">
        <v>19</v>
      </c>
      <c r="L4" s="52"/>
      <c r="M4" s="52"/>
      <c r="N4" s="1" t="s">
        <v>20</v>
      </c>
    </row>
    <row r="5" spans="1:33" ht="29.5" thickBot="1" x14ac:dyDescent="0.4">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35">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35">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35">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35">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35">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35">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35">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35">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35">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35">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35">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35">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35">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35">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35">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35">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35">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35">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35">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35">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35">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35">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35">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35">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35">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35">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35">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35">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35">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35">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35">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35">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35">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35">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35">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35">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35">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35">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35">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35">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35">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hidden="1" x14ac:dyDescent="0.35">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hidden="1" x14ac:dyDescent="0.35">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35">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35">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35">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35">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hidden="1" x14ac:dyDescent="0.35">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35">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35">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35">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35">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35">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35">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35">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35">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35">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35">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35">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35">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35">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35">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35">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35">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35">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35">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35">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35">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35">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35">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35">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35">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35">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35">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35">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35">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35">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35">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35">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35">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35">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35">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35">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35">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35">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35">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35">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35">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35">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35">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35">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35">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35">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35">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35">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35">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35">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35">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35">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35">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35">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35">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35">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35">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35">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35">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35">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35">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35">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35">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35">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35">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35">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35">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35">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35">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35">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35">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35">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35">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35">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35">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35">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35">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35">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35">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35">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35">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35">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35">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35">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35">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35">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35">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35">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35">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35">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35">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35">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35">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35">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35">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35">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hidden="1" x14ac:dyDescent="0.35">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hidden="1" x14ac:dyDescent="0.35">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hidden="1" x14ac:dyDescent="0.35">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hidden="1" x14ac:dyDescent="0.35">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hidden="1" x14ac:dyDescent="0.35">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hidden="1" x14ac:dyDescent="0.35">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hidden="1" x14ac:dyDescent="0.35">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hidden="1" x14ac:dyDescent="0.35">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hidden="1" x14ac:dyDescent="0.35">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hidden="1" x14ac:dyDescent="0.35">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hidden="1" x14ac:dyDescent="0.35">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hidden="1" x14ac:dyDescent="0.35">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hidden="1" x14ac:dyDescent="0.35">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hidden="1" x14ac:dyDescent="0.35">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hidden="1" x14ac:dyDescent="0.35">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hidden="1" x14ac:dyDescent="0.35">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hidden="1" x14ac:dyDescent="0.35">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hidden="1" x14ac:dyDescent="0.35">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hidden="1" x14ac:dyDescent="0.35">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hidden="1" x14ac:dyDescent="0.35">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hidden="1" x14ac:dyDescent="0.35">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hidden="1" x14ac:dyDescent="0.35">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hidden="1" x14ac:dyDescent="0.35">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hidden="1" x14ac:dyDescent="0.35">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hidden="1" x14ac:dyDescent="0.35">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hidden="1" x14ac:dyDescent="0.35">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hidden="1" x14ac:dyDescent="0.35">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hidden="1" x14ac:dyDescent="0.35">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hidden="1" x14ac:dyDescent="0.35">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hidden="1" x14ac:dyDescent="0.35">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hidden="1" x14ac:dyDescent="0.35">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hidden="1" x14ac:dyDescent="0.35">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hidden="1" x14ac:dyDescent="0.35">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hidden="1" x14ac:dyDescent="0.35">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hidden="1" x14ac:dyDescent="0.35">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hidden="1" x14ac:dyDescent="0.35">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hidden="1" x14ac:dyDescent="0.35">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hidden="1" x14ac:dyDescent="0.35">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hidden="1" x14ac:dyDescent="0.35">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hidden="1" x14ac:dyDescent="0.35">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hidden="1" x14ac:dyDescent="0.35">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hidden="1" x14ac:dyDescent="0.35">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hidden="1" x14ac:dyDescent="0.35">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hidden="1" x14ac:dyDescent="0.35">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hidden="1" x14ac:dyDescent="0.35">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hidden="1" x14ac:dyDescent="0.35">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hidden="1" x14ac:dyDescent="0.35">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hidden="1" x14ac:dyDescent="0.35">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hidden="1" x14ac:dyDescent="0.35">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hidden="1" x14ac:dyDescent="0.35">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hidden="1" x14ac:dyDescent="0.35">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hidden="1" x14ac:dyDescent="0.35">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hidden="1" x14ac:dyDescent="0.35">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hidden="1" x14ac:dyDescent="0.35">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hidden="1" x14ac:dyDescent="0.35">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hidden="1" x14ac:dyDescent="0.35">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hidden="1" x14ac:dyDescent="0.35">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hidden="1" x14ac:dyDescent="0.35">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hidden="1" x14ac:dyDescent="0.35">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hidden="1" x14ac:dyDescent="0.35">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hidden="1" x14ac:dyDescent="0.35">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hidden="1" x14ac:dyDescent="0.35">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hidden="1" x14ac:dyDescent="0.35">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hidden="1" x14ac:dyDescent="0.35">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hidden="1" x14ac:dyDescent="0.35">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hidden="1" x14ac:dyDescent="0.35">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hidden="1" x14ac:dyDescent="0.35">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hidden="1" x14ac:dyDescent="0.35">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hidden="1" x14ac:dyDescent="0.35">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hidden="1" x14ac:dyDescent="0.35">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hidden="1" x14ac:dyDescent="0.35">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hidden="1" x14ac:dyDescent="0.35">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hidden="1" x14ac:dyDescent="0.35">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hidden="1" x14ac:dyDescent="0.35">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hidden="1" x14ac:dyDescent="0.35">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hidden="1" x14ac:dyDescent="0.35">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hidden="1" x14ac:dyDescent="0.35">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hidden="1" x14ac:dyDescent="0.35">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hidden="1" x14ac:dyDescent="0.35">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hidden="1" x14ac:dyDescent="0.35">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hidden="1" x14ac:dyDescent="0.35">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hidden="1" x14ac:dyDescent="0.35">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hidden="1" x14ac:dyDescent="0.35">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hidden="1" x14ac:dyDescent="0.35">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hidden="1" x14ac:dyDescent="0.35">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hidden="1" x14ac:dyDescent="0.35">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hidden="1" x14ac:dyDescent="0.35">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hidden="1" x14ac:dyDescent="0.35">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hidden="1" x14ac:dyDescent="0.35">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hidden="1" x14ac:dyDescent="0.35">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hidden="1" x14ac:dyDescent="0.35">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hidden="1" x14ac:dyDescent="0.35">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hidden="1" x14ac:dyDescent="0.35">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hidden="1" x14ac:dyDescent="0.35">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hidden="1" x14ac:dyDescent="0.35">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hidden="1" x14ac:dyDescent="0.35">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hidden="1" x14ac:dyDescent="0.35">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hidden="1" x14ac:dyDescent="0.35">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hidden="1" x14ac:dyDescent="0.35">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hidden="1" x14ac:dyDescent="0.35">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hidden="1" x14ac:dyDescent="0.35">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hidden="1" x14ac:dyDescent="0.35">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hidden="1" x14ac:dyDescent="0.35">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hidden="1" x14ac:dyDescent="0.35">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hidden="1" x14ac:dyDescent="0.35">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hidden="1" x14ac:dyDescent="0.35">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hidden="1" x14ac:dyDescent="0.35">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hidden="1" x14ac:dyDescent="0.35">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hidden="1" x14ac:dyDescent="0.35">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hidden="1" x14ac:dyDescent="0.35">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hidden="1" x14ac:dyDescent="0.35">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hidden="1" x14ac:dyDescent="0.35">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hidden="1" x14ac:dyDescent="0.35">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hidden="1" x14ac:dyDescent="0.35">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hidden="1" x14ac:dyDescent="0.35">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hidden="1" x14ac:dyDescent="0.35">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hidden="1" x14ac:dyDescent="0.35">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hidden="1" x14ac:dyDescent="0.35">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hidden="1" x14ac:dyDescent="0.35">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hidden="1" x14ac:dyDescent="0.35">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hidden="1" x14ac:dyDescent="0.35">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hidden="1" x14ac:dyDescent="0.35">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hidden="1" x14ac:dyDescent="0.35">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hidden="1" x14ac:dyDescent="0.35">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hidden="1" x14ac:dyDescent="0.35">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hidden="1" x14ac:dyDescent="0.35">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hidden="1" x14ac:dyDescent="0.35">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hidden="1" x14ac:dyDescent="0.35">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hidden="1" x14ac:dyDescent="0.35">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hidden="1" x14ac:dyDescent="0.35">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hidden="1" x14ac:dyDescent="0.35">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hidden="1" x14ac:dyDescent="0.35">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hidden="1" x14ac:dyDescent="0.35">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hidden="1" x14ac:dyDescent="0.35">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hidden="1" x14ac:dyDescent="0.35">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hidden="1" x14ac:dyDescent="0.35">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hidden="1" x14ac:dyDescent="0.35">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hidden="1" x14ac:dyDescent="0.35">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hidden="1" x14ac:dyDescent="0.35">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hidden="1" x14ac:dyDescent="0.35">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hidden="1" x14ac:dyDescent="0.35">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hidden="1" x14ac:dyDescent="0.35">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hidden="1" x14ac:dyDescent="0.35">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hidden="1" x14ac:dyDescent="0.35">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hidden="1" x14ac:dyDescent="0.35">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hidden="1" x14ac:dyDescent="0.35">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hidden="1" x14ac:dyDescent="0.35">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hidden="1" x14ac:dyDescent="0.35">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hidden="1" x14ac:dyDescent="0.35">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hidden="1" x14ac:dyDescent="0.35">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hidden="1" x14ac:dyDescent="0.35">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hidden="1" x14ac:dyDescent="0.35">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hidden="1" x14ac:dyDescent="0.35">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hidden="1" x14ac:dyDescent="0.35">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hidden="1" x14ac:dyDescent="0.35">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hidden="1" x14ac:dyDescent="0.35">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hidden="1" x14ac:dyDescent="0.35">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hidden="1" x14ac:dyDescent="0.35">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hidden="1" x14ac:dyDescent="0.35">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hidden="1" x14ac:dyDescent="0.35">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hidden="1" x14ac:dyDescent="0.35">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hidden="1" x14ac:dyDescent="0.35">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hidden="1" x14ac:dyDescent="0.35">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hidden="1" x14ac:dyDescent="0.35">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hidden="1" x14ac:dyDescent="0.35">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hidden="1" x14ac:dyDescent="0.35">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hidden="1" x14ac:dyDescent="0.35">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hidden="1" x14ac:dyDescent="0.35">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hidden="1" x14ac:dyDescent="0.35">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hidden="1" x14ac:dyDescent="0.35">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hidden="1" x14ac:dyDescent="0.35">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hidden="1" x14ac:dyDescent="0.35">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hidden="1" x14ac:dyDescent="0.35">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hidden="1" x14ac:dyDescent="0.35">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hidden="1" x14ac:dyDescent="0.35">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hidden="1" x14ac:dyDescent="0.35">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hidden="1" x14ac:dyDescent="0.35">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hidden="1" x14ac:dyDescent="0.35">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hidden="1" x14ac:dyDescent="0.35">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hidden="1" x14ac:dyDescent="0.35">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hidden="1" x14ac:dyDescent="0.35">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hidden="1" x14ac:dyDescent="0.35">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hidden="1" x14ac:dyDescent="0.35">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hidden="1" x14ac:dyDescent="0.35">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hidden="1" x14ac:dyDescent="0.35">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hidden="1" x14ac:dyDescent="0.35">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hidden="1" x14ac:dyDescent="0.35">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hidden="1" x14ac:dyDescent="0.35">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hidden="1" x14ac:dyDescent="0.35">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hidden="1" x14ac:dyDescent="0.35">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hidden="1" x14ac:dyDescent="0.35">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hidden="1" x14ac:dyDescent="0.35">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hidden="1" x14ac:dyDescent="0.35">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hidden="1" x14ac:dyDescent="0.35">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hidden="1" x14ac:dyDescent="0.35">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hidden="1" x14ac:dyDescent="0.35">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hidden="1" x14ac:dyDescent="0.35">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hidden="1" x14ac:dyDescent="0.35">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hidden="1" x14ac:dyDescent="0.35">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hidden="1" x14ac:dyDescent="0.35">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hidden="1" x14ac:dyDescent="0.35">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hidden="1" x14ac:dyDescent="0.35">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hidden="1" x14ac:dyDescent="0.35">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hidden="1" x14ac:dyDescent="0.35">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hidden="1" x14ac:dyDescent="0.35">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hidden="1" x14ac:dyDescent="0.35">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hidden="1" x14ac:dyDescent="0.35">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hidden="1" x14ac:dyDescent="0.35">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hidden="1" x14ac:dyDescent="0.35">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hidden="1" x14ac:dyDescent="0.35">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hidden="1" x14ac:dyDescent="0.35">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hidden="1" x14ac:dyDescent="0.35">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hidden="1" x14ac:dyDescent="0.35">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hidden="1" x14ac:dyDescent="0.35">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hidden="1" x14ac:dyDescent="0.35">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hidden="1" x14ac:dyDescent="0.35">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hidden="1" x14ac:dyDescent="0.35">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hidden="1" x14ac:dyDescent="0.35">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hidden="1" x14ac:dyDescent="0.35">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hidden="1" x14ac:dyDescent="0.35">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hidden="1" x14ac:dyDescent="0.35">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hidden="1" x14ac:dyDescent="0.35">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hidden="1" x14ac:dyDescent="0.35">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hidden="1" x14ac:dyDescent="0.35">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hidden="1" x14ac:dyDescent="0.35">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hidden="1" x14ac:dyDescent="0.35">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hidden="1" x14ac:dyDescent="0.35">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hidden="1" x14ac:dyDescent="0.35">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35">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hidden="1" x14ac:dyDescent="0.35">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hidden="1" x14ac:dyDescent="0.35">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hidden="1" x14ac:dyDescent="0.35">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hidden="1" x14ac:dyDescent="0.35">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hidden="1" x14ac:dyDescent="0.35">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hidden="1" x14ac:dyDescent="0.35">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hidden="1" x14ac:dyDescent="0.35">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hidden="1" x14ac:dyDescent="0.35">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hidden="1" x14ac:dyDescent="0.35">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hidden="1" x14ac:dyDescent="0.35">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hidden="1" x14ac:dyDescent="0.35">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hidden="1" x14ac:dyDescent="0.35">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hidden="1" x14ac:dyDescent="0.35">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hidden="1" x14ac:dyDescent="0.35">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hidden="1" x14ac:dyDescent="0.35">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hidden="1" x14ac:dyDescent="0.35">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hidden="1" x14ac:dyDescent="0.35">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hidden="1" x14ac:dyDescent="0.35">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hidden="1" x14ac:dyDescent="0.35">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hidden="1" x14ac:dyDescent="0.35">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hidden="1" x14ac:dyDescent="0.35">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hidden="1" x14ac:dyDescent="0.35">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hidden="1" x14ac:dyDescent="0.35">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hidden="1" x14ac:dyDescent="0.35">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hidden="1" x14ac:dyDescent="0.35">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hidden="1" x14ac:dyDescent="0.35">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hidden="1" x14ac:dyDescent="0.35">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hidden="1" x14ac:dyDescent="0.35">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hidden="1" x14ac:dyDescent="0.35">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hidden="1" x14ac:dyDescent="0.35">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hidden="1" x14ac:dyDescent="0.35">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hidden="1" x14ac:dyDescent="0.35">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hidden="1" x14ac:dyDescent="0.35">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hidden="1" x14ac:dyDescent="0.35">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hidden="1" x14ac:dyDescent="0.35">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hidden="1" x14ac:dyDescent="0.35">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hidden="1" x14ac:dyDescent="0.35">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hidden="1" x14ac:dyDescent="0.35">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hidden="1" x14ac:dyDescent="0.35">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hidden="1" x14ac:dyDescent="0.35">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hidden="1" x14ac:dyDescent="0.35">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hidden="1" x14ac:dyDescent="0.35">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hidden="1" x14ac:dyDescent="0.35">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hidden="1" x14ac:dyDescent="0.35">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hidden="1" x14ac:dyDescent="0.35">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hidden="1" x14ac:dyDescent="0.35">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hidden="1" x14ac:dyDescent="0.35">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hidden="1" x14ac:dyDescent="0.35">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hidden="1" x14ac:dyDescent="0.35">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hidden="1" x14ac:dyDescent="0.35">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hidden="1" x14ac:dyDescent="0.35">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hidden="1" x14ac:dyDescent="0.35">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hidden="1" x14ac:dyDescent="0.35">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hidden="1" x14ac:dyDescent="0.35">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hidden="1" x14ac:dyDescent="0.35">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hidden="1" x14ac:dyDescent="0.35">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hidden="1" x14ac:dyDescent="0.35">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hidden="1" x14ac:dyDescent="0.35">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hidden="1" x14ac:dyDescent="0.35">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hidden="1" x14ac:dyDescent="0.35">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hidden="1" x14ac:dyDescent="0.35">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hidden="1" x14ac:dyDescent="0.35">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hidden="1" x14ac:dyDescent="0.35">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hidden="1" x14ac:dyDescent="0.35">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hidden="1" x14ac:dyDescent="0.35">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hidden="1" x14ac:dyDescent="0.35">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hidden="1" x14ac:dyDescent="0.35">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hidden="1" x14ac:dyDescent="0.35">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hidden="1" x14ac:dyDescent="0.35">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hidden="1" x14ac:dyDescent="0.35">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hidden="1" x14ac:dyDescent="0.35">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hidden="1" x14ac:dyDescent="0.35">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hidden="1" x14ac:dyDescent="0.35">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hidden="1" x14ac:dyDescent="0.35">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hidden="1" x14ac:dyDescent="0.35">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hidden="1" x14ac:dyDescent="0.35">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hidden="1" x14ac:dyDescent="0.35">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hidden="1" x14ac:dyDescent="0.35">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hidden="1" x14ac:dyDescent="0.35">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hidden="1" x14ac:dyDescent="0.35">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hidden="1" x14ac:dyDescent="0.35">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hidden="1" x14ac:dyDescent="0.35">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hidden="1" x14ac:dyDescent="0.35">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hidden="1" x14ac:dyDescent="0.35">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hidden="1" x14ac:dyDescent="0.35">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hidden="1" x14ac:dyDescent="0.35">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hidden="1" x14ac:dyDescent="0.35">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hidden="1" x14ac:dyDescent="0.35">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hidden="1" x14ac:dyDescent="0.35">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hidden="1" x14ac:dyDescent="0.35">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hidden="1" x14ac:dyDescent="0.35">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hidden="1" x14ac:dyDescent="0.35">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hidden="1" x14ac:dyDescent="0.35">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hidden="1" x14ac:dyDescent="0.35">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hidden="1" x14ac:dyDescent="0.35">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hidden="1" x14ac:dyDescent="0.35">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hidden="1" x14ac:dyDescent="0.35">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hidden="1" x14ac:dyDescent="0.35">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hidden="1" x14ac:dyDescent="0.35">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hidden="1" x14ac:dyDescent="0.35">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hidden="1" x14ac:dyDescent="0.35">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hidden="1" x14ac:dyDescent="0.35">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hidden="1" x14ac:dyDescent="0.35">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hidden="1" x14ac:dyDescent="0.35">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hidden="1" x14ac:dyDescent="0.35">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hidden="1" x14ac:dyDescent="0.35">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hidden="1" x14ac:dyDescent="0.35">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hidden="1" x14ac:dyDescent="0.35">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hidden="1" x14ac:dyDescent="0.35">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hidden="1" x14ac:dyDescent="0.35">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35">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hidden="1" x14ac:dyDescent="0.35">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hidden="1" x14ac:dyDescent="0.35">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hidden="1" x14ac:dyDescent="0.35">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hidden="1" x14ac:dyDescent="0.35">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hidden="1" x14ac:dyDescent="0.35">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hidden="1" x14ac:dyDescent="0.35">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hidden="1" x14ac:dyDescent="0.35">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hidden="1" x14ac:dyDescent="0.35">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hidden="1" x14ac:dyDescent="0.35">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hidden="1" x14ac:dyDescent="0.35">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hidden="1" x14ac:dyDescent="0.35">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hidden="1" x14ac:dyDescent="0.35">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hidden="1" x14ac:dyDescent="0.35">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hidden="1" x14ac:dyDescent="0.35">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hidden="1" x14ac:dyDescent="0.35">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hidden="1" x14ac:dyDescent="0.35">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hidden="1" x14ac:dyDescent="0.35">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hidden="1" x14ac:dyDescent="0.35">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hidden="1" x14ac:dyDescent="0.35">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hidden="1" x14ac:dyDescent="0.35">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hidden="1" x14ac:dyDescent="0.35">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hidden="1" x14ac:dyDescent="0.35">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hidden="1" x14ac:dyDescent="0.35">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hidden="1" x14ac:dyDescent="0.35">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hidden="1" x14ac:dyDescent="0.35">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hidden="1" x14ac:dyDescent="0.35">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hidden="1" x14ac:dyDescent="0.35">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hidden="1" x14ac:dyDescent="0.35">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hidden="1" x14ac:dyDescent="0.35">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hidden="1" x14ac:dyDescent="0.35">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hidden="1" x14ac:dyDescent="0.35">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hidden="1" x14ac:dyDescent="0.35">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hidden="1" x14ac:dyDescent="0.35">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hidden="1" x14ac:dyDescent="0.35">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hidden="1" x14ac:dyDescent="0.35">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hidden="1" x14ac:dyDescent="0.35">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hidden="1" x14ac:dyDescent="0.35">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hidden="1" x14ac:dyDescent="0.35">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hidden="1" x14ac:dyDescent="0.35">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hidden="1" x14ac:dyDescent="0.35">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hidden="1" x14ac:dyDescent="0.35">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hidden="1" x14ac:dyDescent="0.35">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hidden="1" x14ac:dyDescent="0.35">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hidden="1" x14ac:dyDescent="0.35">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hidden="1" x14ac:dyDescent="0.35">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hidden="1" x14ac:dyDescent="0.35">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hidden="1" x14ac:dyDescent="0.35">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hidden="1" x14ac:dyDescent="0.35">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hidden="1" x14ac:dyDescent="0.35">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hidden="1" x14ac:dyDescent="0.35">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hidden="1" x14ac:dyDescent="0.35">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hidden="1" x14ac:dyDescent="0.35">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hidden="1" x14ac:dyDescent="0.35">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hidden="1" x14ac:dyDescent="0.35">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hidden="1" x14ac:dyDescent="0.35">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hidden="1" x14ac:dyDescent="0.35">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hidden="1" x14ac:dyDescent="0.35">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hidden="1" x14ac:dyDescent="0.35">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hidden="1" x14ac:dyDescent="0.35">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hidden="1" x14ac:dyDescent="0.35">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hidden="1" x14ac:dyDescent="0.35">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hidden="1" x14ac:dyDescent="0.35">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hidden="1" x14ac:dyDescent="0.35">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hidden="1" x14ac:dyDescent="0.35">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hidden="1" x14ac:dyDescent="0.35">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hidden="1" x14ac:dyDescent="0.35">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hidden="1" x14ac:dyDescent="0.35">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hidden="1" x14ac:dyDescent="0.35">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hidden="1" x14ac:dyDescent="0.35">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hidden="1" x14ac:dyDescent="0.35">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hidden="1" x14ac:dyDescent="0.35">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hidden="1" x14ac:dyDescent="0.35">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hidden="1" x14ac:dyDescent="0.35">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hidden="1" x14ac:dyDescent="0.35">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hidden="1" x14ac:dyDescent="0.35">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hidden="1" x14ac:dyDescent="0.35">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hidden="1" x14ac:dyDescent="0.35">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hidden="1" x14ac:dyDescent="0.35">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hidden="1" x14ac:dyDescent="0.35">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hidden="1" x14ac:dyDescent="0.35">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hidden="1" x14ac:dyDescent="0.35">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hidden="1" x14ac:dyDescent="0.35">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hidden="1" x14ac:dyDescent="0.35">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hidden="1" x14ac:dyDescent="0.35">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hidden="1" x14ac:dyDescent="0.35">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hidden="1" x14ac:dyDescent="0.35">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hidden="1" x14ac:dyDescent="0.35">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hidden="1" x14ac:dyDescent="0.35">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hidden="1" x14ac:dyDescent="0.35">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hidden="1" x14ac:dyDescent="0.35">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hidden="1" x14ac:dyDescent="0.35">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hidden="1" x14ac:dyDescent="0.35">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hidden="1" x14ac:dyDescent="0.35">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hidden="1" x14ac:dyDescent="0.35">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hidden="1" x14ac:dyDescent="0.35">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hidden="1" x14ac:dyDescent="0.35">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hidden="1" x14ac:dyDescent="0.35">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hidden="1" x14ac:dyDescent="0.35">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hidden="1" x14ac:dyDescent="0.35">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hidden="1" x14ac:dyDescent="0.35">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hidden="1" x14ac:dyDescent="0.35">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hidden="1" x14ac:dyDescent="0.35">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hidden="1" x14ac:dyDescent="0.35">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hidden="1" x14ac:dyDescent="0.35">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hidden="1" x14ac:dyDescent="0.35">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hidden="1" x14ac:dyDescent="0.35">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hidden="1" x14ac:dyDescent="0.35">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hidden="1" x14ac:dyDescent="0.35">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hidden="1" x14ac:dyDescent="0.35">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hidden="1" x14ac:dyDescent="0.35">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hidden="1" x14ac:dyDescent="0.35">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hidden="1" x14ac:dyDescent="0.35">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hidden="1" x14ac:dyDescent="0.35">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hidden="1" x14ac:dyDescent="0.35">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hidden="1" x14ac:dyDescent="0.35">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hidden="1" x14ac:dyDescent="0.35">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hidden="1" x14ac:dyDescent="0.35">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hidden="1" x14ac:dyDescent="0.35">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hidden="1" x14ac:dyDescent="0.35">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hidden="1" x14ac:dyDescent="0.35">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hidden="1" x14ac:dyDescent="0.35">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hidden="1" x14ac:dyDescent="0.35">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hidden="1" x14ac:dyDescent="0.35">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hidden="1" x14ac:dyDescent="0.35">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hidden="1" x14ac:dyDescent="0.35">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hidden="1" x14ac:dyDescent="0.35">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hidden="1" x14ac:dyDescent="0.35">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hidden="1" x14ac:dyDescent="0.35">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hidden="1" x14ac:dyDescent="0.35">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hidden="1" x14ac:dyDescent="0.35">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hidden="1" x14ac:dyDescent="0.35">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hidden="1" x14ac:dyDescent="0.35">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hidden="1" x14ac:dyDescent="0.35">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hidden="1" x14ac:dyDescent="0.35">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hidden="1" x14ac:dyDescent="0.35">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hidden="1" x14ac:dyDescent="0.35">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hidden="1" x14ac:dyDescent="0.35">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hidden="1" x14ac:dyDescent="0.35">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hidden="1" x14ac:dyDescent="0.35">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hidden="1" x14ac:dyDescent="0.35">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hidden="1" x14ac:dyDescent="0.35">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hidden="1" x14ac:dyDescent="0.35">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hidden="1" x14ac:dyDescent="0.35">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hidden="1" x14ac:dyDescent="0.35">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hidden="1" x14ac:dyDescent="0.35">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hidden="1" x14ac:dyDescent="0.35">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hidden="1" x14ac:dyDescent="0.35">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hidden="1" x14ac:dyDescent="0.35">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hidden="1" x14ac:dyDescent="0.35">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hidden="1" x14ac:dyDescent="0.35">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hidden="1" x14ac:dyDescent="0.35">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hidden="1" x14ac:dyDescent="0.35">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hidden="1" x14ac:dyDescent="0.35">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hidden="1" x14ac:dyDescent="0.35">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hidden="1" x14ac:dyDescent="0.35">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hidden="1" x14ac:dyDescent="0.35">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hidden="1" x14ac:dyDescent="0.35">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hidden="1" x14ac:dyDescent="0.35">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hidden="1" x14ac:dyDescent="0.35">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hidden="1" x14ac:dyDescent="0.35">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hidden="1" x14ac:dyDescent="0.35">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hidden="1" x14ac:dyDescent="0.35">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hidden="1" x14ac:dyDescent="0.35">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hidden="1" x14ac:dyDescent="0.35">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hidden="1" x14ac:dyDescent="0.35">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hidden="1" x14ac:dyDescent="0.35">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hidden="1" x14ac:dyDescent="0.35">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hidden="1" x14ac:dyDescent="0.35">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hidden="1" x14ac:dyDescent="0.35">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hidden="1" x14ac:dyDescent="0.35">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hidden="1" x14ac:dyDescent="0.35">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hidden="1" x14ac:dyDescent="0.35">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hidden="1" x14ac:dyDescent="0.35">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hidden="1" x14ac:dyDescent="0.35">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hidden="1" x14ac:dyDescent="0.35">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hidden="1" x14ac:dyDescent="0.35">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hidden="1" x14ac:dyDescent="0.35">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hidden="1" x14ac:dyDescent="0.35">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hidden="1" x14ac:dyDescent="0.35">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hidden="1" x14ac:dyDescent="0.35">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hidden="1" x14ac:dyDescent="0.35">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hidden="1" x14ac:dyDescent="0.35">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hidden="1" x14ac:dyDescent="0.35">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hidden="1" x14ac:dyDescent="0.35">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hidden="1" x14ac:dyDescent="0.35">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hidden="1" x14ac:dyDescent="0.35">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hidden="1" x14ac:dyDescent="0.35">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hidden="1" x14ac:dyDescent="0.35">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hidden="1" x14ac:dyDescent="0.35">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hidden="1" x14ac:dyDescent="0.35">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hidden="1" x14ac:dyDescent="0.35">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hidden="1" x14ac:dyDescent="0.35">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hidden="1" x14ac:dyDescent="0.35">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hidden="1" x14ac:dyDescent="0.35">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hidden="1" x14ac:dyDescent="0.35">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hidden="1" x14ac:dyDescent="0.35">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hidden="1" x14ac:dyDescent="0.35">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hidden="1" x14ac:dyDescent="0.35">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hidden="1" x14ac:dyDescent="0.35">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hidden="1" x14ac:dyDescent="0.35">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hidden="1" x14ac:dyDescent="0.35">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hidden="1" x14ac:dyDescent="0.35">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hidden="1" x14ac:dyDescent="0.35">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hidden="1" x14ac:dyDescent="0.35">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hidden="1" x14ac:dyDescent="0.35">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hidden="1" x14ac:dyDescent="0.35">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hidden="1" x14ac:dyDescent="0.35">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hidden="1" x14ac:dyDescent="0.35">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35">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hidden="1" x14ac:dyDescent="0.35">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hidden="1" x14ac:dyDescent="0.35">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hidden="1" x14ac:dyDescent="0.35">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hidden="1" x14ac:dyDescent="0.35">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hidden="1" x14ac:dyDescent="0.35">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hidden="1" x14ac:dyDescent="0.35">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hidden="1" x14ac:dyDescent="0.35">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hidden="1" x14ac:dyDescent="0.35">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hidden="1" x14ac:dyDescent="0.35">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hidden="1" x14ac:dyDescent="0.35">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hidden="1" x14ac:dyDescent="0.35">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hidden="1" x14ac:dyDescent="0.35">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hidden="1" x14ac:dyDescent="0.35">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hidden="1" x14ac:dyDescent="0.35">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hidden="1" x14ac:dyDescent="0.35">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hidden="1" x14ac:dyDescent="0.35">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hidden="1" x14ac:dyDescent="0.35">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hidden="1" x14ac:dyDescent="0.35">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hidden="1" x14ac:dyDescent="0.35">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hidden="1" x14ac:dyDescent="0.35">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hidden="1" x14ac:dyDescent="0.35">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hidden="1" x14ac:dyDescent="0.35">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hidden="1" x14ac:dyDescent="0.35">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hidden="1" x14ac:dyDescent="0.35">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hidden="1" x14ac:dyDescent="0.35">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hidden="1" x14ac:dyDescent="0.35">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hidden="1" x14ac:dyDescent="0.35">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hidden="1" x14ac:dyDescent="0.35">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hidden="1" x14ac:dyDescent="0.35">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hidden="1" x14ac:dyDescent="0.35">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hidden="1" x14ac:dyDescent="0.35">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hidden="1" x14ac:dyDescent="0.35">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hidden="1" x14ac:dyDescent="0.35">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hidden="1" x14ac:dyDescent="0.35">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hidden="1" x14ac:dyDescent="0.35">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hidden="1" x14ac:dyDescent="0.35">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hidden="1" x14ac:dyDescent="0.35">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hidden="1" x14ac:dyDescent="0.35">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hidden="1" x14ac:dyDescent="0.35">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35">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hidden="1" x14ac:dyDescent="0.35">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hidden="1" x14ac:dyDescent="0.35">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hidden="1" x14ac:dyDescent="0.35">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hidden="1" x14ac:dyDescent="0.35">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hidden="1" x14ac:dyDescent="0.35">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hidden="1" x14ac:dyDescent="0.35">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hidden="1" x14ac:dyDescent="0.35">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hidden="1" x14ac:dyDescent="0.35">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hidden="1" x14ac:dyDescent="0.35">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hidden="1" x14ac:dyDescent="0.35">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hidden="1" x14ac:dyDescent="0.35">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hidden="1" x14ac:dyDescent="0.35">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hidden="1" x14ac:dyDescent="0.35">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hidden="1" x14ac:dyDescent="0.35">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hidden="1" x14ac:dyDescent="0.35">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hidden="1" x14ac:dyDescent="0.35">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hidden="1" x14ac:dyDescent="0.35">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hidden="1" x14ac:dyDescent="0.35">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hidden="1" x14ac:dyDescent="0.35">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hidden="1" x14ac:dyDescent="0.35">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hidden="1" x14ac:dyDescent="0.35">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hidden="1" x14ac:dyDescent="0.35">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hidden="1" x14ac:dyDescent="0.35">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hidden="1" x14ac:dyDescent="0.35">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hidden="1" x14ac:dyDescent="0.35">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hidden="1" x14ac:dyDescent="0.35">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hidden="1" x14ac:dyDescent="0.35">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hidden="1" x14ac:dyDescent="0.35">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hidden="1" x14ac:dyDescent="0.35">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hidden="1" x14ac:dyDescent="0.35">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hidden="1" x14ac:dyDescent="0.35">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hidden="1" x14ac:dyDescent="0.35">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hidden="1" x14ac:dyDescent="0.35">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hidden="1" x14ac:dyDescent="0.35">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hidden="1" x14ac:dyDescent="0.35">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hidden="1" x14ac:dyDescent="0.35">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hidden="1" x14ac:dyDescent="0.35">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hidden="1" x14ac:dyDescent="0.35">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hidden="1" x14ac:dyDescent="0.35">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hidden="1" x14ac:dyDescent="0.35">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hidden="1" x14ac:dyDescent="0.35">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hidden="1" x14ac:dyDescent="0.35">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hidden="1" x14ac:dyDescent="0.35">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hidden="1" x14ac:dyDescent="0.35">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hidden="1" x14ac:dyDescent="0.35">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hidden="1" x14ac:dyDescent="0.35">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hidden="1" x14ac:dyDescent="0.35">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hidden="1" x14ac:dyDescent="0.35">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hidden="1" x14ac:dyDescent="0.35">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hidden="1" x14ac:dyDescent="0.35">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hidden="1" x14ac:dyDescent="0.35">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hidden="1" x14ac:dyDescent="0.35">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hidden="1" x14ac:dyDescent="0.35">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hidden="1" x14ac:dyDescent="0.35">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hidden="1" x14ac:dyDescent="0.35">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hidden="1" x14ac:dyDescent="0.35">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hidden="1" x14ac:dyDescent="0.35">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hidden="1" x14ac:dyDescent="0.35">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hidden="1" x14ac:dyDescent="0.35">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934"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hidden="1" x14ac:dyDescent="0.35">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hidden="1" x14ac:dyDescent="0.35">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hidden="1" x14ac:dyDescent="0.35">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hidden="1" x14ac:dyDescent="0.35">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hidden="1" x14ac:dyDescent="0.35">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hidden="1" x14ac:dyDescent="0.35">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hidden="1" x14ac:dyDescent="0.35">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hidden="1" x14ac:dyDescent="0.35">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hidden="1" x14ac:dyDescent="0.35">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hidden="1" x14ac:dyDescent="0.35">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hidden="1" x14ac:dyDescent="0.35">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hidden="1" x14ac:dyDescent="0.35">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hidden="1" x14ac:dyDescent="0.35">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hidden="1" x14ac:dyDescent="0.35">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hidden="1" x14ac:dyDescent="0.35">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hidden="1" x14ac:dyDescent="0.35">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hidden="1" x14ac:dyDescent="0.35">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hidden="1" x14ac:dyDescent="0.35">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hidden="1" x14ac:dyDescent="0.35">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hidden="1" x14ac:dyDescent="0.35">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hidden="1" x14ac:dyDescent="0.35">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hidden="1" x14ac:dyDescent="0.35">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hidden="1" x14ac:dyDescent="0.35">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hidden="1" x14ac:dyDescent="0.35">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hidden="1" x14ac:dyDescent="0.35">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hidden="1" x14ac:dyDescent="0.35">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hidden="1" x14ac:dyDescent="0.35">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hidden="1" x14ac:dyDescent="0.35">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hidden="1" x14ac:dyDescent="0.35">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hidden="1" x14ac:dyDescent="0.35">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hidden="1" x14ac:dyDescent="0.35">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hidden="1" x14ac:dyDescent="0.35">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hidden="1" x14ac:dyDescent="0.35">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hidden="1" x14ac:dyDescent="0.35">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hidden="1" x14ac:dyDescent="0.35">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hidden="1" x14ac:dyDescent="0.35">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hidden="1" x14ac:dyDescent="0.35">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hidden="1" x14ac:dyDescent="0.35">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hidden="1" x14ac:dyDescent="0.35">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1078" si="201">V835&amp;"__"&amp;W835</f>
        <v>Fenest__ManufWin</v>
      </c>
      <c r="U835" s="3" t="str">
        <f t="shared" si="184"/>
        <v>Fenest__ManufWin</v>
      </c>
      <c r="V835" s="3" t="s">
        <v>785</v>
      </c>
      <c r="W835" s="3" t="s">
        <v>1040</v>
      </c>
      <c r="X835" s="3" t="s">
        <v>785</v>
      </c>
      <c r="Y835" s="3" t="s">
        <v>1040</v>
      </c>
      <c r="AA835" s="3" t="s">
        <v>55</v>
      </c>
      <c r="AC835">
        <v>1985</v>
      </c>
    </row>
    <row r="836" spans="1:29" hidden="1" x14ac:dyDescent="0.35">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3" si="203">K836</f>
        <v>RE-Fenest-ManufWin-rDXHP-Ex</v>
      </c>
      <c r="J836" t="str">
        <f t="shared" ref="J836:J844"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1078" si="205">X836&amp;"__"&amp;Y836</f>
        <v>Fenest__ManufWin</v>
      </c>
      <c r="V836" s="3" t="s">
        <v>785</v>
      </c>
      <c r="W836" s="3" t="s">
        <v>1040</v>
      </c>
      <c r="X836" s="3" t="s">
        <v>785</v>
      </c>
      <c r="Y836" s="3" t="s">
        <v>1040</v>
      </c>
      <c r="AA836" s="3" t="s">
        <v>55</v>
      </c>
      <c r="AC836">
        <v>1985</v>
      </c>
    </row>
    <row r="837" spans="1:29" hidden="1" x14ac:dyDescent="0.35">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hidden="1" x14ac:dyDescent="0.35">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hidden="1" x14ac:dyDescent="0.35">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hidden="1" x14ac:dyDescent="0.35">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hidden="1" x14ac:dyDescent="0.35">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hidden="1" x14ac:dyDescent="0.35">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hidden="1" x14ac:dyDescent="0.35">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 si="209">V843&amp;"__"&amp;W843</f>
        <v>Fenest__ManufWin</v>
      </c>
      <c r="U843" s="3" t="str">
        <f t="shared" ref="U843" si="210">X843&amp;"__"&amp;Y843</f>
        <v>Fenest__ManufWin</v>
      </c>
      <c r="V843" s="3" t="s">
        <v>785</v>
      </c>
      <c r="W843" s="3" t="s">
        <v>1040</v>
      </c>
      <c r="X843" s="3" t="s">
        <v>785</v>
      </c>
      <c r="Y843" s="3" t="s">
        <v>1040</v>
      </c>
      <c r="AA843" t="s">
        <v>55</v>
      </c>
    </row>
    <row r="844" spans="1:29" x14ac:dyDescent="0.35">
      <c r="A844" s="3" t="s">
        <v>10771</v>
      </c>
      <c r="B844" s="3" t="s">
        <v>10675</v>
      </c>
      <c r="C844" s="3" t="s">
        <v>10770</v>
      </c>
      <c r="D844" s="3" t="str">
        <f t="shared" ref="D844:D855" si="211">_xlfn.CONCAT(C844, " ", A844)</f>
        <v>SWHC027-09 PTAC PTHP</v>
      </c>
      <c r="E844" s="3" t="str">
        <f>CONCATENATE(D844,"_",O844,"_",R844)</f>
        <v>SWHC027-09 PTAC PTHP_MFm_Ex</v>
      </c>
      <c r="F844" t="s">
        <v>192</v>
      </c>
      <c r="G844" t="str">
        <f>F844</f>
        <v>RE-HV-PTAC-10.27EER</v>
      </c>
      <c r="H844" t="str">
        <f>K844</f>
        <v>RE-HV-PTAC-8.56EER</v>
      </c>
      <c r="I844" t="str">
        <f t="shared" ref="I844" si="212">L844</f>
        <v>RE-HV-PTAC-8.56EER</v>
      </c>
      <c r="J844" t="str">
        <f t="shared" si="204"/>
        <v>RE-HV-PTAC-10.27EER</v>
      </c>
      <c r="K844" t="s">
        <v>191</v>
      </c>
      <c r="L844" t="s">
        <v>191</v>
      </c>
      <c r="M844" t="s">
        <v>192</v>
      </c>
      <c r="N844" s="3" t="str">
        <f>IF(S844="No", O844&amp;"&amp;"&amp;P844&amp;"&amp;"&amp;Q844&amp;"&amp;"&amp;R844&amp;"&amp;"&amp;T844,   O844&amp;"&amp;"&amp;P844&amp;"&amp;"&amp;Q844&amp;"&amp;"&amp;R844&amp;"&amp;"&amp;T844&amp;"&amp;"&amp;U844)</f>
        <v>MFm&amp;0&amp;rDXGF&amp;Ex&amp;dxAC_equip__pkgTerm</v>
      </c>
      <c r="O844" s="3" t="s">
        <v>63</v>
      </c>
      <c r="P844" s="3">
        <v>0</v>
      </c>
      <c r="Q844" s="3" t="s">
        <v>51</v>
      </c>
      <c r="R844" s="3" t="s">
        <v>52</v>
      </c>
      <c r="S844" s="3" t="s">
        <v>10734</v>
      </c>
      <c r="T844" s="3" t="str">
        <f t="shared" si="201"/>
        <v>dxAC_equip__pkgTerm</v>
      </c>
      <c r="U844" s="3" t="str">
        <f t="shared" si="205"/>
        <v>dxAC_equip__pkgTerm</v>
      </c>
      <c r="V844" s="3" t="s">
        <v>111</v>
      </c>
      <c r="W844" s="3" t="s">
        <v>193</v>
      </c>
      <c r="X844" s="3" t="s">
        <v>111</v>
      </c>
      <c r="Y844" s="3" t="s">
        <v>193</v>
      </c>
      <c r="AA844" s="3" t="s">
        <v>194</v>
      </c>
    </row>
    <row r="845" spans="1:29" x14ac:dyDescent="0.35">
      <c r="A845" s="3" t="s">
        <v>10771</v>
      </c>
      <c r="B845" s="3" t="s">
        <v>10675</v>
      </c>
      <c r="C845" s="3" t="s">
        <v>10770</v>
      </c>
      <c r="D845" s="3" t="str">
        <f t="shared" si="211"/>
        <v>SWHC027-09 PTAC PTHP</v>
      </c>
      <c r="E845" s="3" t="str">
        <f t="shared" ref="E845:E908" si="213">CONCATENATE(D845,"_",O845,"_",R845)</f>
        <v>SWHC027-09 PTAC PTHP_MFm_Ex</v>
      </c>
      <c r="F845" t="s">
        <v>192</v>
      </c>
      <c r="G845" t="str">
        <f t="shared" ref="G845:G1078" si="214">F845</f>
        <v>RE-HV-PTAC-10.27EER</v>
      </c>
      <c r="H845" t="str">
        <f t="shared" ref="H845:H855" si="215">K845</f>
        <v>RE-HV-PTAC-8.56EER</v>
      </c>
      <c r="I845" t="str">
        <f t="shared" ref="I845:I856" si="216">L845</f>
        <v>RE-HV-PTAC-8.56EER</v>
      </c>
      <c r="J845" t="str">
        <f t="shared" ref="J845:J856" si="217">M845</f>
        <v>RE-HV-PTAC-10.27EER</v>
      </c>
      <c r="K845" t="s">
        <v>191</v>
      </c>
      <c r="L845" t="s">
        <v>191</v>
      </c>
      <c r="M845" t="s">
        <v>192</v>
      </c>
      <c r="N845" s="3" t="str">
        <f t="shared" si="190"/>
        <v>MFm&amp;0&amp;rDXGF&amp;Ex&amp;dxAC_equip__pkgTerm</v>
      </c>
      <c r="O845" s="3" t="s">
        <v>63</v>
      </c>
      <c r="P845" s="3">
        <v>0</v>
      </c>
      <c r="Q845" s="3" t="s">
        <v>51</v>
      </c>
      <c r="R845" s="3" t="s">
        <v>52</v>
      </c>
      <c r="S845" s="3" t="s">
        <v>10734</v>
      </c>
      <c r="T845" s="3" t="str">
        <f t="shared" si="201"/>
        <v>dxAC_equip__pkgTerm</v>
      </c>
      <c r="U845" s="3" t="str">
        <f t="shared" si="205"/>
        <v>dxAC_equip__pkgTerm</v>
      </c>
      <c r="V845" s="3" t="s">
        <v>111</v>
      </c>
      <c r="W845" s="3" t="s">
        <v>193</v>
      </c>
      <c r="X845" s="3" t="s">
        <v>111</v>
      </c>
      <c r="Y845" s="3" t="s">
        <v>193</v>
      </c>
      <c r="AA845" s="3" t="s">
        <v>194</v>
      </c>
    </row>
    <row r="846" spans="1:29" x14ac:dyDescent="0.35">
      <c r="A846" s="3" t="s">
        <v>10771</v>
      </c>
      <c r="B846" s="3" t="s">
        <v>10675</v>
      </c>
      <c r="C846" s="3" t="s">
        <v>10770</v>
      </c>
      <c r="D846" s="3" t="str">
        <f t="shared" si="211"/>
        <v>SWHC027-09 PTAC PTHP</v>
      </c>
      <c r="E846" s="3" t="str">
        <f t="shared" si="213"/>
        <v>SWHC027-09 PTAC PTHP_MFm_Ex</v>
      </c>
      <c r="F846" t="s">
        <v>192</v>
      </c>
      <c r="G846" t="str">
        <f t="shared" si="214"/>
        <v>RE-HV-PTAC-10.27EER</v>
      </c>
      <c r="H846" t="str">
        <f t="shared" si="215"/>
        <v>RE-HV-PTAC-8.56EER</v>
      </c>
      <c r="I846" t="str">
        <f t="shared" si="216"/>
        <v>RE-HV-PTAC-8.56EER</v>
      </c>
      <c r="J846" t="str">
        <f t="shared" si="217"/>
        <v>RE-HV-PTAC-10.27EER</v>
      </c>
      <c r="K846" t="s">
        <v>191</v>
      </c>
      <c r="L846" t="s">
        <v>191</v>
      </c>
      <c r="M846" t="s">
        <v>192</v>
      </c>
      <c r="N846" s="3" t="str">
        <f>IF(S846="No", O846&amp;"&amp;"&amp;P846&amp;"&amp;"&amp;Q846&amp;"&amp;"&amp;R846&amp;"&amp;"&amp;T846,   O846&amp;"&amp;"&amp;P846&amp;"&amp;"&amp;Q846&amp;"&amp;"&amp;R846&amp;"&amp;"&amp;T846&amp;"&amp;"&amp;U846)</f>
        <v>MFm&amp;0&amp;rDXGF&amp;Ex&amp;dxAC_equip__pkgTerm</v>
      </c>
      <c r="O846" s="3" t="s">
        <v>63</v>
      </c>
      <c r="P846" s="3">
        <v>0</v>
      </c>
      <c r="Q846" s="3" t="s">
        <v>51</v>
      </c>
      <c r="R846" s="3" t="s">
        <v>52</v>
      </c>
      <c r="S846" s="3" t="s">
        <v>10734</v>
      </c>
      <c r="T846" s="3" t="str">
        <f t="shared" si="201"/>
        <v>dxAC_equip__pkgTerm</v>
      </c>
      <c r="U846" s="3" t="str">
        <f t="shared" si="205"/>
        <v>dxAC_equip__pkgTerm</v>
      </c>
      <c r="V846" s="3" t="s">
        <v>111</v>
      </c>
      <c r="W846" s="3" t="s">
        <v>193</v>
      </c>
      <c r="X846" s="3" t="s">
        <v>111</v>
      </c>
      <c r="Y846" s="3" t="s">
        <v>193</v>
      </c>
      <c r="AA846" s="3" t="s">
        <v>194</v>
      </c>
    </row>
    <row r="847" spans="1:29" x14ac:dyDescent="0.35">
      <c r="A847" s="3" t="s">
        <v>10771</v>
      </c>
      <c r="B847" s="3" t="s">
        <v>10675</v>
      </c>
      <c r="C847" s="3" t="s">
        <v>10770</v>
      </c>
      <c r="D847" s="3" t="str">
        <f t="shared" si="211"/>
        <v>SWHC027-09 PTAC PTHP</v>
      </c>
      <c r="E847" s="3" t="str">
        <f t="shared" si="213"/>
        <v>SWHC027-09 PTAC PTHP_MFm_Ex</v>
      </c>
      <c r="F847" t="s">
        <v>197</v>
      </c>
      <c r="G847" t="str">
        <f t="shared" si="214"/>
        <v>RE-HV-PTAC-12.84EER</v>
      </c>
      <c r="H847" t="str">
        <f t="shared" si="215"/>
        <v>RE-HV-PTAC-10.70EER</v>
      </c>
      <c r="I847" t="str">
        <f t="shared" si="216"/>
        <v>RE-HV-PTAC-10.70EER</v>
      </c>
      <c r="J847" t="str">
        <f t="shared" si="217"/>
        <v>RE-HV-PTAC-12.84EER</v>
      </c>
      <c r="K847" t="s">
        <v>196</v>
      </c>
      <c r="L847" t="s">
        <v>196</v>
      </c>
      <c r="M847" t="s">
        <v>197</v>
      </c>
      <c r="N847" s="3" t="str">
        <f t="shared" si="190"/>
        <v>MFm&amp;0&amp;rDXGF&amp;Ex&amp;dxAC_equip__pkgTerm</v>
      </c>
      <c r="O847" s="3" t="s">
        <v>63</v>
      </c>
      <c r="P847" s="3">
        <v>0</v>
      </c>
      <c r="Q847" s="3" t="s">
        <v>51</v>
      </c>
      <c r="R847" s="3" t="s">
        <v>52</v>
      </c>
      <c r="S847" s="3" t="s">
        <v>10734</v>
      </c>
      <c r="T847" s="3" t="str">
        <f t="shared" si="201"/>
        <v>dxAC_equip__pkgTerm</v>
      </c>
      <c r="U847" s="3" t="str">
        <f t="shared" si="205"/>
        <v>dxAC_equip__pkgTerm</v>
      </c>
      <c r="V847" s="3" t="s">
        <v>111</v>
      </c>
      <c r="W847" s="3" t="s">
        <v>193</v>
      </c>
      <c r="X847" s="3" t="s">
        <v>111</v>
      </c>
      <c r="Y847" s="3" t="s">
        <v>193</v>
      </c>
      <c r="AA847" s="3" t="s">
        <v>194</v>
      </c>
    </row>
    <row r="848" spans="1:29" x14ac:dyDescent="0.35">
      <c r="A848" s="3" t="s">
        <v>10771</v>
      </c>
      <c r="B848" s="3" t="s">
        <v>10675</v>
      </c>
      <c r="C848" s="3" t="s">
        <v>10770</v>
      </c>
      <c r="D848" s="3" t="str">
        <f t="shared" si="211"/>
        <v>SWHC027-09 PTAC PTHP</v>
      </c>
      <c r="E848" s="3" t="str">
        <f t="shared" si="213"/>
        <v>SWHC027-09 PTAC PTHP_MFm_Ex</v>
      </c>
      <c r="F848" t="s">
        <v>197</v>
      </c>
      <c r="G848" t="str">
        <f t="shared" si="214"/>
        <v>RE-HV-PTAC-12.84EER</v>
      </c>
      <c r="H848" t="str">
        <f t="shared" si="215"/>
        <v>RE-HV-PTAC-10.70EER</v>
      </c>
      <c r="I848" t="str">
        <f t="shared" si="216"/>
        <v>RE-HV-PTAC-10.70EER</v>
      </c>
      <c r="J848" t="str">
        <f t="shared" si="217"/>
        <v>RE-HV-PTAC-12.84EER</v>
      </c>
      <c r="K848" t="s">
        <v>196</v>
      </c>
      <c r="L848" t="s">
        <v>196</v>
      </c>
      <c r="M848" t="s">
        <v>197</v>
      </c>
      <c r="N848" s="3" t="str">
        <f t="shared" si="190"/>
        <v>MFm&amp;0&amp;rDXGF&amp;Ex&amp;dxAC_equip__pkgTerm</v>
      </c>
      <c r="O848" s="3" t="s">
        <v>63</v>
      </c>
      <c r="P848" s="3">
        <v>0</v>
      </c>
      <c r="Q848" s="3" t="s">
        <v>51</v>
      </c>
      <c r="R848" s="3" t="s">
        <v>52</v>
      </c>
      <c r="S848" s="3" t="s">
        <v>10734</v>
      </c>
      <c r="T848" s="3" t="str">
        <f t="shared" si="201"/>
        <v>dxAC_equip__pkgTerm</v>
      </c>
      <c r="U848" s="3" t="str">
        <f t="shared" si="205"/>
        <v>dxAC_equip__pkgTerm</v>
      </c>
      <c r="V848" s="3" t="s">
        <v>111</v>
      </c>
      <c r="W848" s="3" t="s">
        <v>193</v>
      </c>
      <c r="X848" s="3" t="s">
        <v>111</v>
      </c>
      <c r="Y848" s="3" t="s">
        <v>193</v>
      </c>
      <c r="AA848" s="3" t="s">
        <v>194</v>
      </c>
    </row>
    <row r="849" spans="1:27" x14ac:dyDescent="0.35">
      <c r="A849" s="3" t="s">
        <v>10771</v>
      </c>
      <c r="B849" s="3" t="s">
        <v>10675</v>
      </c>
      <c r="C849" s="3" t="s">
        <v>10770</v>
      </c>
      <c r="D849" s="3" t="str">
        <f t="shared" si="211"/>
        <v>SWHC027-09 PTAC PTHP</v>
      </c>
      <c r="E849" s="3" t="str">
        <f t="shared" si="213"/>
        <v>SWHC027-09 PTAC PTHP_MFm_Ex</v>
      </c>
      <c r="F849" t="s">
        <v>197</v>
      </c>
      <c r="G849" t="str">
        <f t="shared" si="214"/>
        <v>RE-HV-PTAC-12.84EER</v>
      </c>
      <c r="H849" t="str">
        <f t="shared" si="215"/>
        <v>RE-HV-PTAC-10.70EER</v>
      </c>
      <c r="I849" t="str">
        <f t="shared" si="216"/>
        <v>RE-HV-PTAC-10.70EER</v>
      </c>
      <c r="J849" t="str">
        <f t="shared" si="217"/>
        <v>RE-HV-PTAC-12.84EER</v>
      </c>
      <c r="K849" t="s">
        <v>196</v>
      </c>
      <c r="L849" t="s">
        <v>196</v>
      </c>
      <c r="M849" t="s">
        <v>197</v>
      </c>
      <c r="N849" s="3" t="str">
        <f t="shared" si="190"/>
        <v>MFm&amp;0&amp;rDXGF&amp;Ex&amp;dxAC_equip__pkgTerm</v>
      </c>
      <c r="O849" s="3" t="s">
        <v>63</v>
      </c>
      <c r="P849" s="3">
        <v>0</v>
      </c>
      <c r="Q849" s="3" t="s">
        <v>51</v>
      </c>
      <c r="R849" s="3" t="s">
        <v>52</v>
      </c>
      <c r="S849" s="3" t="s">
        <v>10734</v>
      </c>
      <c r="T849" s="3" t="str">
        <f t="shared" si="201"/>
        <v>dxAC_equip__pkgTerm</v>
      </c>
      <c r="U849" s="3" t="str">
        <f t="shared" si="205"/>
        <v>dxAC_equip__pkgTerm</v>
      </c>
      <c r="V849" s="3" t="s">
        <v>111</v>
      </c>
      <c r="W849" s="3" t="s">
        <v>193</v>
      </c>
      <c r="X849" s="3" t="s">
        <v>111</v>
      </c>
      <c r="Y849" s="3" t="s">
        <v>193</v>
      </c>
      <c r="AA849" s="3" t="s">
        <v>194</v>
      </c>
    </row>
    <row r="850" spans="1:27" x14ac:dyDescent="0.35">
      <c r="A850" s="3" t="s">
        <v>10771</v>
      </c>
      <c r="B850" s="3" t="s">
        <v>10675</v>
      </c>
      <c r="C850" s="3" t="s">
        <v>10770</v>
      </c>
      <c r="D850" s="3" t="str">
        <f t="shared" si="211"/>
        <v>SWHC027-09 PTAC PTHP</v>
      </c>
      <c r="E850" s="3" t="str">
        <f t="shared" si="213"/>
        <v>SWHC027-09 PTAC PTHP_MFm_Ex</v>
      </c>
      <c r="F850" t="s">
        <v>197</v>
      </c>
      <c r="G850" t="str">
        <f t="shared" si="214"/>
        <v>RE-HV-PTAC-12.84EER</v>
      </c>
      <c r="H850" t="str">
        <f t="shared" si="215"/>
        <v>RE-HV-PTAC-10.70EER</v>
      </c>
      <c r="I850" t="str">
        <f t="shared" si="216"/>
        <v>RE-HV-PTAC-10.70EER</v>
      </c>
      <c r="J850" t="str">
        <f t="shared" si="217"/>
        <v>RE-HV-PTAC-12.84EER</v>
      </c>
      <c r="K850" t="s">
        <v>196</v>
      </c>
      <c r="L850" t="s">
        <v>196</v>
      </c>
      <c r="M850" t="s">
        <v>197</v>
      </c>
      <c r="N850" s="3" t="str">
        <f t="shared" si="190"/>
        <v>MFm&amp;0&amp;rDXGF&amp;Ex&amp;dxAC_equip__pkgTerm</v>
      </c>
      <c r="O850" s="3" t="s">
        <v>63</v>
      </c>
      <c r="P850" s="3">
        <v>0</v>
      </c>
      <c r="Q850" s="3" t="s">
        <v>51</v>
      </c>
      <c r="R850" s="3" t="s">
        <v>52</v>
      </c>
      <c r="S850" s="3" t="s">
        <v>10734</v>
      </c>
      <c r="T850" s="3" t="str">
        <f t="shared" si="201"/>
        <v>dxAC_equip__pkgTerm</v>
      </c>
      <c r="U850" s="3" t="str">
        <f t="shared" si="205"/>
        <v>dxAC_equip__pkgTerm</v>
      </c>
      <c r="V850" s="3" t="s">
        <v>111</v>
      </c>
      <c r="W850" s="3" t="s">
        <v>193</v>
      </c>
      <c r="X850" s="3" t="s">
        <v>111</v>
      </c>
      <c r="Y850" s="3" t="s">
        <v>193</v>
      </c>
      <c r="AA850" s="3" t="s">
        <v>194</v>
      </c>
    </row>
    <row r="851" spans="1:27" x14ac:dyDescent="0.35">
      <c r="A851" s="3" t="s">
        <v>10771</v>
      </c>
      <c r="B851" s="3" t="s">
        <v>10675</v>
      </c>
      <c r="C851" s="3" t="s">
        <v>10770</v>
      </c>
      <c r="D851" s="3" t="str">
        <f t="shared" si="211"/>
        <v>SWHC027-09 PTAC PTHP</v>
      </c>
      <c r="E851" s="3" t="str">
        <f t="shared" si="213"/>
        <v>SWHC027-09 PTAC PTHP_MFm_Ex</v>
      </c>
      <c r="F851" t="s">
        <v>197</v>
      </c>
      <c r="G851" t="str">
        <f t="shared" si="214"/>
        <v>RE-HV-PTAC-12.84EER</v>
      </c>
      <c r="H851" t="str">
        <f t="shared" si="215"/>
        <v>RE-HV-PTAC-10.70EER</v>
      </c>
      <c r="I851" t="str">
        <f t="shared" si="216"/>
        <v>RE-HV-PTAC-10.70EER</v>
      </c>
      <c r="J851" t="str">
        <f t="shared" si="217"/>
        <v>RE-HV-PTAC-12.84EER</v>
      </c>
      <c r="K851" t="s">
        <v>196</v>
      </c>
      <c r="L851" t="s">
        <v>196</v>
      </c>
      <c r="M851" t="s">
        <v>197</v>
      </c>
      <c r="N851" s="3" t="str">
        <f t="shared" si="190"/>
        <v>MFm&amp;0&amp;rDXGF&amp;Ex&amp;dxAC_equip__pkgTerm</v>
      </c>
      <c r="O851" s="3" t="s">
        <v>63</v>
      </c>
      <c r="P851" s="3">
        <v>0</v>
      </c>
      <c r="Q851" s="3" t="s">
        <v>51</v>
      </c>
      <c r="R851" s="3" t="s">
        <v>52</v>
      </c>
      <c r="S851" s="3" t="s">
        <v>10734</v>
      </c>
      <c r="T851" s="3" t="str">
        <f t="shared" si="201"/>
        <v>dxAC_equip__pkgTerm</v>
      </c>
      <c r="U851" s="3" t="str">
        <f t="shared" si="205"/>
        <v>dxAC_equip__pkgTerm</v>
      </c>
      <c r="V851" s="3" t="s">
        <v>111</v>
      </c>
      <c r="W851" s="3" t="s">
        <v>193</v>
      </c>
      <c r="X851" s="3" t="s">
        <v>111</v>
      </c>
      <c r="Y851" s="3" t="s">
        <v>193</v>
      </c>
      <c r="AA851" s="3" t="s">
        <v>194</v>
      </c>
    </row>
    <row r="852" spans="1:27" x14ac:dyDescent="0.35">
      <c r="A852" s="3" t="s">
        <v>10771</v>
      </c>
      <c r="B852" s="3" t="s">
        <v>10675</v>
      </c>
      <c r="C852" s="3" t="s">
        <v>10770</v>
      </c>
      <c r="D852" s="3" t="str">
        <f t="shared" si="211"/>
        <v>SWHC027-09 PTAC PTHP</v>
      </c>
      <c r="E852" s="3" t="str">
        <f t="shared" si="213"/>
        <v>SWHC027-09 PTAC PTHP_MFm_Ex</v>
      </c>
      <c r="F852" t="s">
        <v>197</v>
      </c>
      <c r="G852" t="str">
        <f t="shared" si="214"/>
        <v>RE-HV-PTAC-12.84EER</v>
      </c>
      <c r="H852" t="str">
        <f t="shared" si="215"/>
        <v>RE-HV-PTAC-10.70EER</v>
      </c>
      <c r="I852" t="str">
        <f t="shared" si="216"/>
        <v>RE-HV-PTAC-10.70EER</v>
      </c>
      <c r="J852" t="str">
        <f t="shared" si="217"/>
        <v>RE-HV-PTAC-12.84EER</v>
      </c>
      <c r="K852" t="s">
        <v>196</v>
      </c>
      <c r="L852" t="s">
        <v>196</v>
      </c>
      <c r="M852" t="s">
        <v>197</v>
      </c>
      <c r="N852" s="3" t="str">
        <f t="shared" si="190"/>
        <v>MFm&amp;0&amp;rDXGF&amp;Ex&amp;dxAC_equip__pkgTerm</v>
      </c>
      <c r="O852" s="3" t="s">
        <v>63</v>
      </c>
      <c r="P852" s="3">
        <v>0</v>
      </c>
      <c r="Q852" s="3" t="s">
        <v>51</v>
      </c>
      <c r="R852" s="3" t="s">
        <v>52</v>
      </c>
      <c r="S852" s="3" t="s">
        <v>10734</v>
      </c>
      <c r="T852" s="3" t="str">
        <f t="shared" si="201"/>
        <v>dxAC_equip__pkgTerm</v>
      </c>
      <c r="U852" s="3" t="str">
        <f t="shared" si="205"/>
        <v>dxAC_equip__pkgTerm</v>
      </c>
      <c r="V852" s="3" t="s">
        <v>111</v>
      </c>
      <c r="W852" s="3" t="s">
        <v>193</v>
      </c>
      <c r="X852" s="3" t="s">
        <v>111</v>
      </c>
      <c r="Y852" s="3" t="s">
        <v>193</v>
      </c>
      <c r="AA852" s="3" t="s">
        <v>194</v>
      </c>
    </row>
    <row r="853" spans="1:27" x14ac:dyDescent="0.35">
      <c r="A853" s="3" t="s">
        <v>10771</v>
      </c>
      <c r="B853" s="3" t="s">
        <v>10675</v>
      </c>
      <c r="C853" s="3" t="s">
        <v>10770</v>
      </c>
      <c r="D853" s="3" t="str">
        <f t="shared" si="211"/>
        <v>SWHC027-09 PTAC PTHP</v>
      </c>
      <c r="E853" s="3" t="str">
        <f t="shared" si="213"/>
        <v>SWHC027-09 PTAC PTHP_MFm_Ex</v>
      </c>
      <c r="F853" t="s">
        <v>201</v>
      </c>
      <c r="G853" t="str">
        <f t="shared" si="214"/>
        <v>RE-HV-PTHP-10.15EER-3.13COP</v>
      </c>
      <c r="H853" t="str">
        <f t="shared" si="215"/>
        <v>RE-HV-PTHP-8.46EER-2.61COP</v>
      </c>
      <c r="I853" t="str">
        <f t="shared" si="216"/>
        <v>RE-HV-PTHP-8.46EER-2.61COP</v>
      </c>
      <c r="J853" t="str">
        <f t="shared" si="217"/>
        <v>RE-HV-PTHP-10.15EER-3.13COP</v>
      </c>
      <c r="K853" t="s">
        <v>200</v>
      </c>
      <c r="L853" t="s">
        <v>200</v>
      </c>
      <c r="M853" t="s">
        <v>201</v>
      </c>
      <c r="N853" s="3" t="str">
        <f t="shared" si="190"/>
        <v>MFm&amp;0&amp;rDXHP&amp;Ex&amp;dxHP_equip__pkgTerm</v>
      </c>
      <c r="O853" s="3" t="s">
        <v>63</v>
      </c>
      <c r="P853" s="3">
        <v>0</v>
      </c>
      <c r="Q853" s="3" t="s">
        <v>57</v>
      </c>
      <c r="R853" s="3" t="s">
        <v>52</v>
      </c>
      <c r="S853" s="3" t="s">
        <v>10734</v>
      </c>
      <c r="T853" s="3" t="str">
        <f t="shared" ref="T853" si="218">V853&amp;"__"&amp;W853</f>
        <v>dxHP_equip__pkgTerm</v>
      </c>
      <c r="U853" s="3" t="str">
        <f t="shared" ref="U853" si="219">X853&amp;"__"&amp;Y853</f>
        <v>dxHP_equip__pkgTerm</v>
      </c>
      <c r="V853" s="3" t="s">
        <v>105</v>
      </c>
      <c r="W853" s="3" t="s">
        <v>193</v>
      </c>
      <c r="X853" s="3" t="s">
        <v>105</v>
      </c>
      <c r="Y853" s="3" t="s">
        <v>193</v>
      </c>
      <c r="AA853" s="3" t="s">
        <v>194</v>
      </c>
    </row>
    <row r="854" spans="1:27" x14ac:dyDescent="0.35">
      <c r="A854" s="3" t="s">
        <v>10771</v>
      </c>
      <c r="B854" s="3" t="s">
        <v>10675</v>
      </c>
      <c r="C854" s="3" t="s">
        <v>10770</v>
      </c>
      <c r="D854" s="3" t="str">
        <f t="shared" si="211"/>
        <v>SWHC027-09 PTAC PTHP</v>
      </c>
      <c r="E854" s="3" t="str">
        <f t="shared" si="213"/>
        <v>SWHC027-09 PTAC PTHP_MFm_Ex</v>
      </c>
      <c r="F854" t="s">
        <v>201</v>
      </c>
      <c r="G854" t="str">
        <f t="shared" si="214"/>
        <v>RE-HV-PTHP-10.15EER-3.13COP</v>
      </c>
      <c r="H854" t="str">
        <f t="shared" si="215"/>
        <v>RE-HV-PTHP-8.46EER-2.61COP</v>
      </c>
      <c r="I854" t="str">
        <f t="shared" si="216"/>
        <v>RE-HV-PTHP-8.46EER-2.61COP</v>
      </c>
      <c r="J854" t="str">
        <f t="shared" si="217"/>
        <v>RE-HV-PTHP-10.15EER-3.13COP</v>
      </c>
      <c r="K854" t="s">
        <v>200</v>
      </c>
      <c r="L854" t="s">
        <v>200</v>
      </c>
      <c r="M854" t="s">
        <v>201</v>
      </c>
      <c r="N854" s="3" t="str">
        <f t="shared" si="190"/>
        <v>MFm&amp;0&amp;rDXHP&amp;Ex&amp;dxHP_equip__pkgTerm</v>
      </c>
      <c r="O854" s="3" t="s">
        <v>63</v>
      </c>
      <c r="P854" s="3">
        <v>0</v>
      </c>
      <c r="Q854" s="3" t="s">
        <v>57</v>
      </c>
      <c r="R854" s="3" t="s">
        <v>52</v>
      </c>
      <c r="S854" s="3" t="s">
        <v>10734</v>
      </c>
      <c r="T854" s="3" t="str">
        <f t="shared" ref="T854:T871" si="220">V854&amp;"__"&amp;W854</f>
        <v>dxHP_equip__pkgTerm</v>
      </c>
      <c r="U854" s="3" t="str">
        <f t="shared" ref="U854:U871" si="221">X854&amp;"__"&amp;Y854</f>
        <v>dxHP_equip__pkgTerm</v>
      </c>
      <c r="V854" s="3" t="s">
        <v>105</v>
      </c>
      <c r="W854" s="3" t="s">
        <v>193</v>
      </c>
      <c r="X854" s="3" t="s">
        <v>105</v>
      </c>
      <c r="Y854" s="3" t="s">
        <v>193</v>
      </c>
      <c r="AA854" s="3" t="s">
        <v>194</v>
      </c>
    </row>
    <row r="855" spans="1:27" x14ac:dyDescent="0.35">
      <c r="A855" s="3" t="s">
        <v>10771</v>
      </c>
      <c r="B855" s="3" t="s">
        <v>10675</v>
      </c>
      <c r="C855" s="3" t="s">
        <v>10770</v>
      </c>
      <c r="D855" s="3" t="str">
        <f t="shared" si="211"/>
        <v>SWHC027-09 PTAC PTHP</v>
      </c>
      <c r="E855" s="3" t="str">
        <f t="shared" si="213"/>
        <v>SWHC027-09 PTAC PTHP_MFm_Ex</v>
      </c>
      <c r="F855" t="s">
        <v>201</v>
      </c>
      <c r="G855" t="str">
        <f t="shared" si="214"/>
        <v>RE-HV-PTHP-10.15EER-3.13COP</v>
      </c>
      <c r="H855" t="str">
        <f t="shared" si="215"/>
        <v>RE-HV-PTHP-8.46EER-2.61COP</v>
      </c>
      <c r="I855" t="str">
        <f t="shared" si="216"/>
        <v>RE-HV-PTHP-8.46EER-2.61COP</v>
      </c>
      <c r="J855" t="str">
        <f t="shared" si="217"/>
        <v>RE-HV-PTHP-10.15EER-3.13COP</v>
      </c>
      <c r="K855" t="s">
        <v>200</v>
      </c>
      <c r="L855" t="s">
        <v>200</v>
      </c>
      <c r="M855" t="s">
        <v>201</v>
      </c>
      <c r="N855" s="3" t="str">
        <f t="shared" si="190"/>
        <v>MFm&amp;0&amp;rDXHP&amp;Ex&amp;dxHP_equip__pkgTerm</v>
      </c>
      <c r="O855" s="3" t="s">
        <v>63</v>
      </c>
      <c r="P855" s="3">
        <v>0</v>
      </c>
      <c r="Q855" s="3" t="s">
        <v>57</v>
      </c>
      <c r="R855" s="3" t="s">
        <v>52</v>
      </c>
      <c r="S855" s="3" t="s">
        <v>10734</v>
      </c>
      <c r="T855" s="3" t="str">
        <f t="shared" si="220"/>
        <v>dxHP_equip__pkgTerm</v>
      </c>
      <c r="U855" s="3" t="str">
        <f t="shared" si="221"/>
        <v>dxHP_equip__pkgTerm</v>
      </c>
      <c r="V855" s="3" t="s">
        <v>105</v>
      </c>
      <c r="W855" s="3" t="s">
        <v>193</v>
      </c>
      <c r="X855" s="3" t="s">
        <v>105</v>
      </c>
      <c r="Y855" s="3" t="s">
        <v>193</v>
      </c>
      <c r="AA855" s="3" t="s">
        <v>194</v>
      </c>
    </row>
    <row r="856" spans="1:27" x14ac:dyDescent="0.35">
      <c r="A856" s="3" t="s">
        <v>10771</v>
      </c>
      <c r="B856" s="3" t="s">
        <v>10675</v>
      </c>
      <c r="C856" s="3" t="s">
        <v>10770</v>
      </c>
      <c r="D856" s="3" t="str">
        <f>_xlfn.CONCAT(C856, " ", A856)</f>
        <v>SWHC027-09 PTAC PTHP</v>
      </c>
      <c r="E856" s="3" t="str">
        <f t="shared" si="213"/>
        <v>SWHC027-09 PTAC PTHP_MFm_Ex</v>
      </c>
      <c r="F856" t="s">
        <v>204</v>
      </c>
      <c r="G856" t="str">
        <f>F856</f>
        <v>RE-HV-PTHP-12.84EER-3.76COP</v>
      </c>
      <c r="H856" t="str">
        <f>K856</f>
        <v>RE-HV-PTHP-10.70EER-3.13COP</v>
      </c>
      <c r="I856" t="str">
        <f t="shared" si="216"/>
        <v>RE-HV-PTHP-10.70EER-3.13COP</v>
      </c>
      <c r="J856" t="str">
        <f t="shared" si="217"/>
        <v>RE-HV-PTHP-12.84EER-3.76COP</v>
      </c>
      <c r="K856" t="s">
        <v>203</v>
      </c>
      <c r="L856" t="s">
        <v>203</v>
      </c>
      <c r="M856" t="s">
        <v>204</v>
      </c>
      <c r="N856" s="3" t="str">
        <f t="shared" si="190"/>
        <v>MFm&amp;0&amp;rDXHP&amp;Ex&amp;dxHP_equip__pkgTerm</v>
      </c>
      <c r="O856" s="3" t="s">
        <v>63</v>
      </c>
      <c r="P856" s="3">
        <v>0</v>
      </c>
      <c r="Q856" s="3" t="s">
        <v>57</v>
      </c>
      <c r="R856" s="3" t="s">
        <v>52</v>
      </c>
      <c r="S856" s="3" t="s">
        <v>10734</v>
      </c>
      <c r="T856" s="3" t="str">
        <f t="shared" si="220"/>
        <v>dxHP_equip__pkgTerm</v>
      </c>
      <c r="U856" s="3" t="str">
        <f t="shared" si="221"/>
        <v>dxHP_equip__pkgTerm</v>
      </c>
      <c r="V856" s="3" t="s">
        <v>105</v>
      </c>
      <c r="W856" s="3" t="s">
        <v>193</v>
      </c>
      <c r="X856" s="3" t="s">
        <v>105</v>
      </c>
      <c r="Y856" s="3" t="s">
        <v>193</v>
      </c>
      <c r="AA856" s="3" t="s">
        <v>194</v>
      </c>
    </row>
    <row r="857" spans="1:27" x14ac:dyDescent="0.35">
      <c r="A857" s="3" t="s">
        <v>10771</v>
      </c>
      <c r="B857" s="3" t="s">
        <v>10675</v>
      </c>
      <c r="C857" s="3" t="s">
        <v>10770</v>
      </c>
      <c r="D857" s="3" t="str">
        <f t="shared" ref="D857:D861" si="222">_xlfn.CONCAT(C857, " ", A857)</f>
        <v>SWHC027-09 PTAC PTHP</v>
      </c>
      <c r="E857" s="3" t="str">
        <f t="shared" si="213"/>
        <v>SWHC027-09 PTAC PTHP_MFm_Ex</v>
      </c>
      <c r="F857" t="s">
        <v>204</v>
      </c>
      <c r="G857" t="str">
        <f t="shared" si="214"/>
        <v>RE-HV-PTHP-12.84EER-3.76COP</v>
      </c>
      <c r="H857" t="str">
        <f t="shared" ref="H857:H867" si="223">K857</f>
        <v>RE-HV-PTHP-10.70EER-3.13COP</v>
      </c>
      <c r="I857" t="str">
        <f t="shared" ref="I857:I920" si="224">L857</f>
        <v>RE-HV-PTHP-10.70EER-3.13COP</v>
      </c>
      <c r="J857" t="str">
        <f t="shared" ref="J857:J920" si="225">M857</f>
        <v>RE-HV-PTHP-12.84EER-3.76COP</v>
      </c>
      <c r="K857" t="s">
        <v>203</v>
      </c>
      <c r="L857" t="s">
        <v>203</v>
      </c>
      <c r="M857" t="s">
        <v>204</v>
      </c>
      <c r="N857" s="3" t="str">
        <f t="shared" si="190"/>
        <v>MFm&amp;0&amp;rDXHP&amp;Ex&amp;dxHP_equip__pkgTerm</v>
      </c>
      <c r="O857" s="3" t="s">
        <v>63</v>
      </c>
      <c r="P857" s="3">
        <v>0</v>
      </c>
      <c r="Q857" s="3" t="s">
        <v>57</v>
      </c>
      <c r="R857" s="3" t="s">
        <v>52</v>
      </c>
      <c r="S857" s="3" t="s">
        <v>10734</v>
      </c>
      <c r="T857" s="3" t="str">
        <f t="shared" si="220"/>
        <v>dxHP_equip__pkgTerm</v>
      </c>
      <c r="U857" s="3" t="str">
        <f t="shared" si="221"/>
        <v>dxHP_equip__pkgTerm</v>
      </c>
      <c r="V857" s="3" t="s">
        <v>105</v>
      </c>
      <c r="W857" s="3" t="s">
        <v>193</v>
      </c>
      <c r="X857" s="3" t="s">
        <v>105</v>
      </c>
      <c r="Y857" s="3" t="s">
        <v>193</v>
      </c>
      <c r="AA857" s="3" t="s">
        <v>194</v>
      </c>
    </row>
    <row r="858" spans="1:27" x14ac:dyDescent="0.35">
      <c r="A858" s="3" t="s">
        <v>10771</v>
      </c>
      <c r="B858" s="3" t="s">
        <v>10675</v>
      </c>
      <c r="C858" s="3" t="s">
        <v>10770</v>
      </c>
      <c r="D858" s="3" t="str">
        <f t="shared" si="222"/>
        <v>SWHC027-09 PTAC PTHP</v>
      </c>
      <c r="E858" s="3" t="str">
        <f t="shared" si="213"/>
        <v>SWHC027-09 PTAC PTHP_MFm_Ex</v>
      </c>
      <c r="F858" t="s">
        <v>204</v>
      </c>
      <c r="G858" t="str">
        <f t="shared" si="214"/>
        <v>RE-HV-PTHP-12.84EER-3.76COP</v>
      </c>
      <c r="H858" t="str">
        <f t="shared" si="223"/>
        <v>RE-HV-PTHP-10.70EER-3.13COP</v>
      </c>
      <c r="I858" t="str">
        <f t="shared" si="224"/>
        <v>RE-HV-PTHP-10.70EER-3.13COP</v>
      </c>
      <c r="J858" t="str">
        <f t="shared" si="225"/>
        <v>RE-HV-PTHP-12.84EER-3.76COP</v>
      </c>
      <c r="K858" t="s">
        <v>203</v>
      </c>
      <c r="L858" t="s">
        <v>203</v>
      </c>
      <c r="M858" t="s">
        <v>204</v>
      </c>
      <c r="N858" s="3" t="str">
        <f t="shared" si="190"/>
        <v>MFm&amp;0&amp;rDXHP&amp;Ex&amp;dxHP_equip__pkgTerm</v>
      </c>
      <c r="O858" s="3" t="s">
        <v>63</v>
      </c>
      <c r="P858" s="3">
        <v>0</v>
      </c>
      <c r="Q858" s="3" t="s">
        <v>57</v>
      </c>
      <c r="R858" s="3" t="s">
        <v>52</v>
      </c>
      <c r="S858" s="3" t="s">
        <v>10734</v>
      </c>
      <c r="T858" s="3" t="str">
        <f t="shared" si="220"/>
        <v>dxHP_equip__pkgTerm</v>
      </c>
      <c r="U858" s="3" t="str">
        <f t="shared" si="221"/>
        <v>dxHP_equip__pkgTerm</v>
      </c>
      <c r="V858" s="3" t="s">
        <v>105</v>
      </c>
      <c r="W858" s="3" t="s">
        <v>193</v>
      </c>
      <c r="X858" s="3" t="s">
        <v>105</v>
      </c>
      <c r="Y858" s="3" t="s">
        <v>193</v>
      </c>
      <c r="AA858" s="3" t="s">
        <v>194</v>
      </c>
    </row>
    <row r="859" spans="1:27" x14ac:dyDescent="0.35">
      <c r="A859" s="3" t="s">
        <v>10771</v>
      </c>
      <c r="B859" s="3" t="s">
        <v>10675</v>
      </c>
      <c r="C859" s="3" t="s">
        <v>10770</v>
      </c>
      <c r="D859" s="3" t="str">
        <f t="shared" si="222"/>
        <v>SWHC027-09 PTAC PTHP</v>
      </c>
      <c r="E859" s="3" t="str">
        <f t="shared" si="213"/>
        <v>SWHC027-09 PTAC PTHP_MFm_Ex</v>
      </c>
      <c r="F859" t="s">
        <v>204</v>
      </c>
      <c r="G859" t="str">
        <f t="shared" si="214"/>
        <v>RE-HV-PTHP-12.84EER-3.76COP</v>
      </c>
      <c r="H859" t="str">
        <f t="shared" si="223"/>
        <v>RE-HV-PTHP-10.70EER-3.13COP</v>
      </c>
      <c r="I859" t="str">
        <f t="shared" si="224"/>
        <v>RE-HV-PTHP-10.70EER-3.13COP</v>
      </c>
      <c r="J859" t="str">
        <f t="shared" si="225"/>
        <v>RE-HV-PTHP-12.84EER-3.76COP</v>
      </c>
      <c r="K859" t="s">
        <v>203</v>
      </c>
      <c r="L859" t="s">
        <v>203</v>
      </c>
      <c r="M859" t="s">
        <v>204</v>
      </c>
      <c r="N859" s="3" t="str">
        <f t="shared" si="190"/>
        <v>MFm&amp;0&amp;rDXHP&amp;Ex&amp;dxHP_equip__pkgTerm</v>
      </c>
      <c r="O859" s="3" t="s">
        <v>63</v>
      </c>
      <c r="P859" s="3">
        <v>0</v>
      </c>
      <c r="Q859" s="3" t="s">
        <v>57</v>
      </c>
      <c r="R859" s="3" t="s">
        <v>52</v>
      </c>
      <c r="S859" s="3" t="s">
        <v>10734</v>
      </c>
      <c r="T859" s="3" t="str">
        <f t="shared" si="220"/>
        <v>dxHP_equip__pkgTerm</v>
      </c>
      <c r="U859" s="3" t="str">
        <f t="shared" si="221"/>
        <v>dxHP_equip__pkgTerm</v>
      </c>
      <c r="V859" s="3" t="s">
        <v>105</v>
      </c>
      <c r="W859" s="3" t="s">
        <v>193</v>
      </c>
      <c r="X859" s="3" t="s">
        <v>105</v>
      </c>
      <c r="Y859" s="3" t="s">
        <v>193</v>
      </c>
      <c r="AA859" s="3" t="s">
        <v>194</v>
      </c>
    </row>
    <row r="860" spans="1:27" x14ac:dyDescent="0.35">
      <c r="A860" s="3" t="s">
        <v>10771</v>
      </c>
      <c r="B860" s="3" t="s">
        <v>10675</v>
      </c>
      <c r="C860" s="3" t="s">
        <v>10770</v>
      </c>
      <c r="D860" s="3" t="str">
        <f t="shared" si="222"/>
        <v>SWHC027-09 PTAC PTHP</v>
      </c>
      <c r="E860" s="3" t="str">
        <f t="shared" si="213"/>
        <v>SWHC027-09 PTAC PTHP_MFm_Ex</v>
      </c>
      <c r="F860" t="s">
        <v>204</v>
      </c>
      <c r="G860" t="str">
        <f t="shared" si="214"/>
        <v>RE-HV-PTHP-12.84EER-3.76COP</v>
      </c>
      <c r="H860" t="str">
        <f t="shared" si="223"/>
        <v>RE-HV-PTHP-10.70EER-3.13COP</v>
      </c>
      <c r="I860" t="str">
        <f t="shared" si="224"/>
        <v>RE-HV-PTHP-10.70EER-3.13COP</v>
      </c>
      <c r="J860" t="str">
        <f t="shared" si="225"/>
        <v>RE-HV-PTHP-12.84EER-3.76COP</v>
      </c>
      <c r="K860" t="s">
        <v>203</v>
      </c>
      <c r="L860" t="s">
        <v>203</v>
      </c>
      <c r="M860" t="s">
        <v>204</v>
      </c>
      <c r="N860" s="3" t="str">
        <f t="shared" si="190"/>
        <v>MFm&amp;0&amp;rDXHP&amp;Ex&amp;dxHP_equip__pkgTerm</v>
      </c>
      <c r="O860" s="3" t="s">
        <v>63</v>
      </c>
      <c r="P860" s="3">
        <v>0</v>
      </c>
      <c r="Q860" s="3" t="s">
        <v>57</v>
      </c>
      <c r="R860" s="3" t="s">
        <v>52</v>
      </c>
      <c r="S860" s="3" t="s">
        <v>10734</v>
      </c>
      <c r="T860" s="3" t="str">
        <f t="shared" si="220"/>
        <v>dxHP_equip__pkgTerm</v>
      </c>
      <c r="U860" s="3" t="str">
        <f t="shared" si="221"/>
        <v>dxHP_equip__pkgTerm</v>
      </c>
      <c r="V860" s="3" t="s">
        <v>105</v>
      </c>
      <c r="W860" s="3" t="s">
        <v>193</v>
      </c>
      <c r="X860" s="3" t="s">
        <v>105</v>
      </c>
      <c r="Y860" s="3" t="s">
        <v>193</v>
      </c>
      <c r="AA860" s="3" t="s">
        <v>194</v>
      </c>
    </row>
    <row r="861" spans="1:27" x14ac:dyDescent="0.35">
      <c r="A861" s="3" t="s">
        <v>10771</v>
      </c>
      <c r="B861" s="3" t="s">
        <v>10675</v>
      </c>
      <c r="C861" s="3" t="s">
        <v>10770</v>
      </c>
      <c r="D861" s="3" t="str">
        <f t="shared" si="222"/>
        <v>SWHC027-09 PTAC PTHP</v>
      </c>
      <c r="E861" s="3" t="str">
        <f t="shared" si="213"/>
        <v>SWHC027-09 PTAC PTHP_MFm_Ex</v>
      </c>
      <c r="F861" t="s">
        <v>204</v>
      </c>
      <c r="G861" t="str">
        <f t="shared" si="214"/>
        <v>RE-HV-PTHP-12.84EER-3.76COP</v>
      </c>
      <c r="H861" t="str">
        <f t="shared" si="223"/>
        <v>RE-HV-PTHP-10.70EER-3.13COP</v>
      </c>
      <c r="I861" t="str">
        <f t="shared" si="224"/>
        <v>RE-HV-PTHP-10.70EER-3.13COP</v>
      </c>
      <c r="J861" t="str">
        <f t="shared" si="225"/>
        <v>RE-HV-PTHP-12.84EER-3.76COP</v>
      </c>
      <c r="K861" t="s">
        <v>203</v>
      </c>
      <c r="L861" t="s">
        <v>203</v>
      </c>
      <c r="M861" t="s">
        <v>204</v>
      </c>
      <c r="N861" s="3" t="str">
        <f t="shared" si="190"/>
        <v>MFm&amp;0&amp;rDXHP&amp;Ex&amp;dxHP_equip__pkgTerm</v>
      </c>
      <c r="O861" s="3" t="s">
        <v>63</v>
      </c>
      <c r="P861" s="3">
        <v>0</v>
      </c>
      <c r="Q861" s="3" t="s">
        <v>57</v>
      </c>
      <c r="R861" s="3" t="s">
        <v>52</v>
      </c>
      <c r="S861" s="3" t="s">
        <v>10734</v>
      </c>
      <c r="T861" s="3" t="str">
        <f t="shared" si="220"/>
        <v>dxHP_equip__pkgTerm</v>
      </c>
      <c r="U861" s="3" t="str">
        <f t="shared" si="221"/>
        <v>dxHP_equip__pkgTerm</v>
      </c>
      <c r="V861" s="3" t="s">
        <v>105</v>
      </c>
      <c r="W861" s="3" t="s">
        <v>193</v>
      </c>
      <c r="X861" s="3" t="s">
        <v>105</v>
      </c>
      <c r="Y861" s="3" t="s">
        <v>193</v>
      </c>
      <c r="AA861" s="3" t="s">
        <v>194</v>
      </c>
    </row>
    <row r="862" spans="1:27" x14ac:dyDescent="0.35">
      <c r="A862" s="3" t="s">
        <v>10771</v>
      </c>
      <c r="B862" s="3" t="s">
        <v>10675</v>
      </c>
      <c r="C862" s="3" t="s">
        <v>10770</v>
      </c>
      <c r="D862" s="3" t="str">
        <f t="shared" ref="D862:D1078" si="226">_xlfn.CONCAT(C862, " ", A862)</f>
        <v>SWHC027-09 PTAC PTHP</v>
      </c>
      <c r="E862" s="3" t="str">
        <f t="shared" si="213"/>
        <v>SWHC027-09 PTAC PTHP_MFm_New</v>
      </c>
      <c r="F862" t="s">
        <v>192</v>
      </c>
      <c r="G862" t="str">
        <f t="shared" si="214"/>
        <v>RE-HV-PTAC-10.27EER</v>
      </c>
      <c r="H862" t="str">
        <f t="shared" si="223"/>
        <v>RE-HV-PTAC-8.56EER</v>
      </c>
      <c r="I862" t="str">
        <f t="shared" si="224"/>
        <v>RE-HV-PTAC-8.56EER</v>
      </c>
      <c r="J862" t="str">
        <f t="shared" si="225"/>
        <v>RE-HV-PTAC-10.27EER</v>
      </c>
      <c r="K862" t="s">
        <v>191</v>
      </c>
      <c r="L862" t="s">
        <v>191</v>
      </c>
      <c r="M862" t="s">
        <v>192</v>
      </c>
      <c r="N862" s="3" t="str">
        <f t="shared" si="190"/>
        <v>MFm&amp;0&amp;rDXGF&amp;New&amp;dxAC_equip__pkgTerm</v>
      </c>
      <c r="O862" s="3" t="s">
        <v>63</v>
      </c>
      <c r="P862" s="3">
        <v>0</v>
      </c>
      <c r="Q862" s="3" t="s">
        <v>51</v>
      </c>
      <c r="R862" s="3" t="s">
        <v>107</v>
      </c>
      <c r="S862" s="3" t="s">
        <v>10734</v>
      </c>
      <c r="T862" s="3" t="str">
        <f t="shared" si="220"/>
        <v>dxAC_equip__pkgTerm</v>
      </c>
      <c r="U862" s="3" t="str">
        <f t="shared" si="221"/>
        <v>dxAC_equip__pkgTerm</v>
      </c>
      <c r="V862" s="3" t="s">
        <v>111</v>
      </c>
      <c r="W862" s="3" t="s">
        <v>193</v>
      </c>
      <c r="X862" s="3" t="s">
        <v>111</v>
      </c>
      <c r="Y862" s="3" t="s">
        <v>193</v>
      </c>
      <c r="AA862" s="3" t="s">
        <v>194</v>
      </c>
    </row>
    <row r="863" spans="1:27" x14ac:dyDescent="0.35">
      <c r="A863" s="3" t="s">
        <v>10771</v>
      </c>
      <c r="B863" s="3" t="s">
        <v>10675</v>
      </c>
      <c r="C863" s="3" t="s">
        <v>10770</v>
      </c>
      <c r="D863" s="3" t="str">
        <f t="shared" si="226"/>
        <v>SWHC027-09 PTAC PTHP</v>
      </c>
      <c r="E863" s="3" t="str">
        <f t="shared" si="213"/>
        <v>SWHC027-09 PTAC PTHP_MFm_New</v>
      </c>
      <c r="F863" t="s">
        <v>192</v>
      </c>
      <c r="G863" t="str">
        <f t="shared" si="214"/>
        <v>RE-HV-PTAC-10.27EER</v>
      </c>
      <c r="H863" t="str">
        <f t="shared" si="223"/>
        <v>RE-HV-PTAC-8.56EER</v>
      </c>
      <c r="I863" t="str">
        <f t="shared" si="224"/>
        <v>RE-HV-PTAC-8.56EER</v>
      </c>
      <c r="J863" t="str">
        <f t="shared" si="225"/>
        <v>RE-HV-PTAC-10.27EER</v>
      </c>
      <c r="K863" t="s">
        <v>191</v>
      </c>
      <c r="L863" t="s">
        <v>191</v>
      </c>
      <c r="M863" t="s">
        <v>192</v>
      </c>
      <c r="N863" s="3" t="str">
        <f t="shared" si="190"/>
        <v>MFm&amp;0&amp;rDXGF&amp;New&amp;dxAC_equip__pkgTerm</v>
      </c>
      <c r="O863" s="3" t="s">
        <v>63</v>
      </c>
      <c r="P863" s="3">
        <v>0</v>
      </c>
      <c r="Q863" s="3" t="s">
        <v>51</v>
      </c>
      <c r="R863" s="3" t="s">
        <v>107</v>
      </c>
      <c r="S863" s="3" t="s">
        <v>10734</v>
      </c>
      <c r="T863" s="3" t="str">
        <f t="shared" si="220"/>
        <v>dxAC_equip__pkgTerm</v>
      </c>
      <c r="U863" s="3" t="str">
        <f t="shared" si="221"/>
        <v>dxAC_equip__pkgTerm</v>
      </c>
      <c r="V863" s="3" t="s">
        <v>111</v>
      </c>
      <c r="W863" s="3" t="s">
        <v>193</v>
      </c>
      <c r="X863" s="3" t="s">
        <v>111</v>
      </c>
      <c r="Y863" s="3" t="s">
        <v>193</v>
      </c>
      <c r="AA863" s="3" t="s">
        <v>194</v>
      </c>
    </row>
    <row r="864" spans="1:27" x14ac:dyDescent="0.35">
      <c r="A864" s="3" t="s">
        <v>10771</v>
      </c>
      <c r="B864" s="3" t="s">
        <v>10675</v>
      </c>
      <c r="C864" s="3" t="s">
        <v>10770</v>
      </c>
      <c r="D864" s="3" t="str">
        <f t="shared" si="226"/>
        <v>SWHC027-09 PTAC PTHP</v>
      </c>
      <c r="E864" s="3" t="str">
        <f t="shared" si="213"/>
        <v>SWHC027-09 PTAC PTHP_MFm_New</v>
      </c>
      <c r="F864" t="s">
        <v>192</v>
      </c>
      <c r="G864" t="str">
        <f t="shared" si="214"/>
        <v>RE-HV-PTAC-10.27EER</v>
      </c>
      <c r="H864" t="str">
        <f t="shared" si="223"/>
        <v>RE-HV-PTAC-8.56EER</v>
      </c>
      <c r="I864" t="str">
        <f t="shared" si="224"/>
        <v>RE-HV-PTAC-8.56EER</v>
      </c>
      <c r="J864" t="str">
        <f t="shared" si="225"/>
        <v>RE-HV-PTAC-10.27EER</v>
      </c>
      <c r="K864" t="s">
        <v>191</v>
      </c>
      <c r="L864" t="s">
        <v>191</v>
      </c>
      <c r="M864" t="s">
        <v>192</v>
      </c>
      <c r="N864" s="3" t="str">
        <f t="shared" si="190"/>
        <v>MFm&amp;0&amp;rDXGF&amp;New&amp;dxAC_equip__pkgTerm</v>
      </c>
      <c r="O864" s="3" t="s">
        <v>63</v>
      </c>
      <c r="P864" s="3">
        <v>0</v>
      </c>
      <c r="Q864" s="3" t="s">
        <v>51</v>
      </c>
      <c r="R864" s="3" t="s">
        <v>107</v>
      </c>
      <c r="S864" s="3" t="s">
        <v>10734</v>
      </c>
      <c r="T864" s="3" t="str">
        <f t="shared" si="220"/>
        <v>dxAC_equip__pkgTerm</v>
      </c>
      <c r="U864" s="3" t="str">
        <f t="shared" si="221"/>
        <v>dxAC_equip__pkgTerm</v>
      </c>
      <c r="V864" s="3" t="s">
        <v>111</v>
      </c>
      <c r="W864" s="3" t="s">
        <v>193</v>
      </c>
      <c r="X864" s="3" t="s">
        <v>111</v>
      </c>
      <c r="Y864" s="3" t="s">
        <v>193</v>
      </c>
      <c r="AA864" s="3" t="s">
        <v>194</v>
      </c>
    </row>
    <row r="865" spans="1:27" x14ac:dyDescent="0.35">
      <c r="A865" s="3" t="s">
        <v>10771</v>
      </c>
      <c r="B865" s="3" t="s">
        <v>10675</v>
      </c>
      <c r="C865" s="3" t="s">
        <v>10770</v>
      </c>
      <c r="D865" s="3" t="str">
        <f t="shared" si="226"/>
        <v>SWHC027-09 PTAC PTHP</v>
      </c>
      <c r="E865" s="3" t="str">
        <f t="shared" si="213"/>
        <v>SWHC027-09 PTAC PTHP_MFm_New</v>
      </c>
      <c r="F865" t="s">
        <v>197</v>
      </c>
      <c r="G865" t="str">
        <f t="shared" si="214"/>
        <v>RE-HV-PTAC-12.84EER</v>
      </c>
      <c r="H865" t="str">
        <f t="shared" si="223"/>
        <v>RE-HV-PTAC-10.70EER</v>
      </c>
      <c r="I865" t="str">
        <f t="shared" si="224"/>
        <v>RE-HV-PTAC-10.70EER</v>
      </c>
      <c r="J865" t="str">
        <f t="shared" si="225"/>
        <v>RE-HV-PTAC-12.84EER</v>
      </c>
      <c r="K865" t="s">
        <v>196</v>
      </c>
      <c r="L865" t="s">
        <v>196</v>
      </c>
      <c r="M865" t="s">
        <v>197</v>
      </c>
      <c r="N865" s="3" t="str">
        <f t="shared" si="190"/>
        <v>MFm&amp;0&amp;rDXGF&amp;New&amp;dxAC_equip__pkgTerm</v>
      </c>
      <c r="O865" s="3" t="s">
        <v>63</v>
      </c>
      <c r="P865" s="3">
        <v>0</v>
      </c>
      <c r="Q865" s="3" t="s">
        <v>51</v>
      </c>
      <c r="R865" s="3" t="s">
        <v>107</v>
      </c>
      <c r="S865" s="3" t="s">
        <v>10734</v>
      </c>
      <c r="T865" s="3" t="str">
        <f t="shared" si="220"/>
        <v>dxAC_equip__pkgTerm</v>
      </c>
      <c r="U865" s="3" t="str">
        <f t="shared" si="221"/>
        <v>dxAC_equip__pkgTerm</v>
      </c>
      <c r="V865" s="3" t="s">
        <v>111</v>
      </c>
      <c r="W865" s="3" t="s">
        <v>193</v>
      </c>
      <c r="X865" s="3" t="s">
        <v>111</v>
      </c>
      <c r="Y865" s="3" t="s">
        <v>193</v>
      </c>
      <c r="AA865" s="3" t="s">
        <v>194</v>
      </c>
    </row>
    <row r="866" spans="1:27" x14ac:dyDescent="0.35">
      <c r="A866" s="3" t="s">
        <v>10771</v>
      </c>
      <c r="B866" s="3" t="s">
        <v>10675</v>
      </c>
      <c r="C866" s="3" t="s">
        <v>10770</v>
      </c>
      <c r="D866" s="3" t="str">
        <f t="shared" si="226"/>
        <v>SWHC027-09 PTAC PTHP</v>
      </c>
      <c r="E866" s="3" t="str">
        <f t="shared" si="213"/>
        <v>SWHC027-09 PTAC PTHP_MFm_New</v>
      </c>
      <c r="F866" t="s">
        <v>197</v>
      </c>
      <c r="G866" t="str">
        <f t="shared" si="214"/>
        <v>RE-HV-PTAC-12.84EER</v>
      </c>
      <c r="H866" t="str">
        <f t="shared" si="223"/>
        <v>RE-HV-PTAC-10.70EER</v>
      </c>
      <c r="I866" t="str">
        <f t="shared" si="224"/>
        <v>RE-HV-PTAC-10.70EER</v>
      </c>
      <c r="J866" t="str">
        <f t="shared" si="225"/>
        <v>RE-HV-PTAC-12.84EER</v>
      </c>
      <c r="K866" t="s">
        <v>196</v>
      </c>
      <c r="L866" t="s">
        <v>196</v>
      </c>
      <c r="M866" t="s">
        <v>197</v>
      </c>
      <c r="N866" s="3" t="str">
        <f t="shared" si="190"/>
        <v>MFm&amp;0&amp;rDXGF&amp;New&amp;dxAC_equip__pkgTerm</v>
      </c>
      <c r="O866" s="3" t="s">
        <v>63</v>
      </c>
      <c r="P866" s="3">
        <v>0</v>
      </c>
      <c r="Q866" s="3" t="s">
        <v>51</v>
      </c>
      <c r="R866" s="3" t="s">
        <v>107</v>
      </c>
      <c r="S866" s="3" t="s">
        <v>10734</v>
      </c>
      <c r="T866" s="3" t="str">
        <f t="shared" si="220"/>
        <v>dxAC_equip__pkgTerm</v>
      </c>
      <c r="U866" s="3" t="str">
        <f t="shared" si="221"/>
        <v>dxAC_equip__pkgTerm</v>
      </c>
      <c r="V866" s="3" t="s">
        <v>111</v>
      </c>
      <c r="W866" s="3" t="s">
        <v>193</v>
      </c>
      <c r="X866" s="3" t="s">
        <v>111</v>
      </c>
      <c r="Y866" s="3" t="s">
        <v>193</v>
      </c>
      <c r="AA866" s="3" t="s">
        <v>194</v>
      </c>
    </row>
    <row r="867" spans="1:27" x14ac:dyDescent="0.35">
      <c r="A867" s="3" t="s">
        <v>10771</v>
      </c>
      <c r="B867" s="3" t="s">
        <v>10675</v>
      </c>
      <c r="C867" s="3" t="s">
        <v>10770</v>
      </c>
      <c r="D867" s="3" t="str">
        <f t="shared" si="226"/>
        <v>SWHC027-09 PTAC PTHP</v>
      </c>
      <c r="E867" s="3" t="str">
        <f t="shared" si="213"/>
        <v>SWHC027-09 PTAC PTHP_MFm_New</v>
      </c>
      <c r="F867" t="s">
        <v>197</v>
      </c>
      <c r="G867" t="str">
        <f t="shared" si="214"/>
        <v>RE-HV-PTAC-12.84EER</v>
      </c>
      <c r="H867" t="str">
        <f t="shared" si="223"/>
        <v>RE-HV-PTAC-10.70EER</v>
      </c>
      <c r="I867" t="str">
        <f t="shared" si="224"/>
        <v>RE-HV-PTAC-10.70EER</v>
      </c>
      <c r="J867" t="str">
        <f t="shared" si="225"/>
        <v>RE-HV-PTAC-12.84EER</v>
      </c>
      <c r="K867" t="s">
        <v>196</v>
      </c>
      <c r="L867" t="s">
        <v>196</v>
      </c>
      <c r="M867" t="s">
        <v>197</v>
      </c>
      <c r="N867" s="3" t="str">
        <f t="shared" si="190"/>
        <v>MFm&amp;0&amp;rDXGF&amp;New&amp;dxAC_equip__pkgTerm</v>
      </c>
      <c r="O867" s="3" t="s">
        <v>63</v>
      </c>
      <c r="P867" s="3">
        <v>0</v>
      </c>
      <c r="Q867" s="3" t="s">
        <v>51</v>
      </c>
      <c r="R867" s="3" t="s">
        <v>107</v>
      </c>
      <c r="S867" s="3" t="s">
        <v>10734</v>
      </c>
      <c r="T867" s="3" t="str">
        <f t="shared" si="220"/>
        <v>dxAC_equip__pkgTerm</v>
      </c>
      <c r="U867" s="3" t="str">
        <f t="shared" si="221"/>
        <v>dxAC_equip__pkgTerm</v>
      </c>
      <c r="V867" s="3" t="s">
        <v>111</v>
      </c>
      <c r="W867" s="3" t="s">
        <v>193</v>
      </c>
      <c r="X867" s="3" t="s">
        <v>111</v>
      </c>
      <c r="Y867" s="3" t="s">
        <v>193</v>
      </c>
      <c r="AA867" s="3" t="s">
        <v>194</v>
      </c>
    </row>
    <row r="868" spans="1:27" x14ac:dyDescent="0.35">
      <c r="A868" s="3" t="s">
        <v>10771</v>
      </c>
      <c r="B868" s="3" t="s">
        <v>10675</v>
      </c>
      <c r="C868" s="3" t="s">
        <v>10770</v>
      </c>
      <c r="D868" s="3" t="str">
        <f t="shared" si="226"/>
        <v>SWHC027-09 PTAC PTHP</v>
      </c>
      <c r="E868" s="3" t="str">
        <f t="shared" si="213"/>
        <v>SWHC027-09 PTAC PTHP_MFm_New</v>
      </c>
      <c r="F868" t="s">
        <v>197</v>
      </c>
      <c r="G868" t="str">
        <f>F868</f>
        <v>RE-HV-PTAC-12.84EER</v>
      </c>
      <c r="H868" t="str">
        <f>K868</f>
        <v>RE-HV-PTAC-10.70EER</v>
      </c>
      <c r="I868" t="str">
        <f t="shared" si="224"/>
        <v>RE-HV-PTAC-10.70EER</v>
      </c>
      <c r="J868" t="str">
        <f t="shared" si="225"/>
        <v>RE-HV-PTAC-12.84EER</v>
      </c>
      <c r="K868" t="s">
        <v>196</v>
      </c>
      <c r="L868" t="s">
        <v>196</v>
      </c>
      <c r="M868" t="s">
        <v>197</v>
      </c>
      <c r="N868" s="3" t="str">
        <f t="shared" si="190"/>
        <v>MFm&amp;0&amp;rDXGF&amp;New&amp;dxAC_equip__pkgTerm</v>
      </c>
      <c r="O868" s="3" t="s">
        <v>63</v>
      </c>
      <c r="P868" s="3">
        <v>0</v>
      </c>
      <c r="Q868" s="3" t="s">
        <v>51</v>
      </c>
      <c r="R868" s="3" t="s">
        <v>107</v>
      </c>
      <c r="S868" s="3" t="s">
        <v>10734</v>
      </c>
      <c r="T868" s="3" t="str">
        <f t="shared" si="220"/>
        <v>dxAC_equip__pkgTerm</v>
      </c>
      <c r="U868" s="3" t="str">
        <f t="shared" si="221"/>
        <v>dxAC_equip__pkgTerm</v>
      </c>
      <c r="V868" s="3" t="s">
        <v>111</v>
      </c>
      <c r="W868" s="3" t="s">
        <v>193</v>
      </c>
      <c r="X868" s="3" t="s">
        <v>111</v>
      </c>
      <c r="Y868" s="3" t="s">
        <v>193</v>
      </c>
      <c r="AA868" s="3" t="s">
        <v>194</v>
      </c>
    </row>
    <row r="869" spans="1:27" x14ac:dyDescent="0.35">
      <c r="A869" s="3" t="s">
        <v>10771</v>
      </c>
      <c r="B869" s="3" t="s">
        <v>10675</v>
      </c>
      <c r="C869" s="3" t="s">
        <v>10770</v>
      </c>
      <c r="D869" s="3" t="str">
        <f t="shared" si="226"/>
        <v>SWHC027-09 PTAC PTHP</v>
      </c>
      <c r="E869" s="3" t="str">
        <f t="shared" si="213"/>
        <v>SWHC027-09 PTAC PTHP_MFm_New</v>
      </c>
      <c r="F869" t="s">
        <v>197</v>
      </c>
      <c r="G869" t="str">
        <f t="shared" si="214"/>
        <v>RE-HV-PTAC-12.84EER</v>
      </c>
      <c r="H869" t="str">
        <f t="shared" ref="H869:H879" si="227">K869</f>
        <v>RE-HV-PTAC-10.70EER</v>
      </c>
      <c r="I869" t="str">
        <f t="shared" si="224"/>
        <v>RE-HV-PTAC-10.70EER</v>
      </c>
      <c r="J869" t="str">
        <f t="shared" si="225"/>
        <v>RE-HV-PTAC-12.84EER</v>
      </c>
      <c r="K869" t="s">
        <v>196</v>
      </c>
      <c r="L869" t="s">
        <v>196</v>
      </c>
      <c r="M869" t="s">
        <v>197</v>
      </c>
      <c r="N869" s="3" t="str">
        <f t="shared" si="190"/>
        <v>MFm&amp;0&amp;rDXGF&amp;New&amp;dxAC_equip__pkgTerm</v>
      </c>
      <c r="O869" s="3" t="s">
        <v>63</v>
      </c>
      <c r="P869" s="3">
        <v>0</v>
      </c>
      <c r="Q869" s="3" t="s">
        <v>51</v>
      </c>
      <c r="R869" s="3" t="s">
        <v>107</v>
      </c>
      <c r="S869" s="3" t="s">
        <v>10734</v>
      </c>
      <c r="T869" s="3" t="str">
        <f t="shared" si="220"/>
        <v>dxAC_equip__pkgTerm</v>
      </c>
      <c r="U869" s="3" t="str">
        <f t="shared" si="221"/>
        <v>dxAC_equip__pkgTerm</v>
      </c>
      <c r="V869" s="3" t="s">
        <v>111</v>
      </c>
      <c r="W869" s="3" t="s">
        <v>193</v>
      </c>
      <c r="X869" s="3" t="s">
        <v>111</v>
      </c>
      <c r="Y869" s="3" t="s">
        <v>193</v>
      </c>
      <c r="AA869" s="3" t="s">
        <v>194</v>
      </c>
    </row>
    <row r="870" spans="1:27" x14ac:dyDescent="0.35">
      <c r="A870" s="3" t="s">
        <v>10771</v>
      </c>
      <c r="B870" s="3" t="s">
        <v>10675</v>
      </c>
      <c r="C870" s="3" t="s">
        <v>10770</v>
      </c>
      <c r="D870" s="3" t="str">
        <f t="shared" si="226"/>
        <v>SWHC027-09 PTAC PTHP</v>
      </c>
      <c r="E870" s="3" t="str">
        <f t="shared" si="213"/>
        <v>SWHC027-09 PTAC PTHP_MFm_New</v>
      </c>
      <c r="F870" t="s">
        <v>197</v>
      </c>
      <c r="G870" t="str">
        <f t="shared" si="214"/>
        <v>RE-HV-PTAC-12.84EER</v>
      </c>
      <c r="H870" t="str">
        <f t="shared" si="227"/>
        <v>RE-HV-PTAC-10.70EER</v>
      </c>
      <c r="I870" t="str">
        <f t="shared" si="224"/>
        <v>RE-HV-PTAC-10.70EER</v>
      </c>
      <c r="J870" t="str">
        <f t="shared" si="225"/>
        <v>RE-HV-PTAC-12.84EER</v>
      </c>
      <c r="K870" t="s">
        <v>196</v>
      </c>
      <c r="L870" t="s">
        <v>196</v>
      </c>
      <c r="M870" t="s">
        <v>197</v>
      </c>
      <c r="N870" s="3" t="str">
        <f t="shared" si="190"/>
        <v>MFm&amp;0&amp;rDXGF&amp;New&amp;dxAC_equip__pkgTerm</v>
      </c>
      <c r="O870" s="3" t="s">
        <v>63</v>
      </c>
      <c r="P870" s="3">
        <v>0</v>
      </c>
      <c r="Q870" s="3" t="s">
        <v>51</v>
      </c>
      <c r="R870" s="3" t="s">
        <v>107</v>
      </c>
      <c r="S870" s="3" t="s">
        <v>10734</v>
      </c>
      <c r="T870" s="3" t="str">
        <f t="shared" si="220"/>
        <v>dxAC_equip__pkgTerm</v>
      </c>
      <c r="U870" s="3" t="str">
        <f t="shared" si="221"/>
        <v>dxAC_equip__pkgTerm</v>
      </c>
      <c r="V870" s="3" t="s">
        <v>111</v>
      </c>
      <c r="W870" s="3" t="s">
        <v>193</v>
      </c>
      <c r="X870" s="3" t="s">
        <v>111</v>
      </c>
      <c r="Y870" s="3" t="s">
        <v>193</v>
      </c>
      <c r="AA870" s="3" t="s">
        <v>194</v>
      </c>
    </row>
    <row r="871" spans="1:27" x14ac:dyDescent="0.35">
      <c r="A871" s="3" t="s">
        <v>10771</v>
      </c>
      <c r="B871" s="3" t="s">
        <v>10675</v>
      </c>
      <c r="C871" s="3" t="s">
        <v>10770</v>
      </c>
      <c r="D871" s="3" t="str">
        <f t="shared" si="226"/>
        <v>SWHC027-09 PTAC PTHP</v>
      </c>
      <c r="E871" s="3" t="str">
        <f t="shared" si="213"/>
        <v>SWHC027-09 PTAC PTHP_MFm_New</v>
      </c>
      <c r="F871" t="s">
        <v>201</v>
      </c>
      <c r="G871" t="str">
        <f t="shared" si="214"/>
        <v>RE-HV-PTHP-10.15EER-3.13COP</v>
      </c>
      <c r="H871" t="str">
        <f t="shared" si="227"/>
        <v>RE-HV-PTHP-8.46EER-2.61COP</v>
      </c>
      <c r="I871" t="str">
        <f t="shared" si="224"/>
        <v>RE-HV-PTHP-8.46EER-2.61COP</v>
      </c>
      <c r="J871" t="str">
        <f t="shared" si="225"/>
        <v>RE-HV-PTHP-10.15EER-3.13COP</v>
      </c>
      <c r="K871" t="s">
        <v>200</v>
      </c>
      <c r="L871" t="s">
        <v>200</v>
      </c>
      <c r="M871" t="s">
        <v>201</v>
      </c>
      <c r="N871" s="3" t="str">
        <f t="shared" si="190"/>
        <v>MFm&amp;0&amp;rDXHP&amp;New&amp;dxHP_equip__pkgTerm</v>
      </c>
      <c r="O871" s="3" t="s">
        <v>63</v>
      </c>
      <c r="P871" s="3">
        <v>0</v>
      </c>
      <c r="Q871" s="3" t="s">
        <v>57</v>
      </c>
      <c r="R871" s="3" t="s">
        <v>107</v>
      </c>
      <c r="S871" s="3" t="s">
        <v>10734</v>
      </c>
      <c r="T871" s="3" t="str">
        <f t="shared" si="220"/>
        <v>dxHP_equip__pkgTerm</v>
      </c>
      <c r="U871" s="3" t="str">
        <f t="shared" si="221"/>
        <v>dxHP_equip__pkgTerm</v>
      </c>
      <c r="V871" s="3" t="s">
        <v>105</v>
      </c>
      <c r="W871" s="3" t="s">
        <v>193</v>
      </c>
      <c r="X871" s="3" t="s">
        <v>105</v>
      </c>
      <c r="Y871" s="3" t="s">
        <v>193</v>
      </c>
      <c r="AA871" s="3" t="s">
        <v>194</v>
      </c>
    </row>
    <row r="872" spans="1:27" x14ac:dyDescent="0.35">
      <c r="A872" s="3" t="s">
        <v>10771</v>
      </c>
      <c r="B872" s="3" t="s">
        <v>10675</v>
      </c>
      <c r="C872" s="3" t="s">
        <v>10770</v>
      </c>
      <c r="D872" s="3" t="str">
        <f t="shared" si="226"/>
        <v>SWHC027-09 PTAC PTHP</v>
      </c>
      <c r="E872" s="3" t="str">
        <f t="shared" si="213"/>
        <v>SWHC027-09 PTAC PTHP_MFm_New</v>
      </c>
      <c r="F872" t="s">
        <v>201</v>
      </c>
      <c r="G872" t="str">
        <f t="shared" si="214"/>
        <v>RE-HV-PTHP-10.15EER-3.13COP</v>
      </c>
      <c r="H872" t="str">
        <f t="shared" si="227"/>
        <v>RE-HV-PTHP-8.46EER-2.61COP</v>
      </c>
      <c r="I872" t="str">
        <f t="shared" si="224"/>
        <v>RE-HV-PTHP-8.46EER-2.61COP</v>
      </c>
      <c r="J872" t="str">
        <f t="shared" si="225"/>
        <v>RE-HV-PTHP-10.15EER-3.13COP</v>
      </c>
      <c r="K872" t="s">
        <v>200</v>
      </c>
      <c r="L872" t="s">
        <v>200</v>
      </c>
      <c r="M872" t="s">
        <v>201</v>
      </c>
      <c r="N872" s="3" t="str">
        <f t="shared" si="190"/>
        <v>MFm&amp;0&amp;rDXHP&amp;New&amp;dxHP_equip__pkgTerm</v>
      </c>
      <c r="O872" s="3" t="s">
        <v>63</v>
      </c>
      <c r="P872" s="3">
        <v>0</v>
      </c>
      <c r="Q872" s="3" t="s">
        <v>57</v>
      </c>
      <c r="R872" s="3" t="s">
        <v>107</v>
      </c>
      <c r="S872" s="3" t="s">
        <v>10734</v>
      </c>
      <c r="T872" s="3" t="str">
        <f t="shared" ref="T872:T907" si="228">V872&amp;"__"&amp;W872</f>
        <v>dxHP_equip__pkgTerm</v>
      </c>
      <c r="U872" s="3" t="str">
        <f t="shared" ref="U872:U907" si="229">X872&amp;"__"&amp;Y872</f>
        <v>dxHP_equip__pkgTerm</v>
      </c>
      <c r="V872" s="3" t="s">
        <v>105</v>
      </c>
      <c r="W872" s="3" t="s">
        <v>193</v>
      </c>
      <c r="X872" s="3" t="s">
        <v>105</v>
      </c>
      <c r="Y872" s="3" t="s">
        <v>193</v>
      </c>
      <c r="AA872" s="3" t="s">
        <v>194</v>
      </c>
    </row>
    <row r="873" spans="1:27" x14ac:dyDescent="0.35">
      <c r="A873" s="3" t="s">
        <v>10771</v>
      </c>
      <c r="B873" s="3" t="s">
        <v>10675</v>
      </c>
      <c r="C873" s="3" t="s">
        <v>10770</v>
      </c>
      <c r="D873" s="3" t="str">
        <f t="shared" si="226"/>
        <v>SWHC027-09 PTAC PTHP</v>
      </c>
      <c r="E873" s="3" t="str">
        <f t="shared" si="213"/>
        <v>SWHC027-09 PTAC PTHP_MFm_New</v>
      </c>
      <c r="F873" t="s">
        <v>201</v>
      </c>
      <c r="G873" t="str">
        <f t="shared" si="214"/>
        <v>RE-HV-PTHP-10.15EER-3.13COP</v>
      </c>
      <c r="H873" t="str">
        <f t="shared" si="227"/>
        <v>RE-HV-PTHP-8.46EER-2.61COP</v>
      </c>
      <c r="I873" t="str">
        <f t="shared" si="224"/>
        <v>RE-HV-PTHP-8.46EER-2.61COP</v>
      </c>
      <c r="J873" t="str">
        <f t="shared" si="225"/>
        <v>RE-HV-PTHP-10.15EER-3.13COP</v>
      </c>
      <c r="K873" t="s">
        <v>200</v>
      </c>
      <c r="L873" t="s">
        <v>200</v>
      </c>
      <c r="M873" t="s">
        <v>201</v>
      </c>
      <c r="N873" s="3" t="str">
        <f t="shared" si="190"/>
        <v>MFm&amp;0&amp;rDXHP&amp;New&amp;dxHP_equip__pkgTerm</v>
      </c>
      <c r="O873" s="3" t="s">
        <v>63</v>
      </c>
      <c r="P873" s="3">
        <v>0</v>
      </c>
      <c r="Q873" s="3" t="s">
        <v>57</v>
      </c>
      <c r="R873" s="3" t="s">
        <v>107</v>
      </c>
      <c r="S873" s="3" t="s">
        <v>10734</v>
      </c>
      <c r="T873" s="3" t="str">
        <f t="shared" si="228"/>
        <v>dxHP_equip__pkgTerm</v>
      </c>
      <c r="U873" s="3" t="str">
        <f t="shared" si="229"/>
        <v>dxHP_equip__pkgTerm</v>
      </c>
      <c r="V873" s="3" t="s">
        <v>105</v>
      </c>
      <c r="W873" s="3" t="s">
        <v>193</v>
      </c>
      <c r="X873" s="3" t="s">
        <v>105</v>
      </c>
      <c r="Y873" s="3" t="s">
        <v>193</v>
      </c>
      <c r="AA873" s="3" t="s">
        <v>194</v>
      </c>
    </row>
    <row r="874" spans="1:27" x14ac:dyDescent="0.35">
      <c r="A874" s="3" t="s">
        <v>10771</v>
      </c>
      <c r="B874" s="3" t="s">
        <v>10675</v>
      </c>
      <c r="C874" s="3" t="s">
        <v>10770</v>
      </c>
      <c r="D874" s="3" t="str">
        <f t="shared" si="226"/>
        <v>SWHC027-09 PTAC PTHP</v>
      </c>
      <c r="E874" s="3" t="str">
        <f t="shared" si="213"/>
        <v>SWHC027-09 PTAC PTHP_MFm_New</v>
      </c>
      <c r="F874" t="s">
        <v>204</v>
      </c>
      <c r="G874" t="str">
        <f t="shared" si="214"/>
        <v>RE-HV-PTHP-12.84EER-3.76COP</v>
      </c>
      <c r="H874" t="str">
        <f t="shared" si="227"/>
        <v>RE-HV-PTHP-10.70EER-3.13COP</v>
      </c>
      <c r="I874" t="str">
        <f t="shared" si="224"/>
        <v>RE-HV-PTHP-10.70EER-3.13COP</v>
      </c>
      <c r="J874" t="str">
        <f t="shared" si="225"/>
        <v>RE-HV-PTHP-12.84EER-3.76COP</v>
      </c>
      <c r="K874" t="s">
        <v>203</v>
      </c>
      <c r="L874" t="s">
        <v>203</v>
      </c>
      <c r="M874" t="s">
        <v>204</v>
      </c>
      <c r="N874" s="3" t="str">
        <f t="shared" si="190"/>
        <v>MFm&amp;0&amp;rDXHP&amp;New&amp;dxHP_equip__pkgTerm</v>
      </c>
      <c r="O874" s="3" t="s">
        <v>63</v>
      </c>
      <c r="P874" s="3">
        <v>0</v>
      </c>
      <c r="Q874" s="3" t="s">
        <v>57</v>
      </c>
      <c r="R874" s="3" t="s">
        <v>107</v>
      </c>
      <c r="S874" s="3" t="s">
        <v>10734</v>
      </c>
      <c r="T874" s="3" t="str">
        <f t="shared" si="228"/>
        <v>dxHP_equip__pkgTerm</v>
      </c>
      <c r="U874" s="3" t="str">
        <f t="shared" si="229"/>
        <v>dxHP_equip__pkgTerm</v>
      </c>
      <c r="V874" s="3" t="s">
        <v>105</v>
      </c>
      <c r="W874" s="3" t="s">
        <v>193</v>
      </c>
      <c r="X874" s="3" t="s">
        <v>105</v>
      </c>
      <c r="Y874" s="3" t="s">
        <v>193</v>
      </c>
      <c r="AA874" s="3" t="s">
        <v>194</v>
      </c>
    </row>
    <row r="875" spans="1:27" x14ac:dyDescent="0.35">
      <c r="A875" s="3" t="s">
        <v>10771</v>
      </c>
      <c r="B875" s="3" t="s">
        <v>10675</v>
      </c>
      <c r="C875" s="3" t="s">
        <v>10770</v>
      </c>
      <c r="D875" s="3" t="str">
        <f t="shared" si="226"/>
        <v>SWHC027-09 PTAC PTHP</v>
      </c>
      <c r="E875" s="3" t="str">
        <f t="shared" si="213"/>
        <v>SWHC027-09 PTAC PTHP_MFm_New</v>
      </c>
      <c r="F875" t="s">
        <v>204</v>
      </c>
      <c r="G875" t="str">
        <f t="shared" si="214"/>
        <v>RE-HV-PTHP-12.84EER-3.76COP</v>
      </c>
      <c r="H875" t="str">
        <f t="shared" si="227"/>
        <v>RE-HV-PTHP-10.70EER-3.13COP</v>
      </c>
      <c r="I875" t="str">
        <f t="shared" si="224"/>
        <v>RE-HV-PTHP-10.70EER-3.13COP</v>
      </c>
      <c r="J875" t="str">
        <f t="shared" si="225"/>
        <v>RE-HV-PTHP-12.84EER-3.76COP</v>
      </c>
      <c r="K875" t="s">
        <v>203</v>
      </c>
      <c r="L875" t="s">
        <v>203</v>
      </c>
      <c r="M875" t="s">
        <v>204</v>
      </c>
      <c r="N875" s="3" t="str">
        <f t="shared" si="190"/>
        <v>MFm&amp;0&amp;rDXHP&amp;New&amp;dxHP_equip__pkgTerm</v>
      </c>
      <c r="O875" s="3" t="s">
        <v>63</v>
      </c>
      <c r="P875" s="3">
        <v>0</v>
      </c>
      <c r="Q875" s="3" t="s">
        <v>57</v>
      </c>
      <c r="R875" s="3" t="s">
        <v>107</v>
      </c>
      <c r="S875" s="3" t="s">
        <v>10734</v>
      </c>
      <c r="T875" s="3" t="str">
        <f t="shared" si="228"/>
        <v>dxHP_equip__pkgTerm</v>
      </c>
      <c r="U875" s="3" t="str">
        <f t="shared" si="229"/>
        <v>dxHP_equip__pkgTerm</v>
      </c>
      <c r="V875" s="3" t="s">
        <v>105</v>
      </c>
      <c r="W875" s="3" t="s">
        <v>193</v>
      </c>
      <c r="X875" s="3" t="s">
        <v>105</v>
      </c>
      <c r="Y875" s="3" t="s">
        <v>193</v>
      </c>
      <c r="AA875" s="3" t="s">
        <v>194</v>
      </c>
    </row>
    <row r="876" spans="1:27" x14ac:dyDescent="0.35">
      <c r="A876" s="3" t="s">
        <v>10771</v>
      </c>
      <c r="B876" s="3" t="s">
        <v>10675</v>
      </c>
      <c r="C876" s="3" t="s">
        <v>10770</v>
      </c>
      <c r="D876" s="3" t="str">
        <f t="shared" si="226"/>
        <v>SWHC027-09 PTAC PTHP</v>
      </c>
      <c r="E876" s="3" t="str">
        <f t="shared" si="213"/>
        <v>SWHC027-09 PTAC PTHP_MFm_New</v>
      </c>
      <c r="F876" t="s">
        <v>204</v>
      </c>
      <c r="G876" t="str">
        <f t="shared" si="214"/>
        <v>RE-HV-PTHP-12.84EER-3.76COP</v>
      </c>
      <c r="H876" t="str">
        <f t="shared" si="227"/>
        <v>RE-HV-PTHP-10.70EER-3.13COP</v>
      </c>
      <c r="I876" t="str">
        <f t="shared" si="224"/>
        <v>RE-HV-PTHP-10.70EER-3.13COP</v>
      </c>
      <c r="J876" t="str">
        <f t="shared" si="225"/>
        <v>RE-HV-PTHP-12.84EER-3.76COP</v>
      </c>
      <c r="K876" t="s">
        <v>203</v>
      </c>
      <c r="L876" t="s">
        <v>203</v>
      </c>
      <c r="M876" t="s">
        <v>204</v>
      </c>
      <c r="N876" s="3" t="str">
        <f t="shared" si="190"/>
        <v>MFm&amp;0&amp;rDXHP&amp;New&amp;dxHP_equip__pkgTerm</v>
      </c>
      <c r="O876" s="3" t="s">
        <v>63</v>
      </c>
      <c r="P876" s="3">
        <v>0</v>
      </c>
      <c r="Q876" s="3" t="s">
        <v>57</v>
      </c>
      <c r="R876" s="3" t="s">
        <v>107</v>
      </c>
      <c r="S876" s="3" t="s">
        <v>10734</v>
      </c>
      <c r="T876" s="3" t="str">
        <f t="shared" si="228"/>
        <v>dxHP_equip__pkgTerm</v>
      </c>
      <c r="U876" s="3" t="str">
        <f t="shared" si="229"/>
        <v>dxHP_equip__pkgTerm</v>
      </c>
      <c r="V876" s="3" t="s">
        <v>105</v>
      </c>
      <c r="W876" s="3" t="s">
        <v>193</v>
      </c>
      <c r="X876" s="3" t="s">
        <v>105</v>
      </c>
      <c r="Y876" s="3" t="s">
        <v>193</v>
      </c>
      <c r="AA876" s="3" t="s">
        <v>194</v>
      </c>
    </row>
    <row r="877" spans="1:27" x14ac:dyDescent="0.35">
      <c r="A877" s="3" t="s">
        <v>10771</v>
      </c>
      <c r="B877" s="3" t="s">
        <v>10675</v>
      </c>
      <c r="C877" s="3" t="s">
        <v>10770</v>
      </c>
      <c r="D877" s="3" t="str">
        <f t="shared" si="226"/>
        <v>SWHC027-09 PTAC PTHP</v>
      </c>
      <c r="E877" s="3" t="str">
        <f t="shared" si="213"/>
        <v>SWHC027-09 PTAC PTHP_MFm_New</v>
      </c>
      <c r="F877" t="s">
        <v>204</v>
      </c>
      <c r="G877" t="str">
        <f t="shared" si="214"/>
        <v>RE-HV-PTHP-12.84EER-3.76COP</v>
      </c>
      <c r="H877" t="str">
        <f t="shared" si="227"/>
        <v>RE-HV-PTHP-10.70EER-3.13COP</v>
      </c>
      <c r="I877" t="str">
        <f t="shared" si="224"/>
        <v>RE-HV-PTHP-10.70EER-3.13COP</v>
      </c>
      <c r="J877" t="str">
        <f t="shared" si="225"/>
        <v>RE-HV-PTHP-12.84EER-3.76COP</v>
      </c>
      <c r="K877" t="s">
        <v>203</v>
      </c>
      <c r="L877" t="s">
        <v>203</v>
      </c>
      <c r="M877" t="s">
        <v>204</v>
      </c>
      <c r="N877" s="3" t="str">
        <f t="shared" si="190"/>
        <v>MFm&amp;0&amp;rDXHP&amp;New&amp;dxHP_equip__pkgTerm</v>
      </c>
      <c r="O877" s="3" t="s">
        <v>63</v>
      </c>
      <c r="P877" s="3">
        <v>0</v>
      </c>
      <c r="Q877" s="3" t="s">
        <v>57</v>
      </c>
      <c r="R877" s="3" t="s">
        <v>107</v>
      </c>
      <c r="S877" s="3" t="s">
        <v>10734</v>
      </c>
      <c r="T877" s="3" t="str">
        <f t="shared" si="228"/>
        <v>dxHP_equip__pkgTerm</v>
      </c>
      <c r="U877" s="3" t="str">
        <f t="shared" si="229"/>
        <v>dxHP_equip__pkgTerm</v>
      </c>
      <c r="V877" s="3" t="s">
        <v>105</v>
      </c>
      <c r="W877" s="3" t="s">
        <v>193</v>
      </c>
      <c r="X877" s="3" t="s">
        <v>105</v>
      </c>
      <c r="Y877" s="3" t="s">
        <v>193</v>
      </c>
      <c r="AA877" s="3" t="s">
        <v>194</v>
      </c>
    </row>
    <row r="878" spans="1:27" x14ac:dyDescent="0.35">
      <c r="A878" s="3" t="s">
        <v>10771</v>
      </c>
      <c r="B878" s="3" t="s">
        <v>10675</v>
      </c>
      <c r="C878" s="3" t="s">
        <v>10770</v>
      </c>
      <c r="D878" s="3" t="str">
        <f t="shared" si="226"/>
        <v>SWHC027-09 PTAC PTHP</v>
      </c>
      <c r="E878" s="3" t="str">
        <f t="shared" si="213"/>
        <v>SWHC027-09 PTAC PTHP_MFm_New</v>
      </c>
      <c r="F878" t="s">
        <v>204</v>
      </c>
      <c r="G878" t="str">
        <f t="shared" si="214"/>
        <v>RE-HV-PTHP-12.84EER-3.76COP</v>
      </c>
      <c r="H878" t="str">
        <f t="shared" si="227"/>
        <v>RE-HV-PTHP-10.70EER-3.13COP</v>
      </c>
      <c r="I878" t="str">
        <f t="shared" si="224"/>
        <v>RE-HV-PTHP-10.70EER-3.13COP</v>
      </c>
      <c r="J878" t="str">
        <f t="shared" si="225"/>
        <v>RE-HV-PTHP-12.84EER-3.76COP</v>
      </c>
      <c r="K878" t="s">
        <v>203</v>
      </c>
      <c r="L878" t="s">
        <v>203</v>
      </c>
      <c r="M878" t="s">
        <v>204</v>
      </c>
      <c r="N878" s="3" t="str">
        <f t="shared" si="190"/>
        <v>MFm&amp;0&amp;rDXHP&amp;New&amp;dxHP_equip__pkgTerm</v>
      </c>
      <c r="O878" s="3" t="s">
        <v>63</v>
      </c>
      <c r="P878" s="3">
        <v>0</v>
      </c>
      <c r="Q878" s="3" t="s">
        <v>57</v>
      </c>
      <c r="R878" s="3" t="s">
        <v>107</v>
      </c>
      <c r="S878" s="3" t="s">
        <v>10734</v>
      </c>
      <c r="T878" s="3" t="str">
        <f t="shared" si="228"/>
        <v>dxHP_equip__pkgTerm</v>
      </c>
      <c r="U878" s="3" t="str">
        <f t="shared" si="229"/>
        <v>dxHP_equip__pkgTerm</v>
      </c>
      <c r="V878" s="3" t="s">
        <v>105</v>
      </c>
      <c r="W878" s="3" t="s">
        <v>193</v>
      </c>
      <c r="X878" s="3" t="s">
        <v>105</v>
      </c>
      <c r="Y878" s="3" t="s">
        <v>193</v>
      </c>
      <c r="AA878" s="3" t="s">
        <v>194</v>
      </c>
    </row>
    <row r="879" spans="1:27" x14ac:dyDescent="0.35">
      <c r="A879" s="3" t="s">
        <v>10771</v>
      </c>
      <c r="B879" s="3" t="s">
        <v>10675</v>
      </c>
      <c r="C879" s="3" t="s">
        <v>10770</v>
      </c>
      <c r="D879" s="3" t="str">
        <f t="shared" si="226"/>
        <v>SWHC027-09 PTAC PTHP</v>
      </c>
      <c r="E879" s="3" t="str">
        <f t="shared" si="213"/>
        <v>SWHC027-09 PTAC PTHP_MFm_New</v>
      </c>
      <c r="F879" t="s">
        <v>204</v>
      </c>
      <c r="G879" t="str">
        <f t="shared" si="214"/>
        <v>RE-HV-PTHP-12.84EER-3.76COP</v>
      </c>
      <c r="H879" t="str">
        <f t="shared" si="227"/>
        <v>RE-HV-PTHP-10.70EER-3.13COP</v>
      </c>
      <c r="I879" t="str">
        <f t="shared" si="224"/>
        <v>RE-HV-PTHP-10.70EER-3.13COP</v>
      </c>
      <c r="J879" t="str">
        <f t="shared" si="225"/>
        <v>RE-HV-PTHP-12.84EER-3.76COP</v>
      </c>
      <c r="K879" t="s">
        <v>203</v>
      </c>
      <c r="L879" t="s">
        <v>203</v>
      </c>
      <c r="M879" t="s">
        <v>204</v>
      </c>
      <c r="N879" s="3" t="str">
        <f t="shared" si="190"/>
        <v>MFm&amp;0&amp;rDXHP&amp;New&amp;dxHP_equip__pkgTerm</v>
      </c>
      <c r="O879" s="3" t="s">
        <v>63</v>
      </c>
      <c r="P879" s="3">
        <v>0</v>
      </c>
      <c r="Q879" s="3" t="s">
        <v>57</v>
      </c>
      <c r="R879" s="3" t="s">
        <v>107</v>
      </c>
      <c r="S879" s="3" t="s">
        <v>10734</v>
      </c>
      <c r="T879" s="3" t="str">
        <f t="shared" si="228"/>
        <v>dxHP_equip__pkgTerm</v>
      </c>
      <c r="U879" s="3" t="str">
        <f t="shared" si="229"/>
        <v>dxHP_equip__pkgTerm</v>
      </c>
      <c r="V879" s="3" t="s">
        <v>105</v>
      </c>
      <c r="W879" s="3" t="s">
        <v>193</v>
      </c>
      <c r="X879" s="3" t="s">
        <v>105</v>
      </c>
      <c r="Y879" s="3" t="s">
        <v>193</v>
      </c>
      <c r="AA879" s="3" t="s">
        <v>194</v>
      </c>
    </row>
    <row r="880" spans="1:27" x14ac:dyDescent="0.35">
      <c r="A880" s="3" t="s">
        <v>10771</v>
      </c>
      <c r="B880" s="3" t="s">
        <v>10675</v>
      </c>
      <c r="C880" s="3" t="s">
        <v>10770</v>
      </c>
      <c r="D880" s="3" t="str">
        <f t="shared" si="226"/>
        <v>SWHC027-09 PTAC PTHP</v>
      </c>
      <c r="E880" s="3" t="str">
        <f>CONCATENATE(D880,"_",O880,"_1975")</f>
        <v>SWHC027-09 PTAC PTHP_SFm_1975</v>
      </c>
      <c r="F880" t="s">
        <v>192</v>
      </c>
      <c r="G880" t="str">
        <f>F880</f>
        <v>RE-HV-PTAC-10.27EER</v>
      </c>
      <c r="H880" t="str">
        <f>K880</f>
        <v>RE-HV-PTAC-8.56EER</v>
      </c>
      <c r="I880" t="str">
        <f t="shared" si="224"/>
        <v>RE-HV-PTAC-8.56EER</v>
      </c>
      <c r="J880" t="str">
        <f t="shared" si="225"/>
        <v>RE-HV-PTAC-10.27EER</v>
      </c>
      <c r="K880" t="s">
        <v>191</v>
      </c>
      <c r="L880" t="s">
        <v>191</v>
      </c>
      <c r="M880" t="s">
        <v>192</v>
      </c>
      <c r="N880" s="3" t="str">
        <f t="shared" si="190"/>
        <v>SFm&amp;1&amp;rDXGF&amp;Ex&amp;dxAC_equip__pkgTerm</v>
      </c>
      <c r="O880" s="3" t="s">
        <v>50</v>
      </c>
      <c r="P880" s="3">
        <v>1</v>
      </c>
      <c r="Q880" s="3" t="s">
        <v>51</v>
      </c>
      <c r="R880" s="3" t="s">
        <v>52</v>
      </c>
      <c r="S880" s="3" t="s">
        <v>10734</v>
      </c>
      <c r="T880" s="3" t="str">
        <f t="shared" si="228"/>
        <v>dxAC_equip__pkgTerm</v>
      </c>
      <c r="U880" s="3" t="str">
        <f t="shared" si="229"/>
        <v>dxAC_equip__pkgTerm</v>
      </c>
      <c r="V880" s="3" t="s">
        <v>111</v>
      </c>
      <c r="W880" s="3" t="s">
        <v>193</v>
      </c>
      <c r="X880" s="3" t="s">
        <v>111</v>
      </c>
      <c r="Y880" s="3" t="s">
        <v>193</v>
      </c>
      <c r="AA880" s="3" t="s">
        <v>194</v>
      </c>
    </row>
    <row r="881" spans="1:27" x14ac:dyDescent="0.35">
      <c r="A881" s="3" t="s">
        <v>10771</v>
      </c>
      <c r="B881" s="3" t="s">
        <v>10675</v>
      </c>
      <c r="C881" s="3" t="s">
        <v>10770</v>
      </c>
      <c r="D881" s="3" t="str">
        <f t="shared" si="226"/>
        <v>SWHC027-09 PTAC PTHP</v>
      </c>
      <c r="E881" s="3" t="str">
        <f t="shared" ref="E881:E915" si="230">CONCATENATE(D881,"_",O881,"_1975")</f>
        <v>SWHC027-09 PTAC PTHP_SFm_1975</v>
      </c>
      <c r="F881" t="s">
        <v>192</v>
      </c>
      <c r="G881" t="str">
        <f t="shared" si="214"/>
        <v>RE-HV-PTAC-10.27EER</v>
      </c>
      <c r="H881" t="str">
        <f t="shared" ref="H881:H891" si="231">K881</f>
        <v>RE-HV-PTAC-8.56EER</v>
      </c>
      <c r="I881" t="str">
        <f t="shared" si="224"/>
        <v>RE-HV-PTAC-8.56EER</v>
      </c>
      <c r="J881" t="str">
        <f t="shared" si="225"/>
        <v>RE-HV-PTAC-10.27EER</v>
      </c>
      <c r="K881" t="s">
        <v>191</v>
      </c>
      <c r="L881" t="s">
        <v>191</v>
      </c>
      <c r="M881" t="s">
        <v>192</v>
      </c>
      <c r="N881" s="3" t="str">
        <f t="shared" ref="N881:N885" si="232">IF(S881="No", O881&amp;"&amp;"&amp;P881&amp;"&amp;"&amp;Q881&amp;"&amp;"&amp;R881&amp;"&amp;"&amp;T881,   O881&amp;"&amp;"&amp;P881&amp;"&amp;"&amp;Q881&amp;"&amp;"&amp;R881&amp;"&amp;"&amp;T881&amp;"&amp;"&amp;U881)</f>
        <v>SFm&amp;1&amp;rDXGF&amp;Ex&amp;dxAC_equip__pkgTerm</v>
      </c>
      <c r="O881" s="3" t="s">
        <v>50</v>
      </c>
      <c r="P881" s="3">
        <v>1</v>
      </c>
      <c r="Q881" s="3" t="s">
        <v>51</v>
      </c>
      <c r="R881" s="3" t="s">
        <v>52</v>
      </c>
      <c r="S881" s="3" t="s">
        <v>10734</v>
      </c>
      <c r="T881" s="3" t="str">
        <f t="shared" si="228"/>
        <v>dxAC_equip__pkgTerm</v>
      </c>
      <c r="U881" s="3" t="str">
        <f t="shared" si="229"/>
        <v>dxAC_equip__pkgTerm</v>
      </c>
      <c r="V881" s="3" t="s">
        <v>111</v>
      </c>
      <c r="W881" s="3" t="s">
        <v>193</v>
      </c>
      <c r="X881" s="3" t="s">
        <v>111</v>
      </c>
      <c r="Y881" s="3" t="s">
        <v>193</v>
      </c>
      <c r="AA881" s="3" t="s">
        <v>194</v>
      </c>
    </row>
    <row r="882" spans="1:27" x14ac:dyDescent="0.35">
      <c r="A882" s="3" t="s">
        <v>10771</v>
      </c>
      <c r="B882" s="3" t="s">
        <v>10675</v>
      </c>
      <c r="C882" s="3" t="s">
        <v>10770</v>
      </c>
      <c r="D882" s="3" t="str">
        <f t="shared" si="226"/>
        <v>SWHC027-09 PTAC PTHP</v>
      </c>
      <c r="E882" s="3" t="str">
        <f t="shared" si="230"/>
        <v>SWHC027-09 PTAC PTHP_SFm_1975</v>
      </c>
      <c r="F882" t="s">
        <v>192</v>
      </c>
      <c r="G882" t="str">
        <f t="shared" si="214"/>
        <v>RE-HV-PTAC-10.27EER</v>
      </c>
      <c r="H882" t="str">
        <f t="shared" si="231"/>
        <v>RE-HV-PTAC-8.56EER</v>
      </c>
      <c r="I882" t="str">
        <f t="shared" si="224"/>
        <v>RE-HV-PTAC-8.56EER</v>
      </c>
      <c r="J882" t="str">
        <f t="shared" si="225"/>
        <v>RE-HV-PTAC-10.27EER</v>
      </c>
      <c r="K882" t="s">
        <v>191</v>
      </c>
      <c r="L882" t="s">
        <v>191</v>
      </c>
      <c r="M882" t="s">
        <v>192</v>
      </c>
      <c r="N882" s="3" t="str">
        <f t="shared" si="232"/>
        <v>SFm&amp;1&amp;rDXGF&amp;Ex&amp;dxAC_equip__pkgTerm</v>
      </c>
      <c r="O882" s="3" t="s">
        <v>50</v>
      </c>
      <c r="P882" s="3">
        <v>1</v>
      </c>
      <c r="Q882" s="3" t="s">
        <v>51</v>
      </c>
      <c r="R882" s="3" t="s">
        <v>52</v>
      </c>
      <c r="S882" s="3" t="s">
        <v>10734</v>
      </c>
      <c r="T882" s="3" t="str">
        <f t="shared" si="228"/>
        <v>dxAC_equip__pkgTerm</v>
      </c>
      <c r="U882" s="3" t="str">
        <f t="shared" si="229"/>
        <v>dxAC_equip__pkgTerm</v>
      </c>
      <c r="V882" s="3" t="s">
        <v>111</v>
      </c>
      <c r="W882" s="3" t="s">
        <v>193</v>
      </c>
      <c r="X882" s="3" t="s">
        <v>111</v>
      </c>
      <c r="Y882" s="3" t="s">
        <v>193</v>
      </c>
      <c r="AA882" s="3" t="s">
        <v>194</v>
      </c>
    </row>
    <row r="883" spans="1:27" x14ac:dyDescent="0.35">
      <c r="A883" s="3" t="s">
        <v>10771</v>
      </c>
      <c r="B883" s="3" t="s">
        <v>10675</v>
      </c>
      <c r="C883" s="3" t="s">
        <v>10770</v>
      </c>
      <c r="D883" s="3" t="str">
        <f t="shared" si="226"/>
        <v>SWHC027-09 PTAC PTHP</v>
      </c>
      <c r="E883" s="3" t="str">
        <f t="shared" si="230"/>
        <v>SWHC027-09 PTAC PTHP_SFm_1975</v>
      </c>
      <c r="F883" t="s">
        <v>197</v>
      </c>
      <c r="G883" t="str">
        <f t="shared" si="214"/>
        <v>RE-HV-PTAC-12.84EER</v>
      </c>
      <c r="H883" t="str">
        <f t="shared" si="231"/>
        <v>RE-HV-PTAC-10.70EER</v>
      </c>
      <c r="I883" t="str">
        <f t="shared" si="224"/>
        <v>RE-HV-PTAC-10.70EER</v>
      </c>
      <c r="J883" t="str">
        <f t="shared" si="225"/>
        <v>RE-HV-PTAC-12.84EER</v>
      </c>
      <c r="K883" t="s">
        <v>196</v>
      </c>
      <c r="L883" t="s">
        <v>196</v>
      </c>
      <c r="M883" t="s">
        <v>197</v>
      </c>
      <c r="N883" s="3" t="str">
        <f t="shared" si="232"/>
        <v>SFm&amp;1&amp;rDXGF&amp;Ex&amp;dxAC_equip__pkgTerm</v>
      </c>
      <c r="O883" s="3" t="s">
        <v>50</v>
      </c>
      <c r="P883" s="3">
        <v>1</v>
      </c>
      <c r="Q883" s="3" t="s">
        <v>51</v>
      </c>
      <c r="R883" s="3" t="s">
        <v>52</v>
      </c>
      <c r="S883" s="3" t="s">
        <v>10734</v>
      </c>
      <c r="T883" s="3" t="str">
        <f t="shared" si="228"/>
        <v>dxAC_equip__pkgTerm</v>
      </c>
      <c r="U883" s="3" t="str">
        <f t="shared" si="229"/>
        <v>dxAC_equip__pkgTerm</v>
      </c>
      <c r="V883" s="3" t="s">
        <v>111</v>
      </c>
      <c r="W883" s="3" t="s">
        <v>193</v>
      </c>
      <c r="X883" s="3" t="s">
        <v>111</v>
      </c>
      <c r="Y883" s="3" t="s">
        <v>193</v>
      </c>
      <c r="AA883" s="3" t="s">
        <v>194</v>
      </c>
    </row>
    <row r="884" spans="1:27" x14ac:dyDescent="0.35">
      <c r="A884" s="3" t="s">
        <v>10771</v>
      </c>
      <c r="B884" s="3" t="s">
        <v>10675</v>
      </c>
      <c r="C884" s="3" t="s">
        <v>10770</v>
      </c>
      <c r="D884" s="3" t="str">
        <f t="shared" si="226"/>
        <v>SWHC027-09 PTAC PTHP</v>
      </c>
      <c r="E884" s="3" t="str">
        <f t="shared" si="230"/>
        <v>SWHC027-09 PTAC PTHP_SFm_1975</v>
      </c>
      <c r="F884" t="s">
        <v>197</v>
      </c>
      <c r="G884" t="str">
        <f t="shared" si="214"/>
        <v>RE-HV-PTAC-12.84EER</v>
      </c>
      <c r="H884" t="str">
        <f t="shared" si="231"/>
        <v>RE-HV-PTAC-10.70EER</v>
      </c>
      <c r="I884" t="str">
        <f t="shared" si="224"/>
        <v>RE-HV-PTAC-10.70EER</v>
      </c>
      <c r="J884" t="str">
        <f t="shared" si="225"/>
        <v>RE-HV-PTAC-12.84EER</v>
      </c>
      <c r="K884" t="s">
        <v>196</v>
      </c>
      <c r="L884" t="s">
        <v>196</v>
      </c>
      <c r="M884" t="s">
        <v>197</v>
      </c>
      <c r="N884" s="3" t="str">
        <f t="shared" si="232"/>
        <v>SFm&amp;1&amp;rDXGF&amp;Ex&amp;dxAC_equip__pkgTerm</v>
      </c>
      <c r="O884" s="3" t="s">
        <v>50</v>
      </c>
      <c r="P884" s="3">
        <v>1</v>
      </c>
      <c r="Q884" s="3" t="s">
        <v>51</v>
      </c>
      <c r="R884" s="3" t="s">
        <v>52</v>
      </c>
      <c r="S884" s="3" t="s">
        <v>10734</v>
      </c>
      <c r="T884" s="3" t="str">
        <f t="shared" si="228"/>
        <v>dxAC_equip__pkgTerm</v>
      </c>
      <c r="U884" s="3" t="str">
        <f t="shared" si="229"/>
        <v>dxAC_equip__pkgTerm</v>
      </c>
      <c r="V884" s="3" t="s">
        <v>111</v>
      </c>
      <c r="W884" s="3" t="s">
        <v>193</v>
      </c>
      <c r="X884" s="3" t="s">
        <v>111</v>
      </c>
      <c r="Y884" s="3" t="s">
        <v>193</v>
      </c>
      <c r="AA884" s="3" t="s">
        <v>194</v>
      </c>
    </row>
    <row r="885" spans="1:27" x14ac:dyDescent="0.35">
      <c r="A885" s="3" t="s">
        <v>10771</v>
      </c>
      <c r="B885" s="3" t="s">
        <v>10675</v>
      </c>
      <c r="C885" s="3" t="s">
        <v>10770</v>
      </c>
      <c r="D885" s="3" t="str">
        <f t="shared" si="226"/>
        <v>SWHC027-09 PTAC PTHP</v>
      </c>
      <c r="E885" s="3" t="str">
        <f t="shared" si="230"/>
        <v>SWHC027-09 PTAC PTHP_SFm_1975</v>
      </c>
      <c r="F885" t="s">
        <v>197</v>
      </c>
      <c r="G885" t="str">
        <f t="shared" si="214"/>
        <v>RE-HV-PTAC-12.84EER</v>
      </c>
      <c r="H885" t="str">
        <f t="shared" si="231"/>
        <v>RE-HV-PTAC-10.70EER</v>
      </c>
      <c r="I885" t="str">
        <f t="shared" si="224"/>
        <v>RE-HV-PTAC-10.70EER</v>
      </c>
      <c r="J885" t="str">
        <f t="shared" si="225"/>
        <v>RE-HV-PTAC-12.84EER</v>
      </c>
      <c r="K885" t="s">
        <v>196</v>
      </c>
      <c r="L885" t="s">
        <v>196</v>
      </c>
      <c r="M885" t="s">
        <v>197</v>
      </c>
      <c r="N885" s="3" t="str">
        <f t="shared" si="232"/>
        <v>SFm&amp;1&amp;rDXGF&amp;Ex&amp;dxAC_equip__pkgTerm</v>
      </c>
      <c r="O885" s="3" t="s">
        <v>50</v>
      </c>
      <c r="P885" s="3">
        <v>1</v>
      </c>
      <c r="Q885" s="3" t="s">
        <v>51</v>
      </c>
      <c r="R885" s="3" t="s">
        <v>52</v>
      </c>
      <c r="S885" s="3" t="s">
        <v>10734</v>
      </c>
      <c r="T885" s="3" t="str">
        <f t="shared" si="228"/>
        <v>dxAC_equip__pkgTerm</v>
      </c>
      <c r="U885" s="3" t="str">
        <f t="shared" si="229"/>
        <v>dxAC_equip__pkgTerm</v>
      </c>
      <c r="V885" s="3" t="s">
        <v>111</v>
      </c>
      <c r="W885" s="3" t="s">
        <v>193</v>
      </c>
      <c r="X885" s="3" t="s">
        <v>111</v>
      </c>
      <c r="Y885" s="3" t="s">
        <v>193</v>
      </c>
      <c r="AA885" s="3" t="s">
        <v>194</v>
      </c>
    </row>
    <row r="886" spans="1:27" x14ac:dyDescent="0.35">
      <c r="A886" s="3" t="s">
        <v>10771</v>
      </c>
      <c r="B886" s="3" t="s">
        <v>10675</v>
      </c>
      <c r="C886" s="3" t="s">
        <v>10770</v>
      </c>
      <c r="D886" s="3" t="str">
        <f t="shared" si="226"/>
        <v>SWHC027-09 PTAC PTHP</v>
      </c>
      <c r="E886" s="3" t="str">
        <f t="shared" si="230"/>
        <v>SWHC027-09 PTAC PTHP_SFm_1975</v>
      </c>
      <c r="F886" t="s">
        <v>197</v>
      </c>
      <c r="G886" t="str">
        <f t="shared" si="214"/>
        <v>RE-HV-PTAC-12.84EER</v>
      </c>
      <c r="H886" t="str">
        <f t="shared" si="231"/>
        <v>RE-HV-PTAC-10.70EER</v>
      </c>
      <c r="I886" t="str">
        <f t="shared" si="224"/>
        <v>RE-HV-PTAC-10.70EER</v>
      </c>
      <c r="J886" t="str">
        <f t="shared" si="225"/>
        <v>RE-HV-PTAC-12.84EER</v>
      </c>
      <c r="K886" t="s">
        <v>196</v>
      </c>
      <c r="L886" t="s">
        <v>196</v>
      </c>
      <c r="M886" t="s">
        <v>197</v>
      </c>
      <c r="N886" s="3" t="str">
        <f t="shared" si="190"/>
        <v>SFm&amp;1&amp;rDXGF&amp;Ex&amp;dxAC_equip__pkgTerm</v>
      </c>
      <c r="O886" s="3" t="s">
        <v>50</v>
      </c>
      <c r="P886" s="3">
        <v>1</v>
      </c>
      <c r="Q886" s="3" t="s">
        <v>51</v>
      </c>
      <c r="R886" s="3" t="s">
        <v>52</v>
      </c>
      <c r="S886" s="3" t="s">
        <v>10734</v>
      </c>
      <c r="T886" s="3" t="str">
        <f t="shared" si="228"/>
        <v>dxAC_equip__pkgTerm</v>
      </c>
      <c r="U886" s="3" t="str">
        <f t="shared" si="229"/>
        <v>dxAC_equip__pkgTerm</v>
      </c>
      <c r="V886" s="3" t="s">
        <v>111</v>
      </c>
      <c r="W886" s="3" t="s">
        <v>193</v>
      </c>
      <c r="X886" s="3" t="s">
        <v>111</v>
      </c>
      <c r="Y886" s="3" t="s">
        <v>193</v>
      </c>
      <c r="AA886" s="3" t="s">
        <v>194</v>
      </c>
    </row>
    <row r="887" spans="1:27" x14ac:dyDescent="0.35">
      <c r="A887" s="3" t="s">
        <v>10771</v>
      </c>
      <c r="B887" s="3" t="s">
        <v>10675</v>
      </c>
      <c r="C887" s="3" t="s">
        <v>10770</v>
      </c>
      <c r="D887" s="3" t="str">
        <f t="shared" si="226"/>
        <v>SWHC027-09 PTAC PTHP</v>
      </c>
      <c r="E887" s="3" t="str">
        <f t="shared" si="230"/>
        <v>SWHC027-09 PTAC PTHP_SFm_1975</v>
      </c>
      <c r="F887" t="s">
        <v>197</v>
      </c>
      <c r="G887" t="str">
        <f t="shared" si="214"/>
        <v>RE-HV-PTAC-12.84EER</v>
      </c>
      <c r="H887" t="str">
        <f t="shared" si="231"/>
        <v>RE-HV-PTAC-10.70EER</v>
      </c>
      <c r="I887" t="str">
        <f t="shared" si="224"/>
        <v>RE-HV-PTAC-10.70EER</v>
      </c>
      <c r="J887" t="str">
        <f t="shared" si="225"/>
        <v>RE-HV-PTAC-12.84EER</v>
      </c>
      <c r="K887" t="s">
        <v>196</v>
      </c>
      <c r="L887" t="s">
        <v>196</v>
      </c>
      <c r="M887" t="s">
        <v>197</v>
      </c>
      <c r="N887" s="3" t="str">
        <f t="shared" ref="N887:N891" si="233">IF(S887="No", O887&amp;"&amp;"&amp;P887&amp;"&amp;"&amp;Q887&amp;"&amp;"&amp;R887&amp;"&amp;"&amp;T887,   O887&amp;"&amp;"&amp;P887&amp;"&amp;"&amp;Q887&amp;"&amp;"&amp;R887&amp;"&amp;"&amp;T887&amp;"&amp;"&amp;U887)</f>
        <v>SFm&amp;1&amp;rDXGF&amp;Ex&amp;dxAC_equip__pkgTerm</v>
      </c>
      <c r="O887" s="3" t="s">
        <v>50</v>
      </c>
      <c r="P887" s="3">
        <v>1</v>
      </c>
      <c r="Q887" s="3" t="s">
        <v>51</v>
      </c>
      <c r="R887" s="3" t="s">
        <v>52</v>
      </c>
      <c r="S887" s="3" t="s">
        <v>10734</v>
      </c>
      <c r="T887" s="3" t="str">
        <f t="shared" si="228"/>
        <v>dxAC_equip__pkgTerm</v>
      </c>
      <c r="U887" s="3" t="str">
        <f t="shared" si="229"/>
        <v>dxAC_equip__pkgTerm</v>
      </c>
      <c r="V887" s="3" t="s">
        <v>111</v>
      </c>
      <c r="W887" s="3" t="s">
        <v>193</v>
      </c>
      <c r="X887" s="3" t="s">
        <v>111</v>
      </c>
      <c r="Y887" s="3" t="s">
        <v>193</v>
      </c>
      <c r="AA887" s="3" t="s">
        <v>194</v>
      </c>
    </row>
    <row r="888" spans="1:27" x14ac:dyDescent="0.35">
      <c r="A888" s="3" t="s">
        <v>10771</v>
      </c>
      <c r="B888" s="3" t="s">
        <v>10675</v>
      </c>
      <c r="C888" s="3" t="s">
        <v>10770</v>
      </c>
      <c r="D888" s="3" t="str">
        <f t="shared" si="226"/>
        <v>SWHC027-09 PTAC PTHP</v>
      </c>
      <c r="E888" s="3" t="str">
        <f t="shared" si="230"/>
        <v>SWHC027-09 PTAC PTHP_SFm_1975</v>
      </c>
      <c r="F888" t="s">
        <v>197</v>
      </c>
      <c r="G888" t="str">
        <f t="shared" si="214"/>
        <v>RE-HV-PTAC-12.84EER</v>
      </c>
      <c r="H888" t="str">
        <f t="shared" si="231"/>
        <v>RE-HV-PTAC-10.70EER</v>
      </c>
      <c r="I888" t="str">
        <f t="shared" si="224"/>
        <v>RE-HV-PTAC-10.70EER</v>
      </c>
      <c r="J888" t="str">
        <f t="shared" si="225"/>
        <v>RE-HV-PTAC-12.84EER</v>
      </c>
      <c r="K888" t="s">
        <v>196</v>
      </c>
      <c r="L888" t="s">
        <v>196</v>
      </c>
      <c r="M888" t="s">
        <v>197</v>
      </c>
      <c r="N888" s="3" t="str">
        <f t="shared" si="233"/>
        <v>SFm&amp;1&amp;rDXGF&amp;Ex&amp;dxAC_equip__pkgTerm</v>
      </c>
      <c r="O888" s="3" t="s">
        <v>50</v>
      </c>
      <c r="P888" s="3">
        <v>1</v>
      </c>
      <c r="Q888" s="3" t="s">
        <v>51</v>
      </c>
      <c r="R888" s="3" t="s">
        <v>52</v>
      </c>
      <c r="S888" s="3" t="s">
        <v>10734</v>
      </c>
      <c r="T888" s="3" t="str">
        <f t="shared" si="228"/>
        <v>dxAC_equip__pkgTerm</v>
      </c>
      <c r="U888" s="3" t="str">
        <f t="shared" si="229"/>
        <v>dxAC_equip__pkgTerm</v>
      </c>
      <c r="V888" s="3" t="s">
        <v>111</v>
      </c>
      <c r="W888" s="3" t="s">
        <v>193</v>
      </c>
      <c r="X888" s="3" t="s">
        <v>111</v>
      </c>
      <c r="Y888" s="3" t="s">
        <v>193</v>
      </c>
      <c r="AA888" s="3" t="s">
        <v>194</v>
      </c>
    </row>
    <row r="889" spans="1:27" x14ac:dyDescent="0.35">
      <c r="A889" s="3" t="s">
        <v>10771</v>
      </c>
      <c r="B889" s="3" t="s">
        <v>10675</v>
      </c>
      <c r="C889" s="3" t="s">
        <v>10770</v>
      </c>
      <c r="D889" s="3" t="str">
        <f t="shared" si="226"/>
        <v>SWHC027-09 PTAC PTHP</v>
      </c>
      <c r="E889" s="3" t="str">
        <f t="shared" si="230"/>
        <v>SWHC027-09 PTAC PTHP_SFm_1975</v>
      </c>
      <c r="F889" t="s">
        <v>201</v>
      </c>
      <c r="G889" t="str">
        <f t="shared" si="214"/>
        <v>RE-HV-PTHP-10.15EER-3.13COP</v>
      </c>
      <c r="H889" t="str">
        <f t="shared" si="231"/>
        <v>RE-HV-PTHP-8.46EER-2.61COP</v>
      </c>
      <c r="I889" t="str">
        <f t="shared" si="224"/>
        <v>RE-HV-PTHP-8.46EER-2.61COP</v>
      </c>
      <c r="J889" t="str">
        <f t="shared" si="225"/>
        <v>RE-HV-PTHP-10.15EER-3.13COP</v>
      </c>
      <c r="K889" t="s">
        <v>200</v>
      </c>
      <c r="L889" t="s">
        <v>200</v>
      </c>
      <c r="M889" t="s">
        <v>201</v>
      </c>
      <c r="N889" s="3" t="str">
        <f t="shared" si="233"/>
        <v>SFm&amp;1&amp;rDXHP&amp;Ex&amp;dxHP_equip__pkgTerm</v>
      </c>
      <c r="O889" s="3" t="s">
        <v>50</v>
      </c>
      <c r="P889" s="3">
        <v>1</v>
      </c>
      <c r="Q889" s="3" t="s">
        <v>57</v>
      </c>
      <c r="R889" s="3" t="s">
        <v>52</v>
      </c>
      <c r="S889" s="3" t="s">
        <v>10734</v>
      </c>
      <c r="T889" s="3" t="str">
        <f t="shared" si="228"/>
        <v>dxHP_equip__pkgTerm</v>
      </c>
      <c r="U889" s="3" t="str">
        <f t="shared" si="229"/>
        <v>dxHP_equip__pkgTerm</v>
      </c>
      <c r="V889" s="3" t="s">
        <v>105</v>
      </c>
      <c r="W889" s="3" t="s">
        <v>193</v>
      </c>
      <c r="X889" s="3" t="s">
        <v>105</v>
      </c>
      <c r="Y889" s="3" t="s">
        <v>193</v>
      </c>
      <c r="AA889" s="3" t="s">
        <v>194</v>
      </c>
    </row>
    <row r="890" spans="1:27" x14ac:dyDescent="0.35">
      <c r="A890" s="3" t="s">
        <v>10771</v>
      </c>
      <c r="B890" s="3" t="s">
        <v>10675</v>
      </c>
      <c r="C890" s="3" t="s">
        <v>10770</v>
      </c>
      <c r="D890" s="3" t="str">
        <f t="shared" si="226"/>
        <v>SWHC027-09 PTAC PTHP</v>
      </c>
      <c r="E890" s="3" t="str">
        <f t="shared" si="230"/>
        <v>SWHC027-09 PTAC PTHP_SFm_1975</v>
      </c>
      <c r="F890" t="s">
        <v>201</v>
      </c>
      <c r="G890" t="str">
        <f t="shared" si="214"/>
        <v>RE-HV-PTHP-10.15EER-3.13COP</v>
      </c>
      <c r="H890" t="str">
        <f t="shared" si="231"/>
        <v>RE-HV-PTHP-8.46EER-2.61COP</v>
      </c>
      <c r="I890" t="str">
        <f t="shared" si="224"/>
        <v>RE-HV-PTHP-8.46EER-2.61COP</v>
      </c>
      <c r="J890" t="str">
        <f t="shared" si="225"/>
        <v>RE-HV-PTHP-10.15EER-3.13COP</v>
      </c>
      <c r="K890" t="s">
        <v>200</v>
      </c>
      <c r="L890" t="s">
        <v>200</v>
      </c>
      <c r="M890" t="s">
        <v>201</v>
      </c>
      <c r="N890" s="3" t="str">
        <f t="shared" si="233"/>
        <v>SFm&amp;1&amp;rDXHP&amp;Ex&amp;dxHP_equip__pkgTerm</v>
      </c>
      <c r="O890" s="3" t="s">
        <v>50</v>
      </c>
      <c r="P890" s="3">
        <v>1</v>
      </c>
      <c r="Q890" s="3" t="s">
        <v>57</v>
      </c>
      <c r="R890" s="3" t="s">
        <v>52</v>
      </c>
      <c r="S890" s="3" t="s">
        <v>10734</v>
      </c>
      <c r="T890" s="3" t="str">
        <f t="shared" si="228"/>
        <v>dxHP_equip__pkgTerm</v>
      </c>
      <c r="U890" s="3" t="str">
        <f t="shared" si="229"/>
        <v>dxHP_equip__pkgTerm</v>
      </c>
      <c r="V890" s="3" t="s">
        <v>105</v>
      </c>
      <c r="W890" s="3" t="s">
        <v>193</v>
      </c>
      <c r="X890" s="3" t="s">
        <v>105</v>
      </c>
      <c r="Y890" s="3" t="s">
        <v>193</v>
      </c>
      <c r="AA890" s="3" t="s">
        <v>194</v>
      </c>
    </row>
    <row r="891" spans="1:27" x14ac:dyDescent="0.35">
      <c r="A891" s="3" t="s">
        <v>10771</v>
      </c>
      <c r="B891" s="3" t="s">
        <v>10675</v>
      </c>
      <c r="C891" s="3" t="s">
        <v>10770</v>
      </c>
      <c r="D891" s="3" t="str">
        <f t="shared" si="226"/>
        <v>SWHC027-09 PTAC PTHP</v>
      </c>
      <c r="E891" s="3" t="str">
        <f t="shared" si="230"/>
        <v>SWHC027-09 PTAC PTHP_SFm_1975</v>
      </c>
      <c r="F891" t="s">
        <v>201</v>
      </c>
      <c r="G891" t="str">
        <f t="shared" si="214"/>
        <v>RE-HV-PTHP-10.15EER-3.13COP</v>
      </c>
      <c r="H891" t="str">
        <f t="shared" si="231"/>
        <v>RE-HV-PTHP-8.46EER-2.61COP</v>
      </c>
      <c r="I891" t="str">
        <f t="shared" si="224"/>
        <v>RE-HV-PTHP-8.46EER-2.61COP</v>
      </c>
      <c r="J891" t="str">
        <f t="shared" si="225"/>
        <v>RE-HV-PTHP-10.15EER-3.13COP</v>
      </c>
      <c r="K891" t="s">
        <v>200</v>
      </c>
      <c r="L891" t="s">
        <v>200</v>
      </c>
      <c r="M891" t="s">
        <v>201</v>
      </c>
      <c r="N891" s="3" t="str">
        <f t="shared" si="233"/>
        <v>SFm&amp;1&amp;rDXHP&amp;Ex&amp;dxHP_equip__pkgTerm</v>
      </c>
      <c r="O891" s="3" t="s">
        <v>50</v>
      </c>
      <c r="P891" s="3">
        <v>1</v>
      </c>
      <c r="Q891" s="3" t="s">
        <v>57</v>
      </c>
      <c r="R891" s="3" t="s">
        <v>52</v>
      </c>
      <c r="S891" s="3" t="s">
        <v>10734</v>
      </c>
      <c r="T891" s="3" t="str">
        <f t="shared" si="228"/>
        <v>dxHP_equip__pkgTerm</v>
      </c>
      <c r="U891" s="3" t="str">
        <f t="shared" si="229"/>
        <v>dxHP_equip__pkgTerm</v>
      </c>
      <c r="V891" s="3" t="s">
        <v>105</v>
      </c>
      <c r="W891" s="3" t="s">
        <v>193</v>
      </c>
      <c r="X891" s="3" t="s">
        <v>105</v>
      </c>
      <c r="Y891" s="3" t="s">
        <v>193</v>
      </c>
      <c r="AA891" s="3" t="s">
        <v>194</v>
      </c>
    </row>
    <row r="892" spans="1:27" x14ac:dyDescent="0.35">
      <c r="A892" s="3" t="s">
        <v>10771</v>
      </c>
      <c r="B892" s="3" t="s">
        <v>10675</v>
      </c>
      <c r="C892" s="3" t="s">
        <v>10770</v>
      </c>
      <c r="D892" s="3" t="str">
        <f t="shared" si="226"/>
        <v>SWHC027-09 PTAC PTHP</v>
      </c>
      <c r="E892" s="3" t="str">
        <f t="shared" si="230"/>
        <v>SWHC027-09 PTAC PTHP_SFm_1975</v>
      </c>
      <c r="F892" t="s">
        <v>204</v>
      </c>
      <c r="G892" t="str">
        <f>F892</f>
        <v>RE-HV-PTHP-12.84EER-3.76COP</v>
      </c>
      <c r="H892" t="str">
        <f>K892</f>
        <v>RE-HV-PTHP-10.70EER-3.13COP</v>
      </c>
      <c r="I892" t="str">
        <f t="shared" si="224"/>
        <v>RE-HV-PTHP-10.70EER-3.13COP</v>
      </c>
      <c r="J892" t="str">
        <f t="shared" si="225"/>
        <v>RE-HV-PTHP-12.84EER-3.76COP</v>
      </c>
      <c r="K892" t="s">
        <v>203</v>
      </c>
      <c r="L892" t="s">
        <v>203</v>
      </c>
      <c r="M892" t="s">
        <v>204</v>
      </c>
      <c r="N892" s="3" t="str">
        <f t="shared" si="190"/>
        <v>SFm&amp;1&amp;rDXHP&amp;Ex&amp;dxHP_equip__pkgTerm</v>
      </c>
      <c r="O892" s="3" t="s">
        <v>50</v>
      </c>
      <c r="P892" s="3">
        <v>1</v>
      </c>
      <c r="Q892" s="3" t="s">
        <v>57</v>
      </c>
      <c r="R892" s="3" t="s">
        <v>52</v>
      </c>
      <c r="S892" s="3" t="s">
        <v>10734</v>
      </c>
      <c r="T892" s="3" t="str">
        <f t="shared" si="228"/>
        <v>dxHP_equip__pkgTerm</v>
      </c>
      <c r="U892" s="3" t="str">
        <f t="shared" si="229"/>
        <v>dxHP_equip__pkgTerm</v>
      </c>
      <c r="V892" s="3" t="s">
        <v>105</v>
      </c>
      <c r="W892" s="3" t="s">
        <v>193</v>
      </c>
      <c r="X892" s="3" t="s">
        <v>105</v>
      </c>
      <c r="Y892" s="3" t="s">
        <v>193</v>
      </c>
      <c r="AA892" s="3" t="s">
        <v>194</v>
      </c>
    </row>
    <row r="893" spans="1:27" x14ac:dyDescent="0.35">
      <c r="A893" s="3" t="s">
        <v>10771</v>
      </c>
      <c r="B893" s="3" t="s">
        <v>10675</v>
      </c>
      <c r="C893" s="3" t="s">
        <v>10770</v>
      </c>
      <c r="D893" s="3" t="str">
        <f t="shared" si="226"/>
        <v>SWHC027-09 PTAC PTHP</v>
      </c>
      <c r="E893" s="3" t="str">
        <f t="shared" si="230"/>
        <v>SWHC027-09 PTAC PTHP_SFm_1975</v>
      </c>
      <c r="F893" t="s">
        <v>204</v>
      </c>
      <c r="G893" t="str">
        <f t="shared" si="214"/>
        <v>RE-HV-PTHP-12.84EER-3.76COP</v>
      </c>
      <c r="H893" t="str">
        <f t="shared" ref="H893:H903" si="234">K893</f>
        <v>RE-HV-PTHP-10.70EER-3.13COP</v>
      </c>
      <c r="I893" t="str">
        <f t="shared" si="224"/>
        <v>RE-HV-PTHP-10.70EER-3.13COP</v>
      </c>
      <c r="J893" t="str">
        <f t="shared" si="225"/>
        <v>RE-HV-PTHP-12.84EER-3.76COP</v>
      </c>
      <c r="K893" t="s">
        <v>203</v>
      </c>
      <c r="L893" t="s">
        <v>203</v>
      </c>
      <c r="M893" t="s">
        <v>204</v>
      </c>
      <c r="N893" s="3" t="str">
        <f t="shared" ref="N893:N897" si="235">IF(S893="No", O893&amp;"&amp;"&amp;P893&amp;"&amp;"&amp;Q893&amp;"&amp;"&amp;R893&amp;"&amp;"&amp;T893,   O893&amp;"&amp;"&amp;P893&amp;"&amp;"&amp;Q893&amp;"&amp;"&amp;R893&amp;"&amp;"&amp;T893&amp;"&amp;"&amp;U893)</f>
        <v>SFm&amp;1&amp;rDXHP&amp;Ex&amp;dxHP_equip__pkgTerm</v>
      </c>
      <c r="O893" s="3" t="s">
        <v>50</v>
      </c>
      <c r="P893" s="3">
        <v>1</v>
      </c>
      <c r="Q893" s="3" t="s">
        <v>57</v>
      </c>
      <c r="R893" s="3" t="s">
        <v>52</v>
      </c>
      <c r="S893" s="3" t="s">
        <v>10734</v>
      </c>
      <c r="T893" s="3" t="str">
        <f t="shared" si="228"/>
        <v>dxHP_equip__pkgTerm</v>
      </c>
      <c r="U893" s="3" t="str">
        <f t="shared" si="229"/>
        <v>dxHP_equip__pkgTerm</v>
      </c>
      <c r="V893" s="3" t="s">
        <v>105</v>
      </c>
      <c r="W893" s="3" t="s">
        <v>193</v>
      </c>
      <c r="X893" s="3" t="s">
        <v>105</v>
      </c>
      <c r="Y893" s="3" t="s">
        <v>193</v>
      </c>
      <c r="AA893" s="3" t="s">
        <v>194</v>
      </c>
    </row>
    <row r="894" spans="1:27" x14ac:dyDescent="0.35">
      <c r="A894" s="3" t="s">
        <v>10771</v>
      </c>
      <c r="B894" s="3" t="s">
        <v>10675</v>
      </c>
      <c r="C894" s="3" t="s">
        <v>10770</v>
      </c>
      <c r="D894" s="3" t="str">
        <f t="shared" si="226"/>
        <v>SWHC027-09 PTAC PTHP</v>
      </c>
      <c r="E894" s="3" t="str">
        <f t="shared" si="230"/>
        <v>SWHC027-09 PTAC PTHP_SFm_1975</v>
      </c>
      <c r="F894" t="s">
        <v>204</v>
      </c>
      <c r="G894" t="str">
        <f t="shared" si="214"/>
        <v>RE-HV-PTHP-12.84EER-3.76COP</v>
      </c>
      <c r="H894" t="str">
        <f t="shared" si="234"/>
        <v>RE-HV-PTHP-10.70EER-3.13COP</v>
      </c>
      <c r="I894" t="str">
        <f t="shared" si="224"/>
        <v>RE-HV-PTHP-10.70EER-3.13COP</v>
      </c>
      <c r="J894" t="str">
        <f t="shared" si="225"/>
        <v>RE-HV-PTHP-12.84EER-3.76COP</v>
      </c>
      <c r="K894" t="s">
        <v>203</v>
      </c>
      <c r="L894" t="s">
        <v>203</v>
      </c>
      <c r="M894" t="s">
        <v>204</v>
      </c>
      <c r="N894" s="3" t="str">
        <f t="shared" si="235"/>
        <v>SFm&amp;1&amp;rDXHP&amp;Ex&amp;dxHP_equip__pkgTerm</v>
      </c>
      <c r="O894" s="3" t="s">
        <v>50</v>
      </c>
      <c r="P894" s="3">
        <v>1</v>
      </c>
      <c r="Q894" s="3" t="s">
        <v>57</v>
      </c>
      <c r="R894" s="3" t="s">
        <v>52</v>
      </c>
      <c r="S894" s="3" t="s">
        <v>10734</v>
      </c>
      <c r="T894" s="3" t="str">
        <f t="shared" si="228"/>
        <v>dxHP_equip__pkgTerm</v>
      </c>
      <c r="U894" s="3" t="str">
        <f t="shared" si="229"/>
        <v>dxHP_equip__pkgTerm</v>
      </c>
      <c r="V894" s="3" t="s">
        <v>105</v>
      </c>
      <c r="W894" s="3" t="s">
        <v>193</v>
      </c>
      <c r="X894" s="3" t="s">
        <v>105</v>
      </c>
      <c r="Y894" s="3" t="s">
        <v>193</v>
      </c>
      <c r="AA894" s="3" t="s">
        <v>194</v>
      </c>
    </row>
    <row r="895" spans="1:27" x14ac:dyDescent="0.35">
      <c r="A895" s="3" t="s">
        <v>10771</v>
      </c>
      <c r="B895" s="3" t="s">
        <v>10675</v>
      </c>
      <c r="C895" s="3" t="s">
        <v>10770</v>
      </c>
      <c r="D895" s="3" t="str">
        <f t="shared" si="226"/>
        <v>SWHC027-09 PTAC PTHP</v>
      </c>
      <c r="E895" s="3" t="str">
        <f t="shared" si="230"/>
        <v>SWHC027-09 PTAC PTHP_SFm_1975</v>
      </c>
      <c r="F895" t="s">
        <v>204</v>
      </c>
      <c r="G895" t="str">
        <f t="shared" si="214"/>
        <v>RE-HV-PTHP-12.84EER-3.76COP</v>
      </c>
      <c r="H895" t="str">
        <f t="shared" si="234"/>
        <v>RE-HV-PTHP-10.70EER-3.13COP</v>
      </c>
      <c r="I895" t="str">
        <f t="shared" si="224"/>
        <v>RE-HV-PTHP-10.70EER-3.13COP</v>
      </c>
      <c r="J895" t="str">
        <f t="shared" si="225"/>
        <v>RE-HV-PTHP-12.84EER-3.76COP</v>
      </c>
      <c r="K895" t="s">
        <v>203</v>
      </c>
      <c r="L895" t="s">
        <v>203</v>
      </c>
      <c r="M895" t="s">
        <v>204</v>
      </c>
      <c r="N895" s="3" t="str">
        <f t="shared" si="235"/>
        <v>SFm&amp;1&amp;rDXHP&amp;Ex&amp;dxHP_equip__pkgTerm</v>
      </c>
      <c r="O895" s="3" t="s">
        <v>50</v>
      </c>
      <c r="P895" s="3">
        <v>1</v>
      </c>
      <c r="Q895" s="3" t="s">
        <v>57</v>
      </c>
      <c r="R895" s="3" t="s">
        <v>52</v>
      </c>
      <c r="S895" s="3" t="s">
        <v>10734</v>
      </c>
      <c r="T895" s="3" t="str">
        <f t="shared" si="228"/>
        <v>dxHP_equip__pkgTerm</v>
      </c>
      <c r="U895" s="3" t="str">
        <f t="shared" si="229"/>
        <v>dxHP_equip__pkgTerm</v>
      </c>
      <c r="V895" s="3" t="s">
        <v>105</v>
      </c>
      <c r="W895" s="3" t="s">
        <v>193</v>
      </c>
      <c r="X895" s="3" t="s">
        <v>105</v>
      </c>
      <c r="Y895" s="3" t="s">
        <v>193</v>
      </c>
      <c r="AA895" s="3" t="s">
        <v>194</v>
      </c>
    </row>
    <row r="896" spans="1:27" x14ac:dyDescent="0.35">
      <c r="A896" s="3" t="s">
        <v>10771</v>
      </c>
      <c r="B896" s="3" t="s">
        <v>10675</v>
      </c>
      <c r="C896" s="3" t="s">
        <v>10770</v>
      </c>
      <c r="D896" s="3" t="str">
        <f t="shared" si="226"/>
        <v>SWHC027-09 PTAC PTHP</v>
      </c>
      <c r="E896" s="3" t="str">
        <f t="shared" si="230"/>
        <v>SWHC027-09 PTAC PTHP_SFm_1975</v>
      </c>
      <c r="F896" t="s">
        <v>204</v>
      </c>
      <c r="G896" t="str">
        <f t="shared" si="214"/>
        <v>RE-HV-PTHP-12.84EER-3.76COP</v>
      </c>
      <c r="H896" t="str">
        <f t="shared" si="234"/>
        <v>RE-HV-PTHP-10.70EER-3.13COP</v>
      </c>
      <c r="I896" t="str">
        <f t="shared" si="224"/>
        <v>RE-HV-PTHP-10.70EER-3.13COP</v>
      </c>
      <c r="J896" t="str">
        <f t="shared" si="225"/>
        <v>RE-HV-PTHP-12.84EER-3.76COP</v>
      </c>
      <c r="K896" t="s">
        <v>203</v>
      </c>
      <c r="L896" t="s">
        <v>203</v>
      </c>
      <c r="M896" t="s">
        <v>204</v>
      </c>
      <c r="N896" s="3" t="str">
        <f t="shared" si="235"/>
        <v>SFm&amp;1&amp;rDXHP&amp;Ex&amp;dxHP_equip__pkgTerm</v>
      </c>
      <c r="O896" s="3" t="s">
        <v>50</v>
      </c>
      <c r="P896" s="3">
        <v>1</v>
      </c>
      <c r="Q896" s="3" t="s">
        <v>57</v>
      </c>
      <c r="R896" s="3" t="s">
        <v>52</v>
      </c>
      <c r="S896" s="3" t="s">
        <v>10734</v>
      </c>
      <c r="T896" s="3" t="str">
        <f t="shared" si="228"/>
        <v>dxHP_equip__pkgTerm</v>
      </c>
      <c r="U896" s="3" t="str">
        <f t="shared" si="229"/>
        <v>dxHP_equip__pkgTerm</v>
      </c>
      <c r="V896" s="3" t="s">
        <v>105</v>
      </c>
      <c r="W896" s="3" t="s">
        <v>193</v>
      </c>
      <c r="X896" s="3" t="s">
        <v>105</v>
      </c>
      <c r="Y896" s="3" t="s">
        <v>193</v>
      </c>
      <c r="AA896" s="3" t="s">
        <v>194</v>
      </c>
    </row>
    <row r="897" spans="1:27" x14ac:dyDescent="0.35">
      <c r="A897" s="3" t="s">
        <v>10771</v>
      </c>
      <c r="B897" s="3" t="s">
        <v>10675</v>
      </c>
      <c r="C897" s="3" t="s">
        <v>10770</v>
      </c>
      <c r="D897" s="3" t="str">
        <f t="shared" si="226"/>
        <v>SWHC027-09 PTAC PTHP</v>
      </c>
      <c r="E897" s="3" t="str">
        <f t="shared" si="230"/>
        <v>SWHC027-09 PTAC PTHP_SFm_1975</v>
      </c>
      <c r="F897" t="s">
        <v>204</v>
      </c>
      <c r="G897" t="str">
        <f t="shared" si="214"/>
        <v>RE-HV-PTHP-12.84EER-3.76COP</v>
      </c>
      <c r="H897" t="str">
        <f t="shared" si="234"/>
        <v>RE-HV-PTHP-10.70EER-3.13COP</v>
      </c>
      <c r="I897" t="str">
        <f t="shared" si="224"/>
        <v>RE-HV-PTHP-10.70EER-3.13COP</v>
      </c>
      <c r="J897" t="str">
        <f t="shared" si="225"/>
        <v>RE-HV-PTHP-12.84EER-3.76COP</v>
      </c>
      <c r="K897" t="s">
        <v>203</v>
      </c>
      <c r="L897" t="s">
        <v>203</v>
      </c>
      <c r="M897" t="s">
        <v>204</v>
      </c>
      <c r="N897" s="3" t="str">
        <f t="shared" si="235"/>
        <v>SFm&amp;1&amp;rDXHP&amp;Ex&amp;dxHP_equip__pkgTerm</v>
      </c>
      <c r="O897" s="3" t="s">
        <v>50</v>
      </c>
      <c r="P897" s="3">
        <v>1</v>
      </c>
      <c r="Q897" s="3" t="s">
        <v>57</v>
      </c>
      <c r="R897" s="3" t="s">
        <v>52</v>
      </c>
      <c r="S897" s="3" t="s">
        <v>10734</v>
      </c>
      <c r="T897" s="3" t="str">
        <f t="shared" si="228"/>
        <v>dxHP_equip__pkgTerm</v>
      </c>
      <c r="U897" s="3" t="str">
        <f t="shared" si="229"/>
        <v>dxHP_equip__pkgTerm</v>
      </c>
      <c r="V897" s="3" t="s">
        <v>105</v>
      </c>
      <c r="W897" s="3" t="s">
        <v>193</v>
      </c>
      <c r="X897" s="3" t="s">
        <v>105</v>
      </c>
      <c r="Y897" s="3" t="s">
        <v>193</v>
      </c>
      <c r="AA897" s="3" t="s">
        <v>194</v>
      </c>
    </row>
    <row r="898" spans="1:27" x14ac:dyDescent="0.35">
      <c r="A898" s="3" t="s">
        <v>10771</v>
      </c>
      <c r="B898" s="3" t="s">
        <v>10675</v>
      </c>
      <c r="C898" s="3" t="s">
        <v>10770</v>
      </c>
      <c r="D898" s="3" t="str">
        <f t="shared" si="226"/>
        <v>SWHC027-09 PTAC PTHP</v>
      </c>
      <c r="E898" s="3" t="str">
        <f t="shared" si="230"/>
        <v>SWHC027-09 PTAC PTHP_SFm_1975</v>
      </c>
      <c r="F898" t="s">
        <v>192</v>
      </c>
      <c r="G898" t="str">
        <f t="shared" si="214"/>
        <v>RE-HV-PTAC-10.27EER</v>
      </c>
      <c r="H898" t="str">
        <f t="shared" si="234"/>
        <v>RE-HV-PTAC-8.56EER</v>
      </c>
      <c r="I898" t="str">
        <f t="shared" si="224"/>
        <v>RE-HV-PTAC-8.56EER</v>
      </c>
      <c r="J898" t="str">
        <f t="shared" si="225"/>
        <v>RE-HV-PTAC-10.27EER</v>
      </c>
      <c r="K898" t="s">
        <v>191</v>
      </c>
      <c r="L898" t="s">
        <v>191</v>
      </c>
      <c r="M898" t="s">
        <v>192</v>
      </c>
      <c r="N898" s="3" t="str">
        <f t="shared" si="190"/>
        <v>SFm&amp;2&amp;rDXGF&amp;Ex&amp;dxAC_equip__pkgTerm</v>
      </c>
      <c r="O898" s="3" t="s">
        <v>50</v>
      </c>
      <c r="P898" s="3">
        <v>2</v>
      </c>
      <c r="Q898" s="3" t="s">
        <v>51</v>
      </c>
      <c r="R898" s="3" t="s">
        <v>52</v>
      </c>
      <c r="S898" s="3" t="s">
        <v>10734</v>
      </c>
      <c r="T898" s="3" t="str">
        <f t="shared" si="228"/>
        <v>dxAC_equip__pkgTerm</v>
      </c>
      <c r="U898" s="3" t="str">
        <f t="shared" si="229"/>
        <v>dxAC_equip__pkgTerm</v>
      </c>
      <c r="V898" s="3" t="s">
        <v>111</v>
      </c>
      <c r="W898" s="3" t="s">
        <v>193</v>
      </c>
      <c r="X898" s="3" t="s">
        <v>111</v>
      </c>
      <c r="Y898" s="3" t="s">
        <v>193</v>
      </c>
      <c r="AA898" s="3" t="s">
        <v>194</v>
      </c>
    </row>
    <row r="899" spans="1:27" x14ac:dyDescent="0.35">
      <c r="A899" s="3" t="s">
        <v>10771</v>
      </c>
      <c r="B899" s="3" t="s">
        <v>10675</v>
      </c>
      <c r="C899" s="3" t="s">
        <v>10770</v>
      </c>
      <c r="D899" s="3" t="str">
        <f t="shared" si="226"/>
        <v>SWHC027-09 PTAC PTHP</v>
      </c>
      <c r="E899" s="3" t="str">
        <f t="shared" si="230"/>
        <v>SWHC027-09 PTAC PTHP_SFm_1975</v>
      </c>
      <c r="F899" t="s">
        <v>192</v>
      </c>
      <c r="G899" t="str">
        <f t="shared" si="214"/>
        <v>RE-HV-PTAC-10.27EER</v>
      </c>
      <c r="H899" t="str">
        <f t="shared" si="234"/>
        <v>RE-HV-PTAC-8.56EER</v>
      </c>
      <c r="I899" t="str">
        <f t="shared" si="224"/>
        <v>RE-HV-PTAC-8.56EER</v>
      </c>
      <c r="J899" t="str">
        <f t="shared" si="225"/>
        <v>RE-HV-PTAC-10.27EER</v>
      </c>
      <c r="K899" t="s">
        <v>191</v>
      </c>
      <c r="L899" t="s">
        <v>191</v>
      </c>
      <c r="M899" t="s">
        <v>192</v>
      </c>
      <c r="N899" s="3" t="str">
        <f t="shared" ref="N899:N903" si="236">IF(S899="No", O899&amp;"&amp;"&amp;P899&amp;"&amp;"&amp;Q899&amp;"&amp;"&amp;R899&amp;"&amp;"&amp;T899,   O899&amp;"&amp;"&amp;P899&amp;"&amp;"&amp;Q899&amp;"&amp;"&amp;R899&amp;"&amp;"&amp;T899&amp;"&amp;"&amp;U899)</f>
        <v>SFm&amp;2&amp;rDXGF&amp;Ex&amp;dxAC_equip__pkgTerm</v>
      </c>
      <c r="O899" s="3" t="s">
        <v>50</v>
      </c>
      <c r="P899" s="3">
        <v>2</v>
      </c>
      <c r="Q899" s="3" t="s">
        <v>51</v>
      </c>
      <c r="R899" s="3" t="s">
        <v>52</v>
      </c>
      <c r="S899" s="3" t="s">
        <v>10734</v>
      </c>
      <c r="T899" s="3" t="str">
        <f t="shared" si="228"/>
        <v>dxAC_equip__pkgTerm</v>
      </c>
      <c r="U899" s="3" t="str">
        <f t="shared" si="229"/>
        <v>dxAC_equip__pkgTerm</v>
      </c>
      <c r="V899" s="3" t="s">
        <v>111</v>
      </c>
      <c r="W899" s="3" t="s">
        <v>193</v>
      </c>
      <c r="X899" s="3" t="s">
        <v>111</v>
      </c>
      <c r="Y899" s="3" t="s">
        <v>193</v>
      </c>
      <c r="AA899" s="3" t="s">
        <v>194</v>
      </c>
    </row>
    <row r="900" spans="1:27" x14ac:dyDescent="0.35">
      <c r="A900" s="3" t="s">
        <v>10771</v>
      </c>
      <c r="B900" s="3" t="s">
        <v>10675</v>
      </c>
      <c r="C900" s="3" t="s">
        <v>10770</v>
      </c>
      <c r="D900" s="3" t="str">
        <f t="shared" si="226"/>
        <v>SWHC027-09 PTAC PTHP</v>
      </c>
      <c r="E900" s="3" t="str">
        <f t="shared" si="230"/>
        <v>SWHC027-09 PTAC PTHP_SFm_1975</v>
      </c>
      <c r="F900" t="s">
        <v>192</v>
      </c>
      <c r="G900" t="str">
        <f t="shared" si="214"/>
        <v>RE-HV-PTAC-10.27EER</v>
      </c>
      <c r="H900" t="str">
        <f t="shared" si="234"/>
        <v>RE-HV-PTAC-8.56EER</v>
      </c>
      <c r="I900" t="str">
        <f t="shared" si="224"/>
        <v>RE-HV-PTAC-8.56EER</v>
      </c>
      <c r="J900" t="str">
        <f t="shared" si="225"/>
        <v>RE-HV-PTAC-10.27EER</v>
      </c>
      <c r="K900" t="s">
        <v>191</v>
      </c>
      <c r="L900" t="s">
        <v>191</v>
      </c>
      <c r="M900" t="s">
        <v>192</v>
      </c>
      <c r="N900" s="3" t="str">
        <f t="shared" si="236"/>
        <v>SFm&amp;2&amp;rDXGF&amp;Ex&amp;dxAC_equip__pkgTerm</v>
      </c>
      <c r="O900" s="3" t="s">
        <v>50</v>
      </c>
      <c r="P900" s="3">
        <v>2</v>
      </c>
      <c r="Q900" s="3" t="s">
        <v>51</v>
      </c>
      <c r="R900" s="3" t="s">
        <v>52</v>
      </c>
      <c r="S900" s="3" t="s">
        <v>10734</v>
      </c>
      <c r="T900" s="3" t="str">
        <f t="shared" si="228"/>
        <v>dxAC_equip__pkgTerm</v>
      </c>
      <c r="U900" s="3" t="str">
        <f t="shared" si="229"/>
        <v>dxAC_equip__pkgTerm</v>
      </c>
      <c r="V900" s="3" t="s">
        <v>111</v>
      </c>
      <c r="W900" s="3" t="s">
        <v>193</v>
      </c>
      <c r="X900" s="3" t="s">
        <v>111</v>
      </c>
      <c r="Y900" s="3" t="s">
        <v>193</v>
      </c>
      <c r="AA900" s="3" t="s">
        <v>194</v>
      </c>
    </row>
    <row r="901" spans="1:27" x14ac:dyDescent="0.35">
      <c r="A901" s="3" t="s">
        <v>10771</v>
      </c>
      <c r="B901" s="3" t="s">
        <v>10675</v>
      </c>
      <c r="C901" s="3" t="s">
        <v>10770</v>
      </c>
      <c r="D901" s="3" t="str">
        <f t="shared" si="226"/>
        <v>SWHC027-09 PTAC PTHP</v>
      </c>
      <c r="E901" s="3" t="str">
        <f t="shared" si="230"/>
        <v>SWHC027-09 PTAC PTHP_SFm_1975</v>
      </c>
      <c r="F901" t="s">
        <v>197</v>
      </c>
      <c r="G901" t="str">
        <f t="shared" si="214"/>
        <v>RE-HV-PTAC-12.84EER</v>
      </c>
      <c r="H901" t="str">
        <f t="shared" si="234"/>
        <v>RE-HV-PTAC-10.70EER</v>
      </c>
      <c r="I901" t="str">
        <f t="shared" si="224"/>
        <v>RE-HV-PTAC-10.70EER</v>
      </c>
      <c r="J901" t="str">
        <f t="shared" si="225"/>
        <v>RE-HV-PTAC-12.84EER</v>
      </c>
      <c r="K901" t="s">
        <v>196</v>
      </c>
      <c r="L901" t="s">
        <v>196</v>
      </c>
      <c r="M901" t="s">
        <v>197</v>
      </c>
      <c r="N901" s="3" t="str">
        <f t="shared" si="236"/>
        <v>SFm&amp;2&amp;rDXGF&amp;Ex&amp;dxAC_equip__pkgTerm</v>
      </c>
      <c r="O901" s="3" t="s">
        <v>50</v>
      </c>
      <c r="P901" s="3">
        <v>2</v>
      </c>
      <c r="Q901" s="3" t="s">
        <v>51</v>
      </c>
      <c r="R901" s="3" t="s">
        <v>52</v>
      </c>
      <c r="S901" s="3" t="s">
        <v>10734</v>
      </c>
      <c r="T901" s="3" t="str">
        <f t="shared" si="228"/>
        <v>dxAC_equip__pkgTerm</v>
      </c>
      <c r="U901" s="3" t="str">
        <f t="shared" si="229"/>
        <v>dxAC_equip__pkgTerm</v>
      </c>
      <c r="V901" s="3" t="s">
        <v>111</v>
      </c>
      <c r="W901" s="3" t="s">
        <v>193</v>
      </c>
      <c r="X901" s="3" t="s">
        <v>111</v>
      </c>
      <c r="Y901" s="3" t="s">
        <v>193</v>
      </c>
      <c r="AA901" s="3" t="s">
        <v>194</v>
      </c>
    </row>
    <row r="902" spans="1:27" x14ac:dyDescent="0.35">
      <c r="A902" s="3" t="s">
        <v>10771</v>
      </c>
      <c r="B902" s="3" t="s">
        <v>10675</v>
      </c>
      <c r="C902" s="3" t="s">
        <v>10770</v>
      </c>
      <c r="D902" s="3" t="str">
        <f t="shared" si="226"/>
        <v>SWHC027-09 PTAC PTHP</v>
      </c>
      <c r="E902" s="3" t="str">
        <f t="shared" si="230"/>
        <v>SWHC027-09 PTAC PTHP_SFm_1975</v>
      </c>
      <c r="F902" t="s">
        <v>197</v>
      </c>
      <c r="G902" t="str">
        <f t="shared" si="214"/>
        <v>RE-HV-PTAC-12.84EER</v>
      </c>
      <c r="H902" t="str">
        <f t="shared" si="234"/>
        <v>RE-HV-PTAC-10.70EER</v>
      </c>
      <c r="I902" t="str">
        <f t="shared" si="224"/>
        <v>RE-HV-PTAC-10.70EER</v>
      </c>
      <c r="J902" t="str">
        <f t="shared" si="225"/>
        <v>RE-HV-PTAC-12.84EER</v>
      </c>
      <c r="K902" t="s">
        <v>196</v>
      </c>
      <c r="L902" t="s">
        <v>196</v>
      </c>
      <c r="M902" t="s">
        <v>197</v>
      </c>
      <c r="N902" s="3" t="str">
        <f t="shared" si="236"/>
        <v>SFm&amp;2&amp;rDXGF&amp;Ex&amp;dxAC_equip__pkgTerm</v>
      </c>
      <c r="O902" s="3" t="s">
        <v>50</v>
      </c>
      <c r="P902" s="3">
        <v>2</v>
      </c>
      <c r="Q902" s="3" t="s">
        <v>51</v>
      </c>
      <c r="R902" s="3" t="s">
        <v>52</v>
      </c>
      <c r="S902" s="3" t="s">
        <v>10734</v>
      </c>
      <c r="T902" s="3" t="str">
        <f t="shared" si="228"/>
        <v>dxAC_equip__pkgTerm</v>
      </c>
      <c r="U902" s="3" t="str">
        <f t="shared" si="229"/>
        <v>dxAC_equip__pkgTerm</v>
      </c>
      <c r="V902" s="3" t="s">
        <v>111</v>
      </c>
      <c r="W902" s="3" t="s">
        <v>193</v>
      </c>
      <c r="X902" s="3" t="s">
        <v>111</v>
      </c>
      <c r="Y902" s="3" t="s">
        <v>193</v>
      </c>
      <c r="AA902" s="3" t="s">
        <v>194</v>
      </c>
    </row>
    <row r="903" spans="1:27" x14ac:dyDescent="0.35">
      <c r="A903" s="3" t="s">
        <v>10771</v>
      </c>
      <c r="B903" s="3" t="s">
        <v>10675</v>
      </c>
      <c r="C903" s="3" t="s">
        <v>10770</v>
      </c>
      <c r="D903" s="3" t="str">
        <f t="shared" si="226"/>
        <v>SWHC027-09 PTAC PTHP</v>
      </c>
      <c r="E903" s="3" t="str">
        <f t="shared" si="230"/>
        <v>SWHC027-09 PTAC PTHP_SFm_1975</v>
      </c>
      <c r="F903" t="s">
        <v>197</v>
      </c>
      <c r="G903" t="str">
        <f t="shared" si="214"/>
        <v>RE-HV-PTAC-12.84EER</v>
      </c>
      <c r="H903" t="str">
        <f t="shared" si="234"/>
        <v>RE-HV-PTAC-10.70EER</v>
      </c>
      <c r="I903" t="str">
        <f t="shared" si="224"/>
        <v>RE-HV-PTAC-10.70EER</v>
      </c>
      <c r="J903" t="str">
        <f t="shared" si="225"/>
        <v>RE-HV-PTAC-12.84EER</v>
      </c>
      <c r="K903" t="s">
        <v>196</v>
      </c>
      <c r="L903" t="s">
        <v>196</v>
      </c>
      <c r="M903" t="s">
        <v>197</v>
      </c>
      <c r="N903" s="3" t="str">
        <f t="shared" si="236"/>
        <v>SFm&amp;2&amp;rDXGF&amp;Ex&amp;dxAC_equip__pkgTerm</v>
      </c>
      <c r="O903" s="3" t="s">
        <v>50</v>
      </c>
      <c r="P903" s="3">
        <v>2</v>
      </c>
      <c r="Q903" s="3" t="s">
        <v>51</v>
      </c>
      <c r="R903" s="3" t="s">
        <v>52</v>
      </c>
      <c r="S903" s="3" t="s">
        <v>10734</v>
      </c>
      <c r="T903" s="3" t="str">
        <f t="shared" si="228"/>
        <v>dxAC_equip__pkgTerm</v>
      </c>
      <c r="U903" s="3" t="str">
        <f t="shared" si="229"/>
        <v>dxAC_equip__pkgTerm</v>
      </c>
      <c r="V903" s="3" t="s">
        <v>111</v>
      </c>
      <c r="W903" s="3" t="s">
        <v>193</v>
      </c>
      <c r="X903" s="3" t="s">
        <v>111</v>
      </c>
      <c r="Y903" s="3" t="s">
        <v>193</v>
      </c>
      <c r="AA903" s="3" t="s">
        <v>194</v>
      </c>
    </row>
    <row r="904" spans="1:27" x14ac:dyDescent="0.35">
      <c r="A904" s="3" t="s">
        <v>10771</v>
      </c>
      <c r="B904" s="3" t="s">
        <v>10675</v>
      </c>
      <c r="C904" s="3" t="s">
        <v>10770</v>
      </c>
      <c r="D904" s="3" t="str">
        <f t="shared" si="226"/>
        <v>SWHC027-09 PTAC PTHP</v>
      </c>
      <c r="E904" s="3" t="str">
        <f t="shared" si="230"/>
        <v>SWHC027-09 PTAC PTHP_SFm_1975</v>
      </c>
      <c r="F904" t="s">
        <v>197</v>
      </c>
      <c r="G904" t="str">
        <f>F904</f>
        <v>RE-HV-PTAC-12.84EER</v>
      </c>
      <c r="H904" t="str">
        <f>K904</f>
        <v>RE-HV-PTAC-10.70EER</v>
      </c>
      <c r="I904" t="str">
        <f t="shared" si="224"/>
        <v>RE-HV-PTAC-10.70EER</v>
      </c>
      <c r="J904" t="str">
        <f t="shared" si="225"/>
        <v>RE-HV-PTAC-12.84EER</v>
      </c>
      <c r="K904" t="s">
        <v>196</v>
      </c>
      <c r="L904" t="s">
        <v>196</v>
      </c>
      <c r="M904" t="s">
        <v>197</v>
      </c>
      <c r="N904" s="3" t="str">
        <f t="shared" si="190"/>
        <v>SFm&amp;2&amp;rDXGF&amp;Ex&amp;dxAC_equip__pkgTerm</v>
      </c>
      <c r="O904" s="3" t="s">
        <v>50</v>
      </c>
      <c r="P904" s="3">
        <v>2</v>
      </c>
      <c r="Q904" s="3" t="s">
        <v>51</v>
      </c>
      <c r="R904" s="3" t="s">
        <v>52</v>
      </c>
      <c r="S904" s="3" t="s">
        <v>10734</v>
      </c>
      <c r="T904" s="3" t="str">
        <f t="shared" si="228"/>
        <v>dxAC_equip__pkgTerm</v>
      </c>
      <c r="U904" s="3" t="str">
        <f t="shared" si="229"/>
        <v>dxAC_equip__pkgTerm</v>
      </c>
      <c r="V904" s="3" t="s">
        <v>111</v>
      </c>
      <c r="W904" s="3" t="s">
        <v>193</v>
      </c>
      <c r="X904" s="3" t="s">
        <v>111</v>
      </c>
      <c r="Y904" s="3" t="s">
        <v>193</v>
      </c>
      <c r="AA904" s="3" t="s">
        <v>194</v>
      </c>
    </row>
    <row r="905" spans="1:27" x14ac:dyDescent="0.35">
      <c r="A905" s="3" t="s">
        <v>10771</v>
      </c>
      <c r="B905" s="3" t="s">
        <v>10675</v>
      </c>
      <c r="C905" s="3" t="s">
        <v>10770</v>
      </c>
      <c r="D905" s="3" t="str">
        <f t="shared" si="226"/>
        <v>SWHC027-09 PTAC PTHP</v>
      </c>
      <c r="E905" s="3" t="str">
        <f t="shared" si="230"/>
        <v>SWHC027-09 PTAC PTHP_SFm_1975</v>
      </c>
      <c r="F905" t="s">
        <v>197</v>
      </c>
      <c r="G905" t="str">
        <f t="shared" si="214"/>
        <v>RE-HV-PTAC-12.84EER</v>
      </c>
      <c r="H905" t="str">
        <f t="shared" ref="H905:H915" si="237">K905</f>
        <v>RE-HV-PTAC-10.70EER</v>
      </c>
      <c r="I905" t="str">
        <f t="shared" si="224"/>
        <v>RE-HV-PTAC-10.70EER</v>
      </c>
      <c r="J905" t="str">
        <f t="shared" si="225"/>
        <v>RE-HV-PTAC-12.84EER</v>
      </c>
      <c r="K905" t="s">
        <v>196</v>
      </c>
      <c r="L905" t="s">
        <v>196</v>
      </c>
      <c r="M905" t="s">
        <v>197</v>
      </c>
      <c r="N905" s="3" t="str">
        <f t="shared" ref="N905:N909" si="238">IF(S905="No", O905&amp;"&amp;"&amp;P905&amp;"&amp;"&amp;Q905&amp;"&amp;"&amp;R905&amp;"&amp;"&amp;T905,   O905&amp;"&amp;"&amp;P905&amp;"&amp;"&amp;Q905&amp;"&amp;"&amp;R905&amp;"&amp;"&amp;T905&amp;"&amp;"&amp;U905)</f>
        <v>SFm&amp;2&amp;rDXGF&amp;Ex&amp;dxAC_equip__pkgTerm</v>
      </c>
      <c r="O905" s="3" t="s">
        <v>50</v>
      </c>
      <c r="P905" s="3">
        <v>2</v>
      </c>
      <c r="Q905" s="3" t="s">
        <v>51</v>
      </c>
      <c r="R905" s="3" t="s">
        <v>52</v>
      </c>
      <c r="S905" s="3" t="s">
        <v>10734</v>
      </c>
      <c r="T905" s="3" t="str">
        <f t="shared" si="228"/>
        <v>dxAC_equip__pkgTerm</v>
      </c>
      <c r="U905" s="3" t="str">
        <f t="shared" si="229"/>
        <v>dxAC_equip__pkgTerm</v>
      </c>
      <c r="V905" s="3" t="s">
        <v>111</v>
      </c>
      <c r="W905" s="3" t="s">
        <v>193</v>
      </c>
      <c r="X905" s="3" t="s">
        <v>111</v>
      </c>
      <c r="Y905" s="3" t="s">
        <v>193</v>
      </c>
      <c r="AA905" s="3" t="s">
        <v>194</v>
      </c>
    </row>
    <row r="906" spans="1:27" x14ac:dyDescent="0.35">
      <c r="A906" s="3" t="s">
        <v>10771</v>
      </c>
      <c r="B906" s="3" t="s">
        <v>10675</v>
      </c>
      <c r="C906" s="3" t="s">
        <v>10770</v>
      </c>
      <c r="D906" s="3" t="str">
        <f t="shared" si="226"/>
        <v>SWHC027-09 PTAC PTHP</v>
      </c>
      <c r="E906" s="3" t="str">
        <f t="shared" si="230"/>
        <v>SWHC027-09 PTAC PTHP_SFm_1975</v>
      </c>
      <c r="F906" t="s">
        <v>197</v>
      </c>
      <c r="G906" t="str">
        <f t="shared" si="214"/>
        <v>RE-HV-PTAC-12.84EER</v>
      </c>
      <c r="H906" t="str">
        <f t="shared" si="237"/>
        <v>RE-HV-PTAC-10.70EER</v>
      </c>
      <c r="I906" t="str">
        <f t="shared" si="224"/>
        <v>RE-HV-PTAC-10.70EER</v>
      </c>
      <c r="J906" t="str">
        <f t="shared" si="225"/>
        <v>RE-HV-PTAC-12.84EER</v>
      </c>
      <c r="K906" t="s">
        <v>196</v>
      </c>
      <c r="L906" t="s">
        <v>196</v>
      </c>
      <c r="M906" t="s">
        <v>197</v>
      </c>
      <c r="N906" s="3" t="str">
        <f t="shared" si="238"/>
        <v>SFm&amp;2&amp;rDXGF&amp;Ex&amp;dxAC_equip__pkgTerm</v>
      </c>
      <c r="O906" s="3" t="s">
        <v>50</v>
      </c>
      <c r="P906" s="3">
        <v>2</v>
      </c>
      <c r="Q906" s="3" t="s">
        <v>51</v>
      </c>
      <c r="R906" s="3" t="s">
        <v>52</v>
      </c>
      <c r="S906" s="3" t="s">
        <v>10734</v>
      </c>
      <c r="T906" s="3" t="str">
        <f t="shared" si="228"/>
        <v>dxAC_equip__pkgTerm</v>
      </c>
      <c r="U906" s="3" t="str">
        <f t="shared" si="229"/>
        <v>dxAC_equip__pkgTerm</v>
      </c>
      <c r="V906" s="3" t="s">
        <v>111</v>
      </c>
      <c r="W906" s="3" t="s">
        <v>193</v>
      </c>
      <c r="X906" s="3" t="s">
        <v>111</v>
      </c>
      <c r="Y906" s="3" t="s">
        <v>193</v>
      </c>
      <c r="AA906" s="3" t="s">
        <v>194</v>
      </c>
    </row>
    <row r="907" spans="1:27" x14ac:dyDescent="0.35">
      <c r="A907" s="3" t="s">
        <v>10771</v>
      </c>
      <c r="B907" s="3" t="s">
        <v>10675</v>
      </c>
      <c r="C907" s="3" t="s">
        <v>10770</v>
      </c>
      <c r="D907" s="3" t="str">
        <f t="shared" si="226"/>
        <v>SWHC027-09 PTAC PTHP</v>
      </c>
      <c r="E907" s="3" t="str">
        <f t="shared" si="230"/>
        <v>SWHC027-09 PTAC PTHP_SFm_1975</v>
      </c>
      <c r="F907" t="s">
        <v>201</v>
      </c>
      <c r="G907" t="str">
        <f t="shared" si="214"/>
        <v>RE-HV-PTHP-10.15EER-3.13COP</v>
      </c>
      <c r="H907" t="str">
        <f t="shared" si="237"/>
        <v>RE-HV-PTHP-8.46EER-2.61COP</v>
      </c>
      <c r="I907" t="str">
        <f t="shared" si="224"/>
        <v>RE-HV-PTHP-8.46EER-2.61COP</v>
      </c>
      <c r="J907" t="str">
        <f t="shared" si="225"/>
        <v>RE-HV-PTHP-10.15EER-3.13COP</v>
      </c>
      <c r="K907" t="s">
        <v>200</v>
      </c>
      <c r="L907" t="s">
        <v>200</v>
      </c>
      <c r="M907" t="s">
        <v>201</v>
      </c>
      <c r="N907" s="3" t="str">
        <f t="shared" si="238"/>
        <v>SFm&amp;2&amp;rDXHP&amp;Ex&amp;dxHP_equip__pkgTerm</v>
      </c>
      <c r="O907" s="3" t="s">
        <v>50</v>
      </c>
      <c r="P907" s="3">
        <v>2</v>
      </c>
      <c r="Q907" s="3" t="s">
        <v>57</v>
      </c>
      <c r="R907" s="3" t="s">
        <v>52</v>
      </c>
      <c r="S907" s="3" t="s">
        <v>10734</v>
      </c>
      <c r="T907" s="3" t="str">
        <f t="shared" si="228"/>
        <v>dxHP_equip__pkgTerm</v>
      </c>
      <c r="U907" s="3" t="str">
        <f t="shared" si="229"/>
        <v>dxHP_equip__pkgTerm</v>
      </c>
      <c r="V907" s="3" t="s">
        <v>105</v>
      </c>
      <c r="W907" s="3" t="s">
        <v>193</v>
      </c>
      <c r="X907" s="3" t="s">
        <v>105</v>
      </c>
      <c r="Y907" s="3" t="s">
        <v>193</v>
      </c>
      <c r="AA907" s="3" t="s">
        <v>194</v>
      </c>
    </row>
    <row r="908" spans="1:27" x14ac:dyDescent="0.35">
      <c r="A908" s="3" t="s">
        <v>10771</v>
      </c>
      <c r="B908" s="3" t="s">
        <v>10675</v>
      </c>
      <c r="C908" s="3" t="s">
        <v>10770</v>
      </c>
      <c r="D908" s="3" t="str">
        <f t="shared" si="226"/>
        <v>SWHC027-09 PTAC PTHP</v>
      </c>
      <c r="E908" s="3" t="str">
        <f t="shared" si="230"/>
        <v>SWHC027-09 PTAC PTHP_SFm_1975</v>
      </c>
      <c r="F908" t="s">
        <v>201</v>
      </c>
      <c r="G908" t="str">
        <f t="shared" si="214"/>
        <v>RE-HV-PTHP-10.15EER-3.13COP</v>
      </c>
      <c r="H908" t="str">
        <f t="shared" si="237"/>
        <v>RE-HV-PTHP-8.46EER-2.61COP</v>
      </c>
      <c r="I908" t="str">
        <f t="shared" si="224"/>
        <v>RE-HV-PTHP-8.46EER-2.61COP</v>
      </c>
      <c r="J908" t="str">
        <f t="shared" si="225"/>
        <v>RE-HV-PTHP-10.15EER-3.13COP</v>
      </c>
      <c r="K908" t="s">
        <v>200</v>
      </c>
      <c r="L908" t="s">
        <v>200</v>
      </c>
      <c r="M908" t="s">
        <v>201</v>
      </c>
      <c r="N908" s="3" t="str">
        <f t="shared" si="238"/>
        <v>SFm&amp;2&amp;rDXHP&amp;Ex&amp;dxHP_equip__pkgTerm</v>
      </c>
      <c r="O908" s="3" t="s">
        <v>50</v>
      </c>
      <c r="P908" s="3">
        <v>2</v>
      </c>
      <c r="Q908" s="3" t="s">
        <v>57</v>
      </c>
      <c r="R908" s="3" t="s">
        <v>52</v>
      </c>
      <c r="S908" s="3" t="s">
        <v>10734</v>
      </c>
      <c r="T908" s="3" t="str">
        <f t="shared" ref="T908:T943" si="239">V908&amp;"__"&amp;W908</f>
        <v>dxHP_equip__pkgTerm</v>
      </c>
      <c r="U908" s="3" t="str">
        <f t="shared" ref="U908:U943" si="240">X908&amp;"__"&amp;Y908</f>
        <v>dxHP_equip__pkgTerm</v>
      </c>
      <c r="V908" s="3" t="s">
        <v>105</v>
      </c>
      <c r="W908" s="3" t="s">
        <v>193</v>
      </c>
      <c r="X908" s="3" t="s">
        <v>105</v>
      </c>
      <c r="Y908" s="3" t="s">
        <v>193</v>
      </c>
      <c r="AA908" s="3" t="s">
        <v>194</v>
      </c>
    </row>
    <row r="909" spans="1:27" x14ac:dyDescent="0.35">
      <c r="A909" s="3" t="s">
        <v>10771</v>
      </c>
      <c r="B909" s="3" t="s">
        <v>10675</v>
      </c>
      <c r="C909" s="3" t="s">
        <v>10770</v>
      </c>
      <c r="D909" s="3" t="str">
        <f t="shared" si="226"/>
        <v>SWHC027-09 PTAC PTHP</v>
      </c>
      <c r="E909" s="3" t="str">
        <f t="shared" si="230"/>
        <v>SWHC027-09 PTAC PTHP_SFm_1975</v>
      </c>
      <c r="F909" t="s">
        <v>201</v>
      </c>
      <c r="G909" t="str">
        <f t="shared" si="214"/>
        <v>RE-HV-PTHP-10.15EER-3.13COP</v>
      </c>
      <c r="H909" t="str">
        <f t="shared" si="237"/>
        <v>RE-HV-PTHP-8.46EER-2.61COP</v>
      </c>
      <c r="I909" t="str">
        <f t="shared" si="224"/>
        <v>RE-HV-PTHP-8.46EER-2.61COP</v>
      </c>
      <c r="J909" t="str">
        <f t="shared" si="225"/>
        <v>RE-HV-PTHP-10.15EER-3.13COP</v>
      </c>
      <c r="K909" t="s">
        <v>200</v>
      </c>
      <c r="L909" t="s">
        <v>200</v>
      </c>
      <c r="M909" t="s">
        <v>201</v>
      </c>
      <c r="N909" s="3" t="str">
        <f t="shared" si="238"/>
        <v>SFm&amp;2&amp;rDXHP&amp;Ex&amp;dxHP_equip__pkgTerm</v>
      </c>
      <c r="O909" s="3" t="s">
        <v>50</v>
      </c>
      <c r="P909" s="3">
        <v>2</v>
      </c>
      <c r="Q909" s="3" t="s">
        <v>57</v>
      </c>
      <c r="R909" s="3" t="s">
        <v>52</v>
      </c>
      <c r="S909" s="3" t="s">
        <v>10734</v>
      </c>
      <c r="T909" s="3" t="str">
        <f t="shared" si="239"/>
        <v>dxHP_equip__pkgTerm</v>
      </c>
      <c r="U909" s="3" t="str">
        <f t="shared" si="240"/>
        <v>dxHP_equip__pkgTerm</v>
      </c>
      <c r="V909" s="3" t="s">
        <v>105</v>
      </c>
      <c r="W909" s="3" t="s">
        <v>193</v>
      </c>
      <c r="X909" s="3" t="s">
        <v>105</v>
      </c>
      <c r="Y909" s="3" t="s">
        <v>193</v>
      </c>
      <c r="AA909" s="3" t="s">
        <v>194</v>
      </c>
    </row>
    <row r="910" spans="1:27" x14ac:dyDescent="0.35">
      <c r="A910" s="3" t="s">
        <v>10771</v>
      </c>
      <c r="B910" s="3" t="s">
        <v>10675</v>
      </c>
      <c r="C910" s="3" t="s">
        <v>10770</v>
      </c>
      <c r="D910" s="3" t="str">
        <f t="shared" si="226"/>
        <v>SWHC027-09 PTAC PTHP</v>
      </c>
      <c r="E910" s="3" t="str">
        <f t="shared" si="230"/>
        <v>SWHC027-09 PTAC PTHP_SFm_1975</v>
      </c>
      <c r="F910" t="s">
        <v>204</v>
      </c>
      <c r="G910" t="str">
        <f t="shared" si="214"/>
        <v>RE-HV-PTHP-12.84EER-3.76COP</v>
      </c>
      <c r="H910" t="str">
        <f t="shared" si="237"/>
        <v>RE-HV-PTHP-10.70EER-3.13COP</v>
      </c>
      <c r="I910" t="str">
        <f t="shared" si="224"/>
        <v>RE-HV-PTHP-10.70EER-3.13COP</v>
      </c>
      <c r="J910" t="str">
        <f t="shared" si="225"/>
        <v>RE-HV-PTHP-12.84EER-3.76COP</v>
      </c>
      <c r="K910" t="s">
        <v>203</v>
      </c>
      <c r="L910" t="s">
        <v>203</v>
      </c>
      <c r="M910" t="s">
        <v>204</v>
      </c>
      <c r="N910" s="3" t="str">
        <f t="shared" si="190"/>
        <v>SFm&amp;2&amp;rDXHP&amp;Ex&amp;dxHP_equip__pkgTerm</v>
      </c>
      <c r="O910" s="3" t="s">
        <v>50</v>
      </c>
      <c r="P910" s="3">
        <v>2</v>
      </c>
      <c r="Q910" s="3" t="s">
        <v>57</v>
      </c>
      <c r="R910" s="3" t="s">
        <v>52</v>
      </c>
      <c r="S910" s="3" t="s">
        <v>10734</v>
      </c>
      <c r="T910" s="3" t="str">
        <f t="shared" si="239"/>
        <v>dxHP_equip__pkgTerm</v>
      </c>
      <c r="U910" s="3" t="str">
        <f t="shared" si="240"/>
        <v>dxHP_equip__pkgTerm</v>
      </c>
      <c r="V910" s="3" t="s">
        <v>105</v>
      </c>
      <c r="W910" s="3" t="s">
        <v>193</v>
      </c>
      <c r="X910" s="3" t="s">
        <v>105</v>
      </c>
      <c r="Y910" s="3" t="s">
        <v>193</v>
      </c>
      <c r="AA910" s="3" t="s">
        <v>194</v>
      </c>
    </row>
    <row r="911" spans="1:27" x14ac:dyDescent="0.35">
      <c r="A911" s="3" t="s">
        <v>10771</v>
      </c>
      <c r="B911" s="3" t="s">
        <v>10675</v>
      </c>
      <c r="C911" s="3" t="s">
        <v>10770</v>
      </c>
      <c r="D911" s="3" t="str">
        <f t="shared" si="226"/>
        <v>SWHC027-09 PTAC PTHP</v>
      </c>
      <c r="E911" s="3" t="str">
        <f t="shared" si="230"/>
        <v>SWHC027-09 PTAC PTHP_SFm_1975</v>
      </c>
      <c r="F911" t="s">
        <v>204</v>
      </c>
      <c r="G911" t="str">
        <f t="shared" si="214"/>
        <v>RE-HV-PTHP-12.84EER-3.76COP</v>
      </c>
      <c r="H911" t="str">
        <f t="shared" si="237"/>
        <v>RE-HV-PTHP-10.70EER-3.13COP</v>
      </c>
      <c r="I911" t="str">
        <f t="shared" si="224"/>
        <v>RE-HV-PTHP-10.70EER-3.13COP</v>
      </c>
      <c r="J911" t="str">
        <f t="shared" si="225"/>
        <v>RE-HV-PTHP-12.84EER-3.76COP</v>
      </c>
      <c r="K911" t="s">
        <v>203</v>
      </c>
      <c r="L911" t="s">
        <v>203</v>
      </c>
      <c r="M911" t="s">
        <v>204</v>
      </c>
      <c r="N911" s="3" t="str">
        <f t="shared" ref="N911:N946" si="241">IF(S911="No", O911&amp;"&amp;"&amp;P911&amp;"&amp;"&amp;Q911&amp;"&amp;"&amp;R911&amp;"&amp;"&amp;T911,   O911&amp;"&amp;"&amp;P911&amp;"&amp;"&amp;Q911&amp;"&amp;"&amp;R911&amp;"&amp;"&amp;T911&amp;"&amp;"&amp;U911)</f>
        <v>SFm&amp;2&amp;rDXHP&amp;Ex&amp;dxHP_equip__pkgTerm</v>
      </c>
      <c r="O911" s="3" t="s">
        <v>50</v>
      </c>
      <c r="P911" s="3">
        <v>2</v>
      </c>
      <c r="Q911" s="3" t="s">
        <v>57</v>
      </c>
      <c r="R911" s="3" t="s">
        <v>52</v>
      </c>
      <c r="S911" s="3" t="s">
        <v>10734</v>
      </c>
      <c r="T911" s="3" t="str">
        <f t="shared" si="239"/>
        <v>dxHP_equip__pkgTerm</v>
      </c>
      <c r="U911" s="3" t="str">
        <f t="shared" si="240"/>
        <v>dxHP_equip__pkgTerm</v>
      </c>
      <c r="V911" s="3" t="s">
        <v>105</v>
      </c>
      <c r="W911" s="3" t="s">
        <v>193</v>
      </c>
      <c r="X911" s="3" t="s">
        <v>105</v>
      </c>
      <c r="Y911" s="3" t="s">
        <v>193</v>
      </c>
      <c r="AA911" s="3" t="s">
        <v>194</v>
      </c>
    </row>
    <row r="912" spans="1:27" x14ac:dyDescent="0.35">
      <c r="A912" s="3" t="s">
        <v>10771</v>
      </c>
      <c r="B912" s="3" t="s">
        <v>10675</v>
      </c>
      <c r="C912" s="3" t="s">
        <v>10770</v>
      </c>
      <c r="D912" s="3" t="str">
        <f t="shared" si="226"/>
        <v>SWHC027-09 PTAC PTHP</v>
      </c>
      <c r="E912" s="3" t="str">
        <f t="shared" si="230"/>
        <v>SWHC027-09 PTAC PTHP_SFm_1975</v>
      </c>
      <c r="F912" t="s">
        <v>204</v>
      </c>
      <c r="G912" t="str">
        <f t="shared" si="214"/>
        <v>RE-HV-PTHP-12.84EER-3.76COP</v>
      </c>
      <c r="H912" t="str">
        <f t="shared" si="237"/>
        <v>RE-HV-PTHP-10.70EER-3.13COP</v>
      </c>
      <c r="I912" t="str">
        <f t="shared" si="224"/>
        <v>RE-HV-PTHP-10.70EER-3.13COP</v>
      </c>
      <c r="J912" t="str">
        <f t="shared" si="225"/>
        <v>RE-HV-PTHP-12.84EER-3.76COP</v>
      </c>
      <c r="K912" t="s">
        <v>203</v>
      </c>
      <c r="L912" t="s">
        <v>203</v>
      </c>
      <c r="M912" t="s">
        <v>204</v>
      </c>
      <c r="N912" s="3" t="str">
        <f t="shared" si="241"/>
        <v>SFm&amp;2&amp;rDXHP&amp;Ex&amp;dxHP_equip__pkgTerm</v>
      </c>
      <c r="O912" s="3" t="s">
        <v>50</v>
      </c>
      <c r="P912" s="3">
        <v>2</v>
      </c>
      <c r="Q912" s="3" t="s">
        <v>57</v>
      </c>
      <c r="R912" s="3" t="s">
        <v>52</v>
      </c>
      <c r="S912" s="3" t="s">
        <v>10734</v>
      </c>
      <c r="T912" s="3" t="str">
        <f t="shared" si="239"/>
        <v>dxHP_equip__pkgTerm</v>
      </c>
      <c r="U912" s="3" t="str">
        <f t="shared" si="240"/>
        <v>dxHP_equip__pkgTerm</v>
      </c>
      <c r="V912" s="3" t="s">
        <v>105</v>
      </c>
      <c r="W912" s="3" t="s">
        <v>193</v>
      </c>
      <c r="X912" s="3" t="s">
        <v>105</v>
      </c>
      <c r="Y912" s="3" t="s">
        <v>193</v>
      </c>
      <c r="AA912" s="3" t="s">
        <v>194</v>
      </c>
    </row>
    <row r="913" spans="1:27" x14ac:dyDescent="0.35">
      <c r="A913" s="3" t="s">
        <v>10771</v>
      </c>
      <c r="B913" s="3" t="s">
        <v>10675</v>
      </c>
      <c r="C913" s="3" t="s">
        <v>10770</v>
      </c>
      <c r="D913" s="3" t="str">
        <f t="shared" si="226"/>
        <v>SWHC027-09 PTAC PTHP</v>
      </c>
      <c r="E913" s="3" t="str">
        <f t="shared" si="230"/>
        <v>SWHC027-09 PTAC PTHP_SFm_1975</v>
      </c>
      <c r="F913" t="s">
        <v>204</v>
      </c>
      <c r="G913" t="str">
        <f t="shared" si="214"/>
        <v>RE-HV-PTHP-12.84EER-3.76COP</v>
      </c>
      <c r="H913" t="str">
        <f t="shared" si="237"/>
        <v>RE-HV-PTHP-10.70EER-3.13COP</v>
      </c>
      <c r="I913" t="str">
        <f t="shared" si="224"/>
        <v>RE-HV-PTHP-10.70EER-3.13COP</v>
      </c>
      <c r="J913" t="str">
        <f t="shared" si="225"/>
        <v>RE-HV-PTHP-12.84EER-3.76COP</v>
      </c>
      <c r="K913" t="s">
        <v>203</v>
      </c>
      <c r="L913" t="s">
        <v>203</v>
      </c>
      <c r="M913" t="s">
        <v>204</v>
      </c>
      <c r="N913" s="3" t="str">
        <f t="shared" si="241"/>
        <v>SFm&amp;2&amp;rDXHP&amp;Ex&amp;dxHP_equip__pkgTerm</v>
      </c>
      <c r="O913" s="3" t="s">
        <v>50</v>
      </c>
      <c r="P913" s="3">
        <v>2</v>
      </c>
      <c r="Q913" s="3" t="s">
        <v>57</v>
      </c>
      <c r="R913" s="3" t="s">
        <v>52</v>
      </c>
      <c r="S913" s="3" t="s">
        <v>10734</v>
      </c>
      <c r="T913" s="3" t="str">
        <f t="shared" si="239"/>
        <v>dxHP_equip__pkgTerm</v>
      </c>
      <c r="U913" s="3" t="str">
        <f t="shared" si="240"/>
        <v>dxHP_equip__pkgTerm</v>
      </c>
      <c r="V913" s="3" t="s">
        <v>105</v>
      </c>
      <c r="W913" s="3" t="s">
        <v>193</v>
      </c>
      <c r="X913" s="3" t="s">
        <v>105</v>
      </c>
      <c r="Y913" s="3" t="s">
        <v>193</v>
      </c>
      <c r="AA913" s="3" t="s">
        <v>194</v>
      </c>
    </row>
    <row r="914" spans="1:27" x14ac:dyDescent="0.35">
      <c r="A914" s="3" t="s">
        <v>10771</v>
      </c>
      <c r="B914" s="3" t="s">
        <v>10675</v>
      </c>
      <c r="C914" s="3" t="s">
        <v>10770</v>
      </c>
      <c r="D914" s="3" t="str">
        <f t="shared" si="226"/>
        <v>SWHC027-09 PTAC PTHP</v>
      </c>
      <c r="E914" s="3" t="str">
        <f t="shared" si="230"/>
        <v>SWHC027-09 PTAC PTHP_SFm_1975</v>
      </c>
      <c r="F914" t="s">
        <v>204</v>
      </c>
      <c r="G914" t="str">
        <f t="shared" si="214"/>
        <v>RE-HV-PTHP-12.84EER-3.76COP</v>
      </c>
      <c r="H914" t="str">
        <f t="shared" si="237"/>
        <v>RE-HV-PTHP-10.70EER-3.13COP</v>
      </c>
      <c r="I914" t="str">
        <f t="shared" si="224"/>
        <v>RE-HV-PTHP-10.70EER-3.13COP</v>
      </c>
      <c r="J914" t="str">
        <f t="shared" si="225"/>
        <v>RE-HV-PTHP-12.84EER-3.76COP</v>
      </c>
      <c r="K914" t="s">
        <v>203</v>
      </c>
      <c r="L914" t="s">
        <v>203</v>
      </c>
      <c r="M914" t="s">
        <v>204</v>
      </c>
      <c r="N914" s="3" t="str">
        <f t="shared" si="241"/>
        <v>SFm&amp;2&amp;rDXHP&amp;Ex&amp;dxHP_equip__pkgTerm</v>
      </c>
      <c r="O914" s="3" t="s">
        <v>50</v>
      </c>
      <c r="P914" s="3">
        <v>2</v>
      </c>
      <c r="Q914" s="3" t="s">
        <v>57</v>
      </c>
      <c r="R914" s="3" t="s">
        <v>52</v>
      </c>
      <c r="S914" s="3" t="s">
        <v>10734</v>
      </c>
      <c r="T914" s="3" t="str">
        <f t="shared" si="239"/>
        <v>dxHP_equip__pkgTerm</v>
      </c>
      <c r="U914" s="3" t="str">
        <f t="shared" si="240"/>
        <v>dxHP_equip__pkgTerm</v>
      </c>
      <c r="V914" s="3" t="s">
        <v>105</v>
      </c>
      <c r="W914" s="3" t="s">
        <v>193</v>
      </c>
      <c r="X914" s="3" t="s">
        <v>105</v>
      </c>
      <c r="Y914" s="3" t="s">
        <v>193</v>
      </c>
      <c r="AA914" s="3" t="s">
        <v>194</v>
      </c>
    </row>
    <row r="915" spans="1:27" x14ac:dyDescent="0.35">
      <c r="A915" s="3" t="s">
        <v>10771</v>
      </c>
      <c r="B915" s="3" t="s">
        <v>10675</v>
      </c>
      <c r="C915" s="3" t="s">
        <v>10770</v>
      </c>
      <c r="D915" s="3" t="str">
        <f t="shared" si="226"/>
        <v>SWHC027-09 PTAC PTHP</v>
      </c>
      <c r="E915" s="3" t="str">
        <f t="shared" si="230"/>
        <v>SWHC027-09 PTAC PTHP_SFm_1975</v>
      </c>
      <c r="F915" t="s">
        <v>204</v>
      </c>
      <c r="G915" t="str">
        <f t="shared" si="214"/>
        <v>RE-HV-PTHP-12.84EER-3.76COP</v>
      </c>
      <c r="H915" t="str">
        <f t="shared" si="237"/>
        <v>RE-HV-PTHP-10.70EER-3.13COP</v>
      </c>
      <c r="I915" t="str">
        <f t="shared" si="224"/>
        <v>RE-HV-PTHP-10.70EER-3.13COP</v>
      </c>
      <c r="J915" t="str">
        <f t="shared" si="225"/>
        <v>RE-HV-PTHP-12.84EER-3.76COP</v>
      </c>
      <c r="K915" t="s">
        <v>203</v>
      </c>
      <c r="L915" t="s">
        <v>203</v>
      </c>
      <c r="M915" t="s">
        <v>204</v>
      </c>
      <c r="N915" s="3" t="str">
        <f t="shared" si="241"/>
        <v>SFm&amp;2&amp;rDXHP&amp;Ex&amp;dxHP_equip__pkgTerm</v>
      </c>
      <c r="O915" s="3" t="s">
        <v>50</v>
      </c>
      <c r="P915" s="3">
        <v>2</v>
      </c>
      <c r="Q915" s="3" t="s">
        <v>57</v>
      </c>
      <c r="R915" s="3" t="s">
        <v>52</v>
      </c>
      <c r="S915" s="3" t="s">
        <v>10734</v>
      </c>
      <c r="T915" s="3" t="str">
        <f t="shared" si="239"/>
        <v>dxHP_equip__pkgTerm</v>
      </c>
      <c r="U915" s="3" t="str">
        <f t="shared" si="240"/>
        <v>dxHP_equip__pkgTerm</v>
      </c>
      <c r="V915" s="3" t="s">
        <v>105</v>
      </c>
      <c r="W915" s="3" t="s">
        <v>193</v>
      </c>
      <c r="X915" s="3" t="s">
        <v>105</v>
      </c>
      <c r="Y915" s="3" t="s">
        <v>193</v>
      </c>
      <c r="AA915" s="3" t="s">
        <v>194</v>
      </c>
    </row>
    <row r="916" spans="1:27" x14ac:dyDescent="0.35">
      <c r="A916" s="3" t="s">
        <v>10771</v>
      </c>
      <c r="B916" s="3" t="s">
        <v>10675</v>
      </c>
      <c r="C916" s="3" t="s">
        <v>10770</v>
      </c>
      <c r="D916" s="3" t="str">
        <f t="shared" si="226"/>
        <v>SWHC027-09 PTAC PTHP</v>
      </c>
      <c r="E916" s="3" t="str">
        <f>CONCATENATE(D916,"_",O916,"_1985")</f>
        <v>SWHC027-09 PTAC PTHP_SFm_1985</v>
      </c>
      <c r="F916" t="s">
        <v>192</v>
      </c>
      <c r="G916" t="str">
        <f>F916</f>
        <v>RE-HV-PTAC-10.27EER</v>
      </c>
      <c r="H916" t="str">
        <f>K916</f>
        <v>RE-HV-PTAC-8.56EER</v>
      </c>
      <c r="I916" t="str">
        <f t="shared" si="224"/>
        <v>RE-HV-PTAC-8.56EER</v>
      </c>
      <c r="J916" t="str">
        <f t="shared" si="225"/>
        <v>RE-HV-PTAC-10.27EER</v>
      </c>
      <c r="K916" t="s">
        <v>191</v>
      </c>
      <c r="L916" t="s">
        <v>191</v>
      </c>
      <c r="M916" t="s">
        <v>192</v>
      </c>
      <c r="N916" s="3" t="str">
        <f t="shared" si="241"/>
        <v>SFm&amp;1&amp;rDXGF&amp;Ex&amp;dxAC_equip__pkgTerm</v>
      </c>
      <c r="O916" s="3" t="s">
        <v>50</v>
      </c>
      <c r="P916" s="3">
        <v>1</v>
      </c>
      <c r="Q916" s="3" t="s">
        <v>51</v>
      </c>
      <c r="R916" s="3" t="s">
        <v>52</v>
      </c>
      <c r="S916" s="3" t="s">
        <v>10734</v>
      </c>
      <c r="T916" s="3" t="str">
        <f t="shared" si="239"/>
        <v>dxAC_equip__pkgTerm</v>
      </c>
      <c r="U916" s="3" t="str">
        <f t="shared" si="240"/>
        <v>dxAC_equip__pkgTerm</v>
      </c>
      <c r="V916" s="3" t="s">
        <v>111</v>
      </c>
      <c r="W916" s="3" t="s">
        <v>193</v>
      </c>
      <c r="X916" s="3" t="s">
        <v>111</v>
      </c>
      <c r="Y916" s="3" t="s">
        <v>193</v>
      </c>
      <c r="AA916" s="3" t="s">
        <v>194</v>
      </c>
    </row>
    <row r="917" spans="1:27" x14ac:dyDescent="0.35">
      <c r="A917" s="3" t="s">
        <v>10771</v>
      </c>
      <c r="B917" s="3" t="s">
        <v>10675</v>
      </c>
      <c r="C917" s="3" t="s">
        <v>10770</v>
      </c>
      <c r="D917" s="3" t="str">
        <f t="shared" si="226"/>
        <v>SWHC027-09 PTAC PTHP</v>
      </c>
      <c r="E917" s="3" t="str">
        <f t="shared" ref="E917:E951" si="242">CONCATENATE(D917,"_",O917,"_1985")</f>
        <v>SWHC027-09 PTAC PTHP_SFm_1985</v>
      </c>
      <c r="F917" t="s">
        <v>192</v>
      </c>
      <c r="G917" t="str">
        <f t="shared" si="214"/>
        <v>RE-HV-PTAC-10.27EER</v>
      </c>
      <c r="H917" t="str">
        <f t="shared" ref="H917:H927" si="243">K917</f>
        <v>RE-HV-PTAC-8.56EER</v>
      </c>
      <c r="I917" t="str">
        <f t="shared" si="224"/>
        <v>RE-HV-PTAC-8.56EER</v>
      </c>
      <c r="J917" t="str">
        <f t="shared" si="225"/>
        <v>RE-HV-PTAC-10.27EER</v>
      </c>
      <c r="K917" t="s">
        <v>191</v>
      </c>
      <c r="L917" t="s">
        <v>191</v>
      </c>
      <c r="M917" t="s">
        <v>192</v>
      </c>
      <c r="N917" s="3" t="str">
        <f t="shared" si="241"/>
        <v>SFm&amp;1&amp;rDXGF&amp;Ex&amp;dxAC_equip__pkgTerm</v>
      </c>
      <c r="O917" s="3" t="s">
        <v>50</v>
      </c>
      <c r="P917" s="3">
        <v>1</v>
      </c>
      <c r="Q917" s="3" t="s">
        <v>51</v>
      </c>
      <c r="R917" s="3" t="s">
        <v>52</v>
      </c>
      <c r="S917" s="3" t="s">
        <v>10734</v>
      </c>
      <c r="T917" s="3" t="str">
        <f t="shared" si="239"/>
        <v>dxAC_equip__pkgTerm</v>
      </c>
      <c r="U917" s="3" t="str">
        <f t="shared" si="240"/>
        <v>dxAC_equip__pkgTerm</v>
      </c>
      <c r="V917" s="3" t="s">
        <v>111</v>
      </c>
      <c r="W917" s="3" t="s">
        <v>193</v>
      </c>
      <c r="X917" s="3" t="s">
        <v>111</v>
      </c>
      <c r="Y917" s="3" t="s">
        <v>193</v>
      </c>
      <c r="AA917" s="3" t="s">
        <v>194</v>
      </c>
    </row>
    <row r="918" spans="1:27" x14ac:dyDescent="0.35">
      <c r="A918" s="3" t="s">
        <v>10771</v>
      </c>
      <c r="B918" s="3" t="s">
        <v>10675</v>
      </c>
      <c r="C918" s="3" t="s">
        <v>10770</v>
      </c>
      <c r="D918" s="3" t="str">
        <f t="shared" si="226"/>
        <v>SWHC027-09 PTAC PTHP</v>
      </c>
      <c r="E918" s="3" t="str">
        <f t="shared" si="242"/>
        <v>SWHC027-09 PTAC PTHP_SFm_1985</v>
      </c>
      <c r="F918" t="s">
        <v>192</v>
      </c>
      <c r="G918" t="str">
        <f t="shared" si="214"/>
        <v>RE-HV-PTAC-10.27EER</v>
      </c>
      <c r="H918" t="str">
        <f t="shared" si="243"/>
        <v>RE-HV-PTAC-8.56EER</v>
      </c>
      <c r="I918" t="str">
        <f t="shared" si="224"/>
        <v>RE-HV-PTAC-8.56EER</v>
      </c>
      <c r="J918" t="str">
        <f t="shared" si="225"/>
        <v>RE-HV-PTAC-10.27EER</v>
      </c>
      <c r="K918" t="s">
        <v>191</v>
      </c>
      <c r="L918" t="s">
        <v>191</v>
      </c>
      <c r="M918" t="s">
        <v>192</v>
      </c>
      <c r="N918" s="3" t="str">
        <f t="shared" si="241"/>
        <v>SFm&amp;1&amp;rDXGF&amp;Ex&amp;dxAC_equip__pkgTerm</v>
      </c>
      <c r="O918" s="3" t="s">
        <v>50</v>
      </c>
      <c r="P918" s="3">
        <v>1</v>
      </c>
      <c r="Q918" s="3" t="s">
        <v>51</v>
      </c>
      <c r="R918" s="3" t="s">
        <v>52</v>
      </c>
      <c r="S918" s="3" t="s">
        <v>10734</v>
      </c>
      <c r="T918" s="3" t="str">
        <f t="shared" si="239"/>
        <v>dxAC_equip__pkgTerm</v>
      </c>
      <c r="U918" s="3" t="str">
        <f t="shared" si="240"/>
        <v>dxAC_equip__pkgTerm</v>
      </c>
      <c r="V918" s="3" t="s">
        <v>111</v>
      </c>
      <c r="W918" s="3" t="s">
        <v>193</v>
      </c>
      <c r="X918" s="3" t="s">
        <v>111</v>
      </c>
      <c r="Y918" s="3" t="s">
        <v>193</v>
      </c>
      <c r="AA918" s="3" t="s">
        <v>194</v>
      </c>
    </row>
    <row r="919" spans="1:27" x14ac:dyDescent="0.35">
      <c r="A919" s="3" t="s">
        <v>10771</v>
      </c>
      <c r="B919" s="3" t="s">
        <v>10675</v>
      </c>
      <c r="C919" s="3" t="s">
        <v>10770</v>
      </c>
      <c r="D919" s="3" t="str">
        <f t="shared" si="226"/>
        <v>SWHC027-09 PTAC PTHP</v>
      </c>
      <c r="E919" s="3" t="str">
        <f t="shared" si="242"/>
        <v>SWHC027-09 PTAC PTHP_SFm_1985</v>
      </c>
      <c r="F919" t="s">
        <v>197</v>
      </c>
      <c r="G919" t="str">
        <f t="shared" si="214"/>
        <v>RE-HV-PTAC-12.84EER</v>
      </c>
      <c r="H919" t="str">
        <f t="shared" si="243"/>
        <v>RE-HV-PTAC-10.70EER</v>
      </c>
      <c r="I919" t="str">
        <f t="shared" si="224"/>
        <v>RE-HV-PTAC-10.70EER</v>
      </c>
      <c r="J919" t="str">
        <f t="shared" si="225"/>
        <v>RE-HV-PTAC-12.84EER</v>
      </c>
      <c r="K919" t="s">
        <v>196</v>
      </c>
      <c r="L919" t="s">
        <v>196</v>
      </c>
      <c r="M919" t="s">
        <v>197</v>
      </c>
      <c r="N919" s="3" t="str">
        <f t="shared" si="241"/>
        <v>SFm&amp;1&amp;rDXGF&amp;Ex&amp;dxAC_equip__pkgTerm</v>
      </c>
      <c r="O919" s="3" t="s">
        <v>50</v>
      </c>
      <c r="P919" s="3">
        <v>1</v>
      </c>
      <c r="Q919" s="3" t="s">
        <v>51</v>
      </c>
      <c r="R919" s="3" t="s">
        <v>52</v>
      </c>
      <c r="S919" s="3" t="s">
        <v>10734</v>
      </c>
      <c r="T919" s="3" t="str">
        <f t="shared" si="239"/>
        <v>dxAC_equip__pkgTerm</v>
      </c>
      <c r="U919" s="3" t="str">
        <f t="shared" si="240"/>
        <v>dxAC_equip__pkgTerm</v>
      </c>
      <c r="V919" s="3" t="s">
        <v>111</v>
      </c>
      <c r="W919" s="3" t="s">
        <v>193</v>
      </c>
      <c r="X919" s="3" t="s">
        <v>111</v>
      </c>
      <c r="Y919" s="3" t="s">
        <v>193</v>
      </c>
      <c r="AA919" s="3" t="s">
        <v>194</v>
      </c>
    </row>
    <row r="920" spans="1:27" x14ac:dyDescent="0.35">
      <c r="A920" s="3" t="s">
        <v>10771</v>
      </c>
      <c r="B920" s="3" t="s">
        <v>10675</v>
      </c>
      <c r="C920" s="3" t="s">
        <v>10770</v>
      </c>
      <c r="D920" s="3" t="str">
        <f t="shared" si="226"/>
        <v>SWHC027-09 PTAC PTHP</v>
      </c>
      <c r="E920" s="3" t="str">
        <f t="shared" si="242"/>
        <v>SWHC027-09 PTAC PTHP_SFm_1985</v>
      </c>
      <c r="F920" t="s">
        <v>197</v>
      </c>
      <c r="G920" t="str">
        <f t="shared" si="214"/>
        <v>RE-HV-PTAC-12.84EER</v>
      </c>
      <c r="H920" t="str">
        <f t="shared" si="243"/>
        <v>RE-HV-PTAC-10.70EER</v>
      </c>
      <c r="I920" t="str">
        <f t="shared" si="224"/>
        <v>RE-HV-PTAC-10.70EER</v>
      </c>
      <c r="J920" t="str">
        <f t="shared" si="225"/>
        <v>RE-HV-PTAC-12.84EER</v>
      </c>
      <c r="K920" t="s">
        <v>196</v>
      </c>
      <c r="L920" t="s">
        <v>196</v>
      </c>
      <c r="M920" t="s">
        <v>197</v>
      </c>
      <c r="N920" s="3" t="str">
        <f t="shared" si="241"/>
        <v>SFm&amp;1&amp;rDXGF&amp;Ex&amp;dxAC_equip__pkgTerm</v>
      </c>
      <c r="O920" s="3" t="s">
        <v>50</v>
      </c>
      <c r="P920" s="3">
        <v>1</v>
      </c>
      <c r="Q920" s="3" t="s">
        <v>51</v>
      </c>
      <c r="R920" s="3" t="s">
        <v>52</v>
      </c>
      <c r="S920" s="3" t="s">
        <v>10734</v>
      </c>
      <c r="T920" s="3" t="str">
        <f t="shared" si="239"/>
        <v>dxAC_equip__pkgTerm</v>
      </c>
      <c r="U920" s="3" t="str">
        <f t="shared" si="240"/>
        <v>dxAC_equip__pkgTerm</v>
      </c>
      <c r="V920" s="3" t="s">
        <v>111</v>
      </c>
      <c r="W920" s="3" t="s">
        <v>193</v>
      </c>
      <c r="X920" s="3" t="s">
        <v>111</v>
      </c>
      <c r="Y920" s="3" t="s">
        <v>193</v>
      </c>
      <c r="AA920" s="3" t="s">
        <v>194</v>
      </c>
    </row>
    <row r="921" spans="1:27" x14ac:dyDescent="0.35">
      <c r="A921" s="3" t="s">
        <v>10771</v>
      </c>
      <c r="B921" s="3" t="s">
        <v>10675</v>
      </c>
      <c r="C921" s="3" t="s">
        <v>10770</v>
      </c>
      <c r="D921" s="3" t="str">
        <f t="shared" si="226"/>
        <v>SWHC027-09 PTAC PTHP</v>
      </c>
      <c r="E921" s="3" t="str">
        <f t="shared" si="242"/>
        <v>SWHC027-09 PTAC PTHP_SFm_1985</v>
      </c>
      <c r="F921" t="s">
        <v>197</v>
      </c>
      <c r="G921" t="str">
        <f t="shared" si="214"/>
        <v>RE-HV-PTAC-12.84EER</v>
      </c>
      <c r="H921" t="str">
        <f t="shared" si="243"/>
        <v>RE-HV-PTAC-10.70EER</v>
      </c>
      <c r="I921" t="str">
        <f t="shared" ref="I921:I939" si="244">L921</f>
        <v>RE-HV-PTAC-10.70EER</v>
      </c>
      <c r="J921" t="str">
        <f t="shared" ref="J921:J939" si="245">M921</f>
        <v>RE-HV-PTAC-12.84EER</v>
      </c>
      <c r="K921" t="s">
        <v>196</v>
      </c>
      <c r="L921" t="s">
        <v>196</v>
      </c>
      <c r="M921" t="s">
        <v>197</v>
      </c>
      <c r="N921" s="3" t="str">
        <f t="shared" si="241"/>
        <v>SFm&amp;1&amp;rDXGF&amp;Ex&amp;dxAC_equip__pkgTerm</v>
      </c>
      <c r="O921" s="3" t="s">
        <v>50</v>
      </c>
      <c r="P921" s="3">
        <v>1</v>
      </c>
      <c r="Q921" s="3" t="s">
        <v>51</v>
      </c>
      <c r="R921" s="3" t="s">
        <v>52</v>
      </c>
      <c r="S921" s="3" t="s">
        <v>10734</v>
      </c>
      <c r="T921" s="3" t="str">
        <f t="shared" si="239"/>
        <v>dxAC_equip__pkgTerm</v>
      </c>
      <c r="U921" s="3" t="str">
        <f t="shared" si="240"/>
        <v>dxAC_equip__pkgTerm</v>
      </c>
      <c r="V921" s="3" t="s">
        <v>111</v>
      </c>
      <c r="W921" s="3" t="s">
        <v>193</v>
      </c>
      <c r="X921" s="3" t="s">
        <v>111</v>
      </c>
      <c r="Y921" s="3" t="s">
        <v>193</v>
      </c>
      <c r="AA921" s="3" t="s">
        <v>194</v>
      </c>
    </row>
    <row r="922" spans="1:27" x14ac:dyDescent="0.35">
      <c r="A922" s="3" t="s">
        <v>10771</v>
      </c>
      <c r="B922" s="3" t="s">
        <v>10675</v>
      </c>
      <c r="C922" s="3" t="s">
        <v>10770</v>
      </c>
      <c r="D922" s="3" t="str">
        <f t="shared" si="226"/>
        <v>SWHC027-09 PTAC PTHP</v>
      </c>
      <c r="E922" s="3" t="str">
        <f t="shared" si="242"/>
        <v>SWHC027-09 PTAC PTHP_SFm_1985</v>
      </c>
      <c r="F922" t="s">
        <v>197</v>
      </c>
      <c r="G922" t="str">
        <f t="shared" si="214"/>
        <v>RE-HV-PTAC-12.84EER</v>
      </c>
      <c r="H922" t="str">
        <f t="shared" si="243"/>
        <v>RE-HV-PTAC-10.70EER</v>
      </c>
      <c r="I922" t="str">
        <f t="shared" si="244"/>
        <v>RE-HV-PTAC-10.70EER</v>
      </c>
      <c r="J922" t="str">
        <f t="shared" si="245"/>
        <v>RE-HV-PTAC-12.84EER</v>
      </c>
      <c r="K922" t="s">
        <v>196</v>
      </c>
      <c r="L922" t="s">
        <v>196</v>
      </c>
      <c r="M922" t="s">
        <v>197</v>
      </c>
      <c r="N922" s="3" t="str">
        <f t="shared" si="241"/>
        <v>SFm&amp;1&amp;rDXGF&amp;Ex&amp;dxAC_equip__pkgTerm</v>
      </c>
      <c r="O922" s="3" t="s">
        <v>50</v>
      </c>
      <c r="P922" s="3">
        <v>1</v>
      </c>
      <c r="Q922" s="3" t="s">
        <v>51</v>
      </c>
      <c r="R922" s="3" t="s">
        <v>52</v>
      </c>
      <c r="S922" s="3" t="s">
        <v>10734</v>
      </c>
      <c r="T922" s="3" t="str">
        <f t="shared" si="239"/>
        <v>dxAC_equip__pkgTerm</v>
      </c>
      <c r="U922" s="3" t="str">
        <f t="shared" si="240"/>
        <v>dxAC_equip__pkgTerm</v>
      </c>
      <c r="V922" s="3" t="s">
        <v>111</v>
      </c>
      <c r="W922" s="3" t="s">
        <v>193</v>
      </c>
      <c r="X922" s="3" t="s">
        <v>111</v>
      </c>
      <c r="Y922" s="3" t="s">
        <v>193</v>
      </c>
      <c r="AA922" s="3" t="s">
        <v>194</v>
      </c>
    </row>
    <row r="923" spans="1:27" x14ac:dyDescent="0.35">
      <c r="A923" s="3" t="s">
        <v>10771</v>
      </c>
      <c r="B923" s="3" t="s">
        <v>10675</v>
      </c>
      <c r="C923" s="3" t="s">
        <v>10770</v>
      </c>
      <c r="D923" s="3" t="str">
        <f t="shared" si="226"/>
        <v>SWHC027-09 PTAC PTHP</v>
      </c>
      <c r="E923" s="3" t="str">
        <f t="shared" si="242"/>
        <v>SWHC027-09 PTAC PTHP_SFm_1985</v>
      </c>
      <c r="F923" t="s">
        <v>197</v>
      </c>
      <c r="G923" t="str">
        <f t="shared" si="214"/>
        <v>RE-HV-PTAC-12.84EER</v>
      </c>
      <c r="H923" t="str">
        <f t="shared" si="243"/>
        <v>RE-HV-PTAC-10.70EER</v>
      </c>
      <c r="I923" t="str">
        <f t="shared" si="244"/>
        <v>RE-HV-PTAC-10.70EER</v>
      </c>
      <c r="J923" t="str">
        <f t="shared" si="245"/>
        <v>RE-HV-PTAC-12.84EER</v>
      </c>
      <c r="K923" t="s">
        <v>196</v>
      </c>
      <c r="L923" t="s">
        <v>196</v>
      </c>
      <c r="M923" t="s">
        <v>197</v>
      </c>
      <c r="N923" s="3" t="str">
        <f t="shared" si="241"/>
        <v>SFm&amp;1&amp;rDXGF&amp;Ex&amp;dxAC_equip__pkgTerm</v>
      </c>
      <c r="O923" s="3" t="s">
        <v>50</v>
      </c>
      <c r="P923" s="3">
        <v>1</v>
      </c>
      <c r="Q923" s="3" t="s">
        <v>51</v>
      </c>
      <c r="R923" s="3" t="s">
        <v>52</v>
      </c>
      <c r="S923" s="3" t="s">
        <v>10734</v>
      </c>
      <c r="T923" s="3" t="str">
        <f t="shared" si="239"/>
        <v>dxAC_equip__pkgTerm</v>
      </c>
      <c r="U923" s="3" t="str">
        <f t="shared" si="240"/>
        <v>dxAC_equip__pkgTerm</v>
      </c>
      <c r="V923" s="3" t="s">
        <v>111</v>
      </c>
      <c r="W923" s="3" t="s">
        <v>193</v>
      </c>
      <c r="X923" s="3" t="s">
        <v>111</v>
      </c>
      <c r="Y923" s="3" t="s">
        <v>193</v>
      </c>
      <c r="AA923" s="3" t="s">
        <v>194</v>
      </c>
    </row>
    <row r="924" spans="1:27" x14ac:dyDescent="0.35">
      <c r="A924" s="3" t="s">
        <v>10771</v>
      </c>
      <c r="B924" s="3" t="s">
        <v>10675</v>
      </c>
      <c r="C924" s="3" t="s">
        <v>10770</v>
      </c>
      <c r="D924" s="3" t="str">
        <f t="shared" si="226"/>
        <v>SWHC027-09 PTAC PTHP</v>
      </c>
      <c r="E924" s="3" t="str">
        <f t="shared" si="242"/>
        <v>SWHC027-09 PTAC PTHP_SFm_1985</v>
      </c>
      <c r="F924" t="s">
        <v>197</v>
      </c>
      <c r="G924" t="str">
        <f t="shared" si="214"/>
        <v>RE-HV-PTAC-12.84EER</v>
      </c>
      <c r="H924" t="str">
        <f t="shared" si="243"/>
        <v>RE-HV-PTAC-10.70EER</v>
      </c>
      <c r="I924" t="str">
        <f t="shared" si="244"/>
        <v>RE-HV-PTAC-10.70EER</v>
      </c>
      <c r="J924" t="str">
        <f t="shared" si="245"/>
        <v>RE-HV-PTAC-12.84EER</v>
      </c>
      <c r="K924" t="s">
        <v>196</v>
      </c>
      <c r="L924" t="s">
        <v>196</v>
      </c>
      <c r="M924" t="s">
        <v>197</v>
      </c>
      <c r="N924" s="3" t="str">
        <f t="shared" si="241"/>
        <v>SFm&amp;1&amp;rDXGF&amp;Ex&amp;dxAC_equip__pkgTerm</v>
      </c>
      <c r="O924" s="3" t="s">
        <v>50</v>
      </c>
      <c r="P924" s="3">
        <v>1</v>
      </c>
      <c r="Q924" s="3" t="s">
        <v>51</v>
      </c>
      <c r="R924" s="3" t="s">
        <v>52</v>
      </c>
      <c r="S924" s="3" t="s">
        <v>10734</v>
      </c>
      <c r="T924" s="3" t="str">
        <f t="shared" si="239"/>
        <v>dxAC_equip__pkgTerm</v>
      </c>
      <c r="U924" s="3" t="str">
        <f t="shared" si="240"/>
        <v>dxAC_equip__pkgTerm</v>
      </c>
      <c r="V924" s="3" t="s">
        <v>111</v>
      </c>
      <c r="W924" s="3" t="s">
        <v>193</v>
      </c>
      <c r="X924" s="3" t="s">
        <v>111</v>
      </c>
      <c r="Y924" s="3" t="s">
        <v>193</v>
      </c>
      <c r="AA924" s="3" t="s">
        <v>194</v>
      </c>
    </row>
    <row r="925" spans="1:27" x14ac:dyDescent="0.35">
      <c r="A925" s="3" t="s">
        <v>10771</v>
      </c>
      <c r="B925" s="3" t="s">
        <v>10675</v>
      </c>
      <c r="C925" s="3" t="s">
        <v>10770</v>
      </c>
      <c r="D925" s="3" t="str">
        <f t="shared" si="226"/>
        <v>SWHC027-09 PTAC PTHP</v>
      </c>
      <c r="E925" s="3" t="str">
        <f t="shared" si="242"/>
        <v>SWHC027-09 PTAC PTHP_SFm_1985</v>
      </c>
      <c r="F925" t="s">
        <v>201</v>
      </c>
      <c r="G925" t="str">
        <f t="shared" si="214"/>
        <v>RE-HV-PTHP-10.15EER-3.13COP</v>
      </c>
      <c r="H925" t="str">
        <f t="shared" si="243"/>
        <v>RE-HV-PTHP-8.46EER-2.61COP</v>
      </c>
      <c r="I925" t="str">
        <f t="shared" si="244"/>
        <v>RE-HV-PTHP-8.46EER-2.61COP</v>
      </c>
      <c r="J925" t="str">
        <f t="shared" si="245"/>
        <v>RE-HV-PTHP-10.15EER-3.13COP</v>
      </c>
      <c r="K925" t="s">
        <v>200</v>
      </c>
      <c r="L925" t="s">
        <v>200</v>
      </c>
      <c r="M925" t="s">
        <v>201</v>
      </c>
      <c r="N925" s="3" t="str">
        <f t="shared" si="241"/>
        <v>SFm&amp;1&amp;rDXHP&amp;Ex&amp;dxHP_equip__pkgTerm</v>
      </c>
      <c r="O925" s="3" t="s">
        <v>50</v>
      </c>
      <c r="P925" s="3">
        <v>1</v>
      </c>
      <c r="Q925" s="3" t="s">
        <v>57</v>
      </c>
      <c r="R925" s="3" t="s">
        <v>52</v>
      </c>
      <c r="S925" s="3" t="s">
        <v>10734</v>
      </c>
      <c r="T925" s="3" t="str">
        <f t="shared" si="239"/>
        <v>dxHP_equip__pkgTerm</v>
      </c>
      <c r="U925" s="3" t="str">
        <f t="shared" si="240"/>
        <v>dxHP_equip__pkgTerm</v>
      </c>
      <c r="V925" s="3" t="s">
        <v>105</v>
      </c>
      <c r="W925" s="3" t="s">
        <v>193</v>
      </c>
      <c r="X925" s="3" t="s">
        <v>105</v>
      </c>
      <c r="Y925" s="3" t="s">
        <v>193</v>
      </c>
      <c r="AA925" s="3" t="s">
        <v>194</v>
      </c>
    </row>
    <row r="926" spans="1:27" x14ac:dyDescent="0.35">
      <c r="A926" s="3" t="s">
        <v>10771</v>
      </c>
      <c r="B926" s="3" t="s">
        <v>10675</v>
      </c>
      <c r="C926" s="3" t="s">
        <v>10770</v>
      </c>
      <c r="D926" s="3" t="str">
        <f t="shared" si="226"/>
        <v>SWHC027-09 PTAC PTHP</v>
      </c>
      <c r="E926" s="3" t="str">
        <f t="shared" si="242"/>
        <v>SWHC027-09 PTAC PTHP_SFm_1985</v>
      </c>
      <c r="F926" t="s">
        <v>201</v>
      </c>
      <c r="G926" t="str">
        <f t="shared" si="214"/>
        <v>RE-HV-PTHP-10.15EER-3.13COP</v>
      </c>
      <c r="H926" t="str">
        <f t="shared" si="243"/>
        <v>RE-HV-PTHP-8.46EER-2.61COP</v>
      </c>
      <c r="I926" t="str">
        <f t="shared" si="244"/>
        <v>RE-HV-PTHP-8.46EER-2.61COP</v>
      </c>
      <c r="J926" t="str">
        <f t="shared" si="245"/>
        <v>RE-HV-PTHP-10.15EER-3.13COP</v>
      </c>
      <c r="K926" t="s">
        <v>200</v>
      </c>
      <c r="L926" t="s">
        <v>200</v>
      </c>
      <c r="M926" t="s">
        <v>201</v>
      </c>
      <c r="N926" s="3" t="str">
        <f t="shared" si="241"/>
        <v>SFm&amp;1&amp;rDXHP&amp;Ex&amp;dxHP_equip__pkgTerm</v>
      </c>
      <c r="O926" s="3" t="s">
        <v>50</v>
      </c>
      <c r="P926" s="3">
        <v>1</v>
      </c>
      <c r="Q926" s="3" t="s">
        <v>57</v>
      </c>
      <c r="R926" s="3" t="s">
        <v>52</v>
      </c>
      <c r="S926" s="3" t="s">
        <v>10734</v>
      </c>
      <c r="T926" s="3" t="str">
        <f t="shared" si="239"/>
        <v>dxHP_equip__pkgTerm</v>
      </c>
      <c r="U926" s="3" t="str">
        <f t="shared" si="240"/>
        <v>dxHP_equip__pkgTerm</v>
      </c>
      <c r="V926" s="3" t="s">
        <v>105</v>
      </c>
      <c r="W926" s="3" t="s">
        <v>193</v>
      </c>
      <c r="X926" s="3" t="s">
        <v>105</v>
      </c>
      <c r="Y926" s="3" t="s">
        <v>193</v>
      </c>
      <c r="AA926" s="3" t="s">
        <v>194</v>
      </c>
    </row>
    <row r="927" spans="1:27" x14ac:dyDescent="0.35">
      <c r="A927" s="3" t="s">
        <v>10771</v>
      </c>
      <c r="B927" s="3" t="s">
        <v>10675</v>
      </c>
      <c r="C927" s="3" t="s">
        <v>10770</v>
      </c>
      <c r="D927" s="3" t="str">
        <f t="shared" si="226"/>
        <v>SWHC027-09 PTAC PTHP</v>
      </c>
      <c r="E927" s="3" t="str">
        <f t="shared" si="242"/>
        <v>SWHC027-09 PTAC PTHP_SFm_1985</v>
      </c>
      <c r="F927" t="s">
        <v>201</v>
      </c>
      <c r="G927" t="str">
        <f t="shared" si="214"/>
        <v>RE-HV-PTHP-10.15EER-3.13COP</v>
      </c>
      <c r="H927" t="str">
        <f t="shared" si="243"/>
        <v>RE-HV-PTHP-8.46EER-2.61COP</v>
      </c>
      <c r="I927" t="str">
        <f t="shared" si="244"/>
        <v>RE-HV-PTHP-8.46EER-2.61COP</v>
      </c>
      <c r="J927" t="str">
        <f t="shared" si="245"/>
        <v>RE-HV-PTHP-10.15EER-3.13COP</v>
      </c>
      <c r="K927" t="s">
        <v>200</v>
      </c>
      <c r="L927" t="s">
        <v>200</v>
      </c>
      <c r="M927" t="s">
        <v>201</v>
      </c>
      <c r="N927" s="3" t="str">
        <f t="shared" si="241"/>
        <v>SFm&amp;1&amp;rDXHP&amp;Ex&amp;dxHP_equip__pkgTerm</v>
      </c>
      <c r="O927" s="3" t="s">
        <v>50</v>
      </c>
      <c r="P927" s="3">
        <v>1</v>
      </c>
      <c r="Q927" s="3" t="s">
        <v>57</v>
      </c>
      <c r="R927" s="3" t="s">
        <v>52</v>
      </c>
      <c r="S927" s="3" t="s">
        <v>10734</v>
      </c>
      <c r="T927" s="3" t="str">
        <f t="shared" si="239"/>
        <v>dxHP_equip__pkgTerm</v>
      </c>
      <c r="U927" s="3" t="str">
        <f t="shared" si="240"/>
        <v>dxHP_equip__pkgTerm</v>
      </c>
      <c r="V927" s="3" t="s">
        <v>105</v>
      </c>
      <c r="W927" s="3" t="s">
        <v>193</v>
      </c>
      <c r="X927" s="3" t="s">
        <v>105</v>
      </c>
      <c r="Y927" s="3" t="s">
        <v>193</v>
      </c>
      <c r="AA927" s="3" t="s">
        <v>194</v>
      </c>
    </row>
    <row r="928" spans="1:27" x14ac:dyDescent="0.35">
      <c r="A928" s="3" t="s">
        <v>10771</v>
      </c>
      <c r="B928" s="3" t="s">
        <v>10675</v>
      </c>
      <c r="C928" s="3" t="s">
        <v>10770</v>
      </c>
      <c r="D928" s="3" t="str">
        <f t="shared" si="226"/>
        <v>SWHC027-09 PTAC PTHP</v>
      </c>
      <c r="E928" s="3" t="str">
        <f t="shared" si="242"/>
        <v>SWHC027-09 PTAC PTHP_SFm_1985</v>
      </c>
      <c r="F928" t="s">
        <v>204</v>
      </c>
      <c r="G928" t="str">
        <f>F928</f>
        <v>RE-HV-PTHP-12.84EER-3.76COP</v>
      </c>
      <c r="H928" t="str">
        <f>K928</f>
        <v>RE-HV-PTHP-10.70EER-3.13COP</v>
      </c>
      <c r="I928" t="str">
        <f t="shared" si="244"/>
        <v>RE-HV-PTHP-10.70EER-3.13COP</v>
      </c>
      <c r="J928" t="str">
        <f t="shared" si="245"/>
        <v>RE-HV-PTHP-12.84EER-3.76COP</v>
      </c>
      <c r="K928" t="s">
        <v>203</v>
      </c>
      <c r="L928" t="s">
        <v>203</v>
      </c>
      <c r="M928" t="s">
        <v>204</v>
      </c>
      <c r="N928" s="3" t="str">
        <f t="shared" si="241"/>
        <v>SFm&amp;1&amp;rDXHP&amp;Ex&amp;dxHP_equip__pkgTerm</v>
      </c>
      <c r="O928" s="3" t="s">
        <v>50</v>
      </c>
      <c r="P928" s="3">
        <v>1</v>
      </c>
      <c r="Q928" s="3" t="s">
        <v>57</v>
      </c>
      <c r="R928" s="3" t="s">
        <v>52</v>
      </c>
      <c r="S928" s="3" t="s">
        <v>10734</v>
      </c>
      <c r="T928" s="3" t="str">
        <f t="shared" si="239"/>
        <v>dxHP_equip__pkgTerm</v>
      </c>
      <c r="U928" s="3" t="str">
        <f t="shared" si="240"/>
        <v>dxHP_equip__pkgTerm</v>
      </c>
      <c r="V928" s="3" t="s">
        <v>105</v>
      </c>
      <c r="W928" s="3" t="s">
        <v>193</v>
      </c>
      <c r="X928" s="3" t="s">
        <v>105</v>
      </c>
      <c r="Y928" s="3" t="s">
        <v>193</v>
      </c>
      <c r="AA928" s="3" t="s">
        <v>194</v>
      </c>
    </row>
    <row r="929" spans="1:27" x14ac:dyDescent="0.35">
      <c r="A929" s="3" t="s">
        <v>10771</v>
      </c>
      <c r="B929" s="3" t="s">
        <v>10675</v>
      </c>
      <c r="C929" s="3" t="s">
        <v>10770</v>
      </c>
      <c r="D929" s="3" t="str">
        <f t="shared" si="226"/>
        <v>SWHC027-09 PTAC PTHP</v>
      </c>
      <c r="E929" s="3" t="str">
        <f t="shared" si="242"/>
        <v>SWHC027-09 PTAC PTHP_SFm_1985</v>
      </c>
      <c r="F929" t="s">
        <v>204</v>
      </c>
      <c r="G929" t="str">
        <f t="shared" si="214"/>
        <v>RE-HV-PTHP-12.84EER-3.76COP</v>
      </c>
      <c r="H929" t="str">
        <f t="shared" ref="H929:H939" si="246">K929</f>
        <v>RE-HV-PTHP-10.70EER-3.13COP</v>
      </c>
      <c r="I929" t="str">
        <f t="shared" si="244"/>
        <v>RE-HV-PTHP-10.70EER-3.13COP</v>
      </c>
      <c r="J929" t="str">
        <f t="shared" si="245"/>
        <v>RE-HV-PTHP-12.84EER-3.76COP</v>
      </c>
      <c r="K929" t="s">
        <v>203</v>
      </c>
      <c r="L929" t="s">
        <v>203</v>
      </c>
      <c r="M929" t="s">
        <v>204</v>
      </c>
      <c r="N929" s="3" t="str">
        <f t="shared" si="241"/>
        <v>SFm&amp;1&amp;rDXHP&amp;Ex&amp;dxHP_equip__pkgTerm</v>
      </c>
      <c r="O929" s="3" t="s">
        <v>50</v>
      </c>
      <c r="P929" s="3">
        <v>1</v>
      </c>
      <c r="Q929" s="3" t="s">
        <v>57</v>
      </c>
      <c r="R929" s="3" t="s">
        <v>52</v>
      </c>
      <c r="S929" s="3" t="s">
        <v>10734</v>
      </c>
      <c r="T929" s="3" t="str">
        <f t="shared" si="239"/>
        <v>dxHP_equip__pkgTerm</v>
      </c>
      <c r="U929" s="3" t="str">
        <f t="shared" si="240"/>
        <v>dxHP_equip__pkgTerm</v>
      </c>
      <c r="V929" s="3" t="s">
        <v>105</v>
      </c>
      <c r="W929" s="3" t="s">
        <v>193</v>
      </c>
      <c r="X929" s="3" t="s">
        <v>105</v>
      </c>
      <c r="Y929" s="3" t="s">
        <v>193</v>
      </c>
      <c r="AA929" s="3" t="s">
        <v>194</v>
      </c>
    </row>
    <row r="930" spans="1:27" x14ac:dyDescent="0.35">
      <c r="A930" s="3" t="s">
        <v>10771</v>
      </c>
      <c r="B930" s="3" t="s">
        <v>10675</v>
      </c>
      <c r="C930" s="3" t="s">
        <v>10770</v>
      </c>
      <c r="D930" s="3" t="str">
        <f t="shared" si="226"/>
        <v>SWHC027-09 PTAC PTHP</v>
      </c>
      <c r="E930" s="3" t="str">
        <f t="shared" si="242"/>
        <v>SWHC027-09 PTAC PTHP_SFm_1985</v>
      </c>
      <c r="F930" t="s">
        <v>204</v>
      </c>
      <c r="G930" t="str">
        <f t="shared" si="214"/>
        <v>RE-HV-PTHP-12.84EER-3.76COP</v>
      </c>
      <c r="H930" t="str">
        <f t="shared" si="246"/>
        <v>RE-HV-PTHP-10.70EER-3.13COP</v>
      </c>
      <c r="I930" t="str">
        <f t="shared" si="244"/>
        <v>RE-HV-PTHP-10.70EER-3.13COP</v>
      </c>
      <c r="J930" t="str">
        <f t="shared" si="245"/>
        <v>RE-HV-PTHP-12.84EER-3.76COP</v>
      </c>
      <c r="K930" t="s">
        <v>203</v>
      </c>
      <c r="L930" t="s">
        <v>203</v>
      </c>
      <c r="M930" t="s">
        <v>204</v>
      </c>
      <c r="N930" s="3" t="str">
        <f t="shared" si="241"/>
        <v>SFm&amp;1&amp;rDXHP&amp;Ex&amp;dxHP_equip__pkgTerm</v>
      </c>
      <c r="O930" s="3" t="s">
        <v>50</v>
      </c>
      <c r="P930" s="3">
        <v>1</v>
      </c>
      <c r="Q930" s="3" t="s">
        <v>57</v>
      </c>
      <c r="R930" s="3" t="s">
        <v>52</v>
      </c>
      <c r="S930" s="3" t="s">
        <v>10734</v>
      </c>
      <c r="T930" s="3" t="str">
        <f t="shared" si="239"/>
        <v>dxHP_equip__pkgTerm</v>
      </c>
      <c r="U930" s="3" t="str">
        <f t="shared" si="240"/>
        <v>dxHP_equip__pkgTerm</v>
      </c>
      <c r="V930" s="3" t="s">
        <v>105</v>
      </c>
      <c r="W930" s="3" t="s">
        <v>193</v>
      </c>
      <c r="X930" s="3" t="s">
        <v>105</v>
      </c>
      <c r="Y930" s="3" t="s">
        <v>193</v>
      </c>
      <c r="AA930" s="3" t="s">
        <v>194</v>
      </c>
    </row>
    <row r="931" spans="1:27" x14ac:dyDescent="0.35">
      <c r="A931" s="3" t="s">
        <v>10771</v>
      </c>
      <c r="B931" s="3" t="s">
        <v>10675</v>
      </c>
      <c r="C931" s="3" t="s">
        <v>10770</v>
      </c>
      <c r="D931" s="3" t="str">
        <f t="shared" si="226"/>
        <v>SWHC027-09 PTAC PTHP</v>
      </c>
      <c r="E931" s="3" t="str">
        <f t="shared" si="242"/>
        <v>SWHC027-09 PTAC PTHP_SFm_1985</v>
      </c>
      <c r="F931" t="s">
        <v>204</v>
      </c>
      <c r="G931" t="str">
        <f t="shared" si="214"/>
        <v>RE-HV-PTHP-12.84EER-3.76COP</v>
      </c>
      <c r="H931" t="str">
        <f t="shared" si="246"/>
        <v>RE-HV-PTHP-10.70EER-3.13COP</v>
      </c>
      <c r="I931" t="str">
        <f t="shared" si="244"/>
        <v>RE-HV-PTHP-10.70EER-3.13COP</v>
      </c>
      <c r="J931" t="str">
        <f t="shared" si="245"/>
        <v>RE-HV-PTHP-12.84EER-3.76COP</v>
      </c>
      <c r="K931" t="s">
        <v>203</v>
      </c>
      <c r="L931" t="s">
        <v>203</v>
      </c>
      <c r="M931" t="s">
        <v>204</v>
      </c>
      <c r="N931" s="3" t="str">
        <f t="shared" si="241"/>
        <v>SFm&amp;1&amp;rDXHP&amp;Ex&amp;dxHP_equip__pkgTerm</v>
      </c>
      <c r="O931" s="3" t="s">
        <v>50</v>
      </c>
      <c r="P931" s="3">
        <v>1</v>
      </c>
      <c r="Q931" s="3" t="s">
        <v>57</v>
      </c>
      <c r="R931" s="3" t="s">
        <v>52</v>
      </c>
      <c r="S931" s="3" t="s">
        <v>10734</v>
      </c>
      <c r="T931" s="3" t="str">
        <f t="shared" si="239"/>
        <v>dxHP_equip__pkgTerm</v>
      </c>
      <c r="U931" s="3" t="str">
        <f t="shared" si="240"/>
        <v>dxHP_equip__pkgTerm</v>
      </c>
      <c r="V931" s="3" t="s">
        <v>105</v>
      </c>
      <c r="W931" s="3" t="s">
        <v>193</v>
      </c>
      <c r="X931" s="3" t="s">
        <v>105</v>
      </c>
      <c r="Y931" s="3" t="s">
        <v>193</v>
      </c>
      <c r="AA931" s="3" t="s">
        <v>194</v>
      </c>
    </row>
    <row r="932" spans="1:27" x14ac:dyDescent="0.35">
      <c r="A932" s="3" t="s">
        <v>10771</v>
      </c>
      <c r="B932" s="3" t="s">
        <v>10675</v>
      </c>
      <c r="C932" s="3" t="s">
        <v>10770</v>
      </c>
      <c r="D932" s="3" t="str">
        <f t="shared" si="226"/>
        <v>SWHC027-09 PTAC PTHP</v>
      </c>
      <c r="E932" s="3" t="str">
        <f t="shared" si="242"/>
        <v>SWHC027-09 PTAC PTHP_SFm_1985</v>
      </c>
      <c r="F932" t="s">
        <v>204</v>
      </c>
      <c r="G932" t="str">
        <f t="shared" si="214"/>
        <v>RE-HV-PTHP-12.84EER-3.76COP</v>
      </c>
      <c r="H932" t="str">
        <f t="shared" si="246"/>
        <v>RE-HV-PTHP-10.70EER-3.13COP</v>
      </c>
      <c r="I932" t="str">
        <f t="shared" si="244"/>
        <v>RE-HV-PTHP-10.70EER-3.13COP</v>
      </c>
      <c r="J932" t="str">
        <f t="shared" si="245"/>
        <v>RE-HV-PTHP-12.84EER-3.76COP</v>
      </c>
      <c r="K932" t="s">
        <v>203</v>
      </c>
      <c r="L932" t="s">
        <v>203</v>
      </c>
      <c r="M932" t="s">
        <v>204</v>
      </c>
      <c r="N932" s="3" t="str">
        <f t="shared" si="241"/>
        <v>SFm&amp;1&amp;rDXHP&amp;Ex&amp;dxHP_equip__pkgTerm</v>
      </c>
      <c r="O932" s="3" t="s">
        <v>50</v>
      </c>
      <c r="P932" s="3">
        <v>1</v>
      </c>
      <c r="Q932" s="3" t="s">
        <v>57</v>
      </c>
      <c r="R932" s="3" t="s">
        <v>52</v>
      </c>
      <c r="S932" s="3" t="s">
        <v>10734</v>
      </c>
      <c r="T932" s="3" t="str">
        <f t="shared" si="239"/>
        <v>dxHP_equip__pkgTerm</v>
      </c>
      <c r="U932" s="3" t="str">
        <f t="shared" si="240"/>
        <v>dxHP_equip__pkgTerm</v>
      </c>
      <c r="V932" s="3" t="s">
        <v>105</v>
      </c>
      <c r="W932" s="3" t="s">
        <v>193</v>
      </c>
      <c r="X932" s="3" t="s">
        <v>105</v>
      </c>
      <c r="Y932" s="3" t="s">
        <v>193</v>
      </c>
      <c r="AA932" s="3" t="s">
        <v>194</v>
      </c>
    </row>
    <row r="933" spans="1:27" x14ac:dyDescent="0.35">
      <c r="A933" s="3" t="s">
        <v>10771</v>
      </c>
      <c r="B933" s="3" t="s">
        <v>10675</v>
      </c>
      <c r="C933" s="3" t="s">
        <v>10770</v>
      </c>
      <c r="D933" s="3" t="str">
        <f t="shared" si="226"/>
        <v>SWHC027-09 PTAC PTHP</v>
      </c>
      <c r="E933" s="3" t="str">
        <f t="shared" si="242"/>
        <v>SWHC027-09 PTAC PTHP_SFm_1985</v>
      </c>
      <c r="F933" t="s">
        <v>204</v>
      </c>
      <c r="G933" t="str">
        <f t="shared" si="214"/>
        <v>RE-HV-PTHP-12.84EER-3.76COP</v>
      </c>
      <c r="H933" t="str">
        <f t="shared" si="246"/>
        <v>RE-HV-PTHP-10.70EER-3.13COP</v>
      </c>
      <c r="I933" t="str">
        <f t="shared" si="244"/>
        <v>RE-HV-PTHP-10.70EER-3.13COP</v>
      </c>
      <c r="J933" t="str">
        <f t="shared" si="245"/>
        <v>RE-HV-PTHP-12.84EER-3.76COP</v>
      </c>
      <c r="K933" t="s">
        <v>203</v>
      </c>
      <c r="L933" t="s">
        <v>203</v>
      </c>
      <c r="M933" t="s">
        <v>204</v>
      </c>
      <c r="N933" s="3" t="str">
        <f t="shared" si="241"/>
        <v>SFm&amp;1&amp;rDXHP&amp;Ex&amp;dxHP_equip__pkgTerm</v>
      </c>
      <c r="O933" s="3" t="s">
        <v>50</v>
      </c>
      <c r="P933" s="3">
        <v>1</v>
      </c>
      <c r="Q933" s="3" t="s">
        <v>57</v>
      </c>
      <c r="R933" s="3" t="s">
        <v>52</v>
      </c>
      <c r="S933" s="3" t="s">
        <v>10734</v>
      </c>
      <c r="T933" s="3" t="str">
        <f t="shared" si="239"/>
        <v>dxHP_equip__pkgTerm</v>
      </c>
      <c r="U933" s="3" t="str">
        <f t="shared" si="240"/>
        <v>dxHP_equip__pkgTerm</v>
      </c>
      <c r="V933" s="3" t="s">
        <v>105</v>
      </c>
      <c r="W933" s="3" t="s">
        <v>193</v>
      </c>
      <c r="X933" s="3" t="s">
        <v>105</v>
      </c>
      <c r="Y933" s="3" t="s">
        <v>193</v>
      </c>
      <c r="AA933" s="3" t="s">
        <v>194</v>
      </c>
    </row>
    <row r="934" spans="1:27" x14ac:dyDescent="0.35">
      <c r="A934" s="3" t="s">
        <v>10771</v>
      </c>
      <c r="B934" s="3" t="s">
        <v>10675</v>
      </c>
      <c r="C934" s="3" t="s">
        <v>10770</v>
      </c>
      <c r="D934" s="3" t="str">
        <f t="shared" si="226"/>
        <v>SWHC027-09 PTAC PTHP</v>
      </c>
      <c r="E934" s="3" t="str">
        <f t="shared" si="242"/>
        <v>SWHC027-09 PTAC PTHP_SFm_1985</v>
      </c>
      <c r="F934" t="s">
        <v>192</v>
      </c>
      <c r="G934" t="str">
        <f t="shared" si="214"/>
        <v>RE-HV-PTAC-10.27EER</v>
      </c>
      <c r="H934" t="str">
        <f t="shared" si="246"/>
        <v>RE-HV-PTAC-8.56EER</v>
      </c>
      <c r="I934" t="str">
        <f t="shared" si="244"/>
        <v>RE-HV-PTAC-8.56EER</v>
      </c>
      <c r="J934" t="str">
        <f t="shared" si="245"/>
        <v>RE-HV-PTAC-10.27EER</v>
      </c>
      <c r="K934" t="s">
        <v>191</v>
      </c>
      <c r="L934" t="s">
        <v>191</v>
      </c>
      <c r="M934" t="s">
        <v>192</v>
      </c>
      <c r="N934" s="3" t="str">
        <f t="shared" si="241"/>
        <v>SFm&amp;2&amp;rDXGF&amp;Ex&amp;dxAC_equip__pkgTerm</v>
      </c>
      <c r="O934" s="3" t="s">
        <v>50</v>
      </c>
      <c r="P934" s="3">
        <v>2</v>
      </c>
      <c r="Q934" s="3" t="s">
        <v>51</v>
      </c>
      <c r="R934" s="3" t="s">
        <v>52</v>
      </c>
      <c r="S934" s="3" t="s">
        <v>10734</v>
      </c>
      <c r="T934" s="3" t="str">
        <f t="shared" si="239"/>
        <v>dxAC_equip__pkgTerm</v>
      </c>
      <c r="U934" s="3" t="str">
        <f t="shared" si="240"/>
        <v>dxAC_equip__pkgTerm</v>
      </c>
      <c r="V934" s="3" t="s">
        <v>111</v>
      </c>
      <c r="W934" s="3" t="s">
        <v>193</v>
      </c>
      <c r="X934" s="3" t="s">
        <v>111</v>
      </c>
      <c r="Y934" s="3" t="s">
        <v>193</v>
      </c>
      <c r="AA934" s="3" t="s">
        <v>194</v>
      </c>
    </row>
    <row r="935" spans="1:27" x14ac:dyDescent="0.35">
      <c r="A935" s="3" t="s">
        <v>10771</v>
      </c>
      <c r="B935" s="3" t="s">
        <v>10675</v>
      </c>
      <c r="C935" s="3" t="s">
        <v>10770</v>
      </c>
      <c r="D935" s="3" t="str">
        <f t="shared" si="226"/>
        <v>SWHC027-09 PTAC PTHP</v>
      </c>
      <c r="E935" s="3" t="str">
        <f t="shared" si="242"/>
        <v>SWHC027-09 PTAC PTHP_SFm_1985</v>
      </c>
      <c r="F935" t="s">
        <v>192</v>
      </c>
      <c r="G935" t="str">
        <f t="shared" si="214"/>
        <v>RE-HV-PTAC-10.27EER</v>
      </c>
      <c r="H935" t="str">
        <f t="shared" si="246"/>
        <v>RE-HV-PTAC-8.56EER</v>
      </c>
      <c r="I935" t="str">
        <f t="shared" si="244"/>
        <v>RE-HV-PTAC-8.56EER</v>
      </c>
      <c r="J935" t="str">
        <f t="shared" si="245"/>
        <v>RE-HV-PTAC-10.27EER</v>
      </c>
      <c r="K935" t="s">
        <v>191</v>
      </c>
      <c r="L935" t="s">
        <v>191</v>
      </c>
      <c r="M935" t="s">
        <v>192</v>
      </c>
      <c r="N935" s="3" t="str">
        <f t="shared" si="241"/>
        <v>SFm&amp;2&amp;rDXGF&amp;Ex&amp;dxAC_equip__pkgTerm</v>
      </c>
      <c r="O935" s="3" t="s">
        <v>50</v>
      </c>
      <c r="P935" s="3">
        <v>2</v>
      </c>
      <c r="Q935" s="3" t="s">
        <v>51</v>
      </c>
      <c r="R935" s="3" t="s">
        <v>52</v>
      </c>
      <c r="S935" s="3" t="s">
        <v>10734</v>
      </c>
      <c r="T935" s="3" t="str">
        <f t="shared" si="239"/>
        <v>dxAC_equip__pkgTerm</v>
      </c>
      <c r="U935" s="3" t="str">
        <f t="shared" si="240"/>
        <v>dxAC_equip__pkgTerm</v>
      </c>
      <c r="V935" s="3" t="s">
        <v>111</v>
      </c>
      <c r="W935" s="3" t="s">
        <v>193</v>
      </c>
      <c r="X935" s="3" t="s">
        <v>111</v>
      </c>
      <c r="Y935" s="3" t="s">
        <v>193</v>
      </c>
      <c r="AA935" s="3" t="s">
        <v>194</v>
      </c>
    </row>
    <row r="936" spans="1:27" x14ac:dyDescent="0.35">
      <c r="A936" s="3" t="s">
        <v>10771</v>
      </c>
      <c r="B936" s="3" t="s">
        <v>10675</v>
      </c>
      <c r="C936" s="3" t="s">
        <v>10770</v>
      </c>
      <c r="D936" s="3" t="str">
        <f t="shared" si="226"/>
        <v>SWHC027-09 PTAC PTHP</v>
      </c>
      <c r="E936" s="3" t="str">
        <f t="shared" si="242"/>
        <v>SWHC027-09 PTAC PTHP_SFm_1985</v>
      </c>
      <c r="F936" t="s">
        <v>192</v>
      </c>
      <c r="G936" t="str">
        <f t="shared" si="214"/>
        <v>RE-HV-PTAC-10.27EER</v>
      </c>
      <c r="H936" t="str">
        <f t="shared" si="246"/>
        <v>RE-HV-PTAC-8.56EER</v>
      </c>
      <c r="I936" t="str">
        <f t="shared" si="244"/>
        <v>RE-HV-PTAC-8.56EER</v>
      </c>
      <c r="J936" t="str">
        <f t="shared" si="245"/>
        <v>RE-HV-PTAC-10.27EER</v>
      </c>
      <c r="K936" t="s">
        <v>191</v>
      </c>
      <c r="L936" t="s">
        <v>191</v>
      </c>
      <c r="M936" t="s">
        <v>192</v>
      </c>
      <c r="N936" s="3" t="str">
        <f t="shared" si="241"/>
        <v>SFm&amp;2&amp;rDXGF&amp;Ex&amp;dxAC_equip__pkgTerm</v>
      </c>
      <c r="O936" s="3" t="s">
        <v>50</v>
      </c>
      <c r="P936" s="3">
        <v>2</v>
      </c>
      <c r="Q936" s="3" t="s">
        <v>51</v>
      </c>
      <c r="R936" s="3" t="s">
        <v>52</v>
      </c>
      <c r="S936" s="3" t="s">
        <v>10734</v>
      </c>
      <c r="T936" s="3" t="str">
        <f t="shared" si="239"/>
        <v>dxAC_equip__pkgTerm</v>
      </c>
      <c r="U936" s="3" t="str">
        <f t="shared" si="240"/>
        <v>dxAC_equip__pkgTerm</v>
      </c>
      <c r="V936" s="3" t="s">
        <v>111</v>
      </c>
      <c r="W936" s="3" t="s">
        <v>193</v>
      </c>
      <c r="X936" s="3" t="s">
        <v>111</v>
      </c>
      <c r="Y936" s="3" t="s">
        <v>193</v>
      </c>
      <c r="AA936" s="3" t="s">
        <v>194</v>
      </c>
    </row>
    <row r="937" spans="1:27" x14ac:dyDescent="0.35">
      <c r="A937" s="3" t="s">
        <v>10771</v>
      </c>
      <c r="B937" s="3" t="s">
        <v>10675</v>
      </c>
      <c r="C937" s="3" t="s">
        <v>10770</v>
      </c>
      <c r="D937" s="3" t="str">
        <f t="shared" si="226"/>
        <v>SWHC027-09 PTAC PTHP</v>
      </c>
      <c r="E937" s="3" t="str">
        <f t="shared" si="242"/>
        <v>SWHC027-09 PTAC PTHP_SFm_1985</v>
      </c>
      <c r="F937" t="s">
        <v>197</v>
      </c>
      <c r="G937" t="str">
        <f t="shared" si="214"/>
        <v>RE-HV-PTAC-12.84EER</v>
      </c>
      <c r="H937" t="str">
        <f t="shared" si="246"/>
        <v>RE-HV-PTAC-10.70EER</v>
      </c>
      <c r="I937" t="str">
        <f t="shared" si="244"/>
        <v>RE-HV-PTAC-10.70EER</v>
      </c>
      <c r="J937" t="str">
        <f t="shared" si="245"/>
        <v>RE-HV-PTAC-12.84EER</v>
      </c>
      <c r="K937" t="s">
        <v>196</v>
      </c>
      <c r="L937" t="s">
        <v>196</v>
      </c>
      <c r="M937" t="s">
        <v>197</v>
      </c>
      <c r="N937" s="3" t="str">
        <f t="shared" si="241"/>
        <v>SFm&amp;2&amp;rDXGF&amp;Ex&amp;dxAC_equip__pkgTerm</v>
      </c>
      <c r="O937" s="3" t="s">
        <v>50</v>
      </c>
      <c r="P937" s="3">
        <v>2</v>
      </c>
      <c r="Q937" s="3" t="s">
        <v>51</v>
      </c>
      <c r="R937" s="3" t="s">
        <v>52</v>
      </c>
      <c r="S937" s="3" t="s">
        <v>10734</v>
      </c>
      <c r="T937" s="3" t="str">
        <f t="shared" si="239"/>
        <v>dxAC_equip__pkgTerm</v>
      </c>
      <c r="U937" s="3" t="str">
        <f t="shared" si="240"/>
        <v>dxAC_equip__pkgTerm</v>
      </c>
      <c r="V937" s="3" t="s">
        <v>111</v>
      </c>
      <c r="W937" s="3" t="s">
        <v>193</v>
      </c>
      <c r="X937" s="3" t="s">
        <v>111</v>
      </c>
      <c r="Y937" s="3" t="s">
        <v>193</v>
      </c>
      <c r="AA937" s="3" t="s">
        <v>194</v>
      </c>
    </row>
    <row r="938" spans="1:27" x14ac:dyDescent="0.35">
      <c r="A938" s="3" t="s">
        <v>10771</v>
      </c>
      <c r="B938" s="3" t="s">
        <v>10675</v>
      </c>
      <c r="C938" s="3" t="s">
        <v>10770</v>
      </c>
      <c r="D938" s="3" t="str">
        <f t="shared" si="226"/>
        <v>SWHC027-09 PTAC PTHP</v>
      </c>
      <c r="E938" s="3" t="str">
        <f t="shared" si="242"/>
        <v>SWHC027-09 PTAC PTHP_SFm_1985</v>
      </c>
      <c r="F938" t="s">
        <v>197</v>
      </c>
      <c r="G938" t="str">
        <f t="shared" si="214"/>
        <v>RE-HV-PTAC-12.84EER</v>
      </c>
      <c r="H938" t="str">
        <f t="shared" si="246"/>
        <v>RE-HV-PTAC-10.70EER</v>
      </c>
      <c r="I938" t="str">
        <f t="shared" si="244"/>
        <v>RE-HV-PTAC-10.70EER</v>
      </c>
      <c r="J938" t="str">
        <f t="shared" si="245"/>
        <v>RE-HV-PTAC-12.84EER</v>
      </c>
      <c r="K938" t="s">
        <v>196</v>
      </c>
      <c r="L938" t="s">
        <v>196</v>
      </c>
      <c r="M938" t="s">
        <v>197</v>
      </c>
      <c r="N938" s="3" t="str">
        <f t="shared" si="241"/>
        <v>SFm&amp;2&amp;rDXGF&amp;Ex&amp;dxAC_equip__pkgTerm</v>
      </c>
      <c r="O938" s="3" t="s">
        <v>50</v>
      </c>
      <c r="P938" s="3">
        <v>2</v>
      </c>
      <c r="Q938" s="3" t="s">
        <v>51</v>
      </c>
      <c r="R938" s="3" t="s">
        <v>52</v>
      </c>
      <c r="S938" s="3" t="s">
        <v>10734</v>
      </c>
      <c r="T938" s="3" t="str">
        <f t="shared" si="239"/>
        <v>dxAC_equip__pkgTerm</v>
      </c>
      <c r="U938" s="3" t="str">
        <f t="shared" si="240"/>
        <v>dxAC_equip__pkgTerm</v>
      </c>
      <c r="V938" s="3" t="s">
        <v>111</v>
      </c>
      <c r="W938" s="3" t="s">
        <v>193</v>
      </c>
      <c r="X938" s="3" t="s">
        <v>111</v>
      </c>
      <c r="Y938" s="3" t="s">
        <v>193</v>
      </c>
      <c r="AA938" s="3" t="s">
        <v>194</v>
      </c>
    </row>
    <row r="939" spans="1:27" x14ac:dyDescent="0.35">
      <c r="A939" s="3" t="s">
        <v>10771</v>
      </c>
      <c r="B939" s="3" t="s">
        <v>10675</v>
      </c>
      <c r="C939" s="3" t="s">
        <v>10770</v>
      </c>
      <c r="D939" s="3" t="str">
        <f t="shared" si="226"/>
        <v>SWHC027-09 PTAC PTHP</v>
      </c>
      <c r="E939" s="3" t="str">
        <f t="shared" si="242"/>
        <v>SWHC027-09 PTAC PTHP_SFm_1985</v>
      </c>
      <c r="F939" t="s">
        <v>197</v>
      </c>
      <c r="G939" t="str">
        <f t="shared" si="214"/>
        <v>RE-HV-PTAC-12.84EER</v>
      </c>
      <c r="H939" t="str">
        <f t="shared" si="246"/>
        <v>RE-HV-PTAC-10.70EER</v>
      </c>
      <c r="I939" t="str">
        <f t="shared" si="244"/>
        <v>RE-HV-PTAC-10.70EER</v>
      </c>
      <c r="J939" t="str">
        <f t="shared" si="245"/>
        <v>RE-HV-PTAC-12.84EER</v>
      </c>
      <c r="K939" t="s">
        <v>196</v>
      </c>
      <c r="L939" t="s">
        <v>196</v>
      </c>
      <c r="M939" t="s">
        <v>197</v>
      </c>
      <c r="N939" s="3" t="str">
        <f t="shared" si="241"/>
        <v>SFm&amp;2&amp;rDXGF&amp;Ex&amp;dxAC_equip__pkgTerm</v>
      </c>
      <c r="O939" s="3" t="s">
        <v>50</v>
      </c>
      <c r="P939" s="3">
        <v>2</v>
      </c>
      <c r="Q939" s="3" t="s">
        <v>51</v>
      </c>
      <c r="R939" s="3" t="s">
        <v>52</v>
      </c>
      <c r="S939" s="3" t="s">
        <v>10734</v>
      </c>
      <c r="T939" s="3" t="str">
        <f t="shared" si="239"/>
        <v>dxAC_equip__pkgTerm</v>
      </c>
      <c r="U939" s="3" t="str">
        <f t="shared" si="240"/>
        <v>dxAC_equip__pkgTerm</v>
      </c>
      <c r="V939" s="3" t="s">
        <v>111</v>
      </c>
      <c r="W939" s="3" t="s">
        <v>193</v>
      </c>
      <c r="X939" s="3" t="s">
        <v>111</v>
      </c>
      <c r="Y939" s="3" t="s">
        <v>193</v>
      </c>
      <c r="AA939" s="3" t="s">
        <v>194</v>
      </c>
    </row>
    <row r="940" spans="1:27" x14ac:dyDescent="0.35">
      <c r="A940" s="3" t="s">
        <v>10771</v>
      </c>
      <c r="B940" s="3" t="s">
        <v>10675</v>
      </c>
      <c r="C940" s="3" t="s">
        <v>10770</v>
      </c>
      <c r="D940" s="3" t="str">
        <f t="shared" si="226"/>
        <v>SWHC027-09 PTAC PTHP</v>
      </c>
      <c r="E940" s="3" t="str">
        <f t="shared" si="242"/>
        <v>SWHC027-09 PTAC PTHP_SFm_1985</v>
      </c>
      <c r="F940" t="s">
        <v>197</v>
      </c>
      <c r="G940" t="str">
        <f>F940</f>
        <v>RE-HV-PTAC-12.84EER</v>
      </c>
      <c r="H940" t="str">
        <f>K940</f>
        <v>RE-HV-PTAC-10.70EER</v>
      </c>
      <c r="I940" t="str">
        <f t="shared" ref="I940:I1003" si="247">L940</f>
        <v>RE-HV-PTAC-10.70EER</v>
      </c>
      <c r="J940" t="str">
        <f t="shared" ref="J940:J1003" si="248">M940</f>
        <v>RE-HV-PTAC-12.84EER</v>
      </c>
      <c r="K940" t="s">
        <v>196</v>
      </c>
      <c r="L940" t="s">
        <v>196</v>
      </c>
      <c r="M940" t="s">
        <v>197</v>
      </c>
      <c r="N940" s="3" t="str">
        <f t="shared" si="241"/>
        <v>SFm&amp;2&amp;rDXGF&amp;Ex&amp;dxAC_equip__pkgTerm</v>
      </c>
      <c r="O940" s="3" t="s">
        <v>50</v>
      </c>
      <c r="P940" s="3">
        <v>2</v>
      </c>
      <c r="Q940" s="3" t="s">
        <v>51</v>
      </c>
      <c r="R940" s="3" t="s">
        <v>52</v>
      </c>
      <c r="S940" s="3" t="s">
        <v>10734</v>
      </c>
      <c r="T940" s="3" t="str">
        <f t="shared" si="239"/>
        <v>dxAC_equip__pkgTerm</v>
      </c>
      <c r="U940" s="3" t="str">
        <f t="shared" si="240"/>
        <v>dxAC_equip__pkgTerm</v>
      </c>
      <c r="V940" s="3" t="s">
        <v>111</v>
      </c>
      <c r="W940" s="3" t="s">
        <v>193</v>
      </c>
      <c r="X940" s="3" t="s">
        <v>111</v>
      </c>
      <c r="Y940" s="3" t="s">
        <v>193</v>
      </c>
      <c r="AA940" s="3" t="s">
        <v>194</v>
      </c>
    </row>
    <row r="941" spans="1:27" x14ac:dyDescent="0.35">
      <c r="A941" s="3" t="s">
        <v>10771</v>
      </c>
      <c r="B941" s="3" t="s">
        <v>10675</v>
      </c>
      <c r="C941" s="3" t="s">
        <v>10770</v>
      </c>
      <c r="D941" s="3" t="str">
        <f t="shared" si="226"/>
        <v>SWHC027-09 PTAC PTHP</v>
      </c>
      <c r="E941" s="3" t="str">
        <f t="shared" si="242"/>
        <v>SWHC027-09 PTAC PTHP_SFm_1985</v>
      </c>
      <c r="F941" t="s">
        <v>197</v>
      </c>
      <c r="G941" t="str">
        <f t="shared" si="214"/>
        <v>RE-HV-PTAC-12.84EER</v>
      </c>
      <c r="H941" t="str">
        <f t="shared" ref="H941:H951" si="249">K941</f>
        <v>RE-HV-PTAC-10.70EER</v>
      </c>
      <c r="I941" t="str">
        <f t="shared" si="247"/>
        <v>RE-HV-PTAC-10.70EER</v>
      </c>
      <c r="J941" t="str">
        <f t="shared" si="248"/>
        <v>RE-HV-PTAC-12.84EER</v>
      </c>
      <c r="K941" t="s">
        <v>196</v>
      </c>
      <c r="L941" t="s">
        <v>196</v>
      </c>
      <c r="M941" t="s">
        <v>197</v>
      </c>
      <c r="N941" s="3" t="str">
        <f t="shared" si="241"/>
        <v>SFm&amp;2&amp;rDXGF&amp;Ex&amp;dxAC_equip__pkgTerm</v>
      </c>
      <c r="O941" s="3" t="s">
        <v>50</v>
      </c>
      <c r="P941" s="3">
        <v>2</v>
      </c>
      <c r="Q941" s="3" t="s">
        <v>51</v>
      </c>
      <c r="R941" s="3" t="s">
        <v>52</v>
      </c>
      <c r="S941" s="3" t="s">
        <v>10734</v>
      </c>
      <c r="T941" s="3" t="str">
        <f t="shared" si="239"/>
        <v>dxAC_equip__pkgTerm</v>
      </c>
      <c r="U941" s="3" t="str">
        <f t="shared" si="240"/>
        <v>dxAC_equip__pkgTerm</v>
      </c>
      <c r="V941" s="3" t="s">
        <v>111</v>
      </c>
      <c r="W941" s="3" t="s">
        <v>193</v>
      </c>
      <c r="X941" s="3" t="s">
        <v>111</v>
      </c>
      <c r="Y941" s="3" t="s">
        <v>193</v>
      </c>
      <c r="AA941" s="3" t="s">
        <v>194</v>
      </c>
    </row>
    <row r="942" spans="1:27" x14ac:dyDescent="0.35">
      <c r="A942" s="3" t="s">
        <v>10771</v>
      </c>
      <c r="B942" s="3" t="s">
        <v>10675</v>
      </c>
      <c r="C942" s="3" t="s">
        <v>10770</v>
      </c>
      <c r="D942" s="3" t="str">
        <f t="shared" si="226"/>
        <v>SWHC027-09 PTAC PTHP</v>
      </c>
      <c r="E942" s="3" t="str">
        <f t="shared" si="242"/>
        <v>SWHC027-09 PTAC PTHP_SFm_1985</v>
      </c>
      <c r="F942" t="s">
        <v>197</v>
      </c>
      <c r="G942" t="str">
        <f t="shared" si="214"/>
        <v>RE-HV-PTAC-12.84EER</v>
      </c>
      <c r="H942" t="str">
        <f t="shared" si="249"/>
        <v>RE-HV-PTAC-10.70EER</v>
      </c>
      <c r="I942" t="str">
        <f t="shared" si="247"/>
        <v>RE-HV-PTAC-10.70EER</v>
      </c>
      <c r="J942" t="str">
        <f t="shared" si="248"/>
        <v>RE-HV-PTAC-12.84EER</v>
      </c>
      <c r="K942" t="s">
        <v>196</v>
      </c>
      <c r="L942" t="s">
        <v>196</v>
      </c>
      <c r="M942" t="s">
        <v>197</v>
      </c>
      <c r="N942" s="3" t="str">
        <f t="shared" si="241"/>
        <v>SFm&amp;2&amp;rDXGF&amp;Ex&amp;dxAC_equip__pkgTerm</v>
      </c>
      <c r="O942" s="3" t="s">
        <v>50</v>
      </c>
      <c r="P942" s="3">
        <v>2</v>
      </c>
      <c r="Q942" s="3" t="s">
        <v>51</v>
      </c>
      <c r="R942" s="3" t="s">
        <v>52</v>
      </c>
      <c r="S942" s="3" t="s">
        <v>10734</v>
      </c>
      <c r="T942" s="3" t="str">
        <f t="shared" si="239"/>
        <v>dxAC_equip__pkgTerm</v>
      </c>
      <c r="U942" s="3" t="str">
        <f t="shared" si="240"/>
        <v>dxAC_equip__pkgTerm</v>
      </c>
      <c r="V942" s="3" t="s">
        <v>111</v>
      </c>
      <c r="W942" s="3" t="s">
        <v>193</v>
      </c>
      <c r="X942" s="3" t="s">
        <v>111</v>
      </c>
      <c r="Y942" s="3" t="s">
        <v>193</v>
      </c>
      <c r="AA942" s="3" t="s">
        <v>194</v>
      </c>
    </row>
    <row r="943" spans="1:27" x14ac:dyDescent="0.35">
      <c r="A943" s="3" t="s">
        <v>10771</v>
      </c>
      <c r="B943" s="3" t="s">
        <v>10675</v>
      </c>
      <c r="C943" s="3" t="s">
        <v>10770</v>
      </c>
      <c r="D943" s="3" t="str">
        <f t="shared" si="226"/>
        <v>SWHC027-09 PTAC PTHP</v>
      </c>
      <c r="E943" s="3" t="str">
        <f t="shared" si="242"/>
        <v>SWHC027-09 PTAC PTHP_SFm_1985</v>
      </c>
      <c r="F943" t="s">
        <v>201</v>
      </c>
      <c r="G943" t="str">
        <f t="shared" si="214"/>
        <v>RE-HV-PTHP-10.15EER-3.13COP</v>
      </c>
      <c r="H943" t="str">
        <f t="shared" si="249"/>
        <v>RE-HV-PTHP-8.46EER-2.61COP</v>
      </c>
      <c r="I943" t="str">
        <f t="shared" si="247"/>
        <v>RE-HV-PTHP-8.46EER-2.61COP</v>
      </c>
      <c r="J943" t="str">
        <f t="shared" si="248"/>
        <v>RE-HV-PTHP-10.15EER-3.13COP</v>
      </c>
      <c r="K943" t="s">
        <v>200</v>
      </c>
      <c r="L943" t="s">
        <v>200</v>
      </c>
      <c r="M943" t="s">
        <v>201</v>
      </c>
      <c r="N943" s="3" t="str">
        <f t="shared" si="241"/>
        <v>SFm&amp;2&amp;rDXHP&amp;Ex&amp;dxHP_equip__pkgTerm</v>
      </c>
      <c r="O943" s="3" t="s">
        <v>50</v>
      </c>
      <c r="P943" s="3">
        <v>2</v>
      </c>
      <c r="Q943" s="3" t="s">
        <v>57</v>
      </c>
      <c r="R943" s="3" t="s">
        <v>52</v>
      </c>
      <c r="S943" s="3" t="s">
        <v>10734</v>
      </c>
      <c r="T943" s="3" t="str">
        <f t="shared" si="239"/>
        <v>dxHP_equip__pkgTerm</v>
      </c>
      <c r="U943" s="3" t="str">
        <f t="shared" si="240"/>
        <v>dxHP_equip__pkgTerm</v>
      </c>
      <c r="V943" s="3" t="s">
        <v>105</v>
      </c>
      <c r="W943" s="3" t="s">
        <v>193</v>
      </c>
      <c r="X943" s="3" t="s">
        <v>105</v>
      </c>
      <c r="Y943" s="3" t="s">
        <v>193</v>
      </c>
      <c r="AA943" s="3" t="s">
        <v>194</v>
      </c>
    </row>
    <row r="944" spans="1:27" x14ac:dyDescent="0.35">
      <c r="A944" s="3" t="s">
        <v>10771</v>
      </c>
      <c r="B944" s="3" t="s">
        <v>10675</v>
      </c>
      <c r="C944" s="3" t="s">
        <v>10770</v>
      </c>
      <c r="D944" s="3" t="str">
        <f t="shared" si="226"/>
        <v>SWHC027-09 PTAC PTHP</v>
      </c>
      <c r="E944" s="3" t="str">
        <f t="shared" si="242"/>
        <v>SWHC027-09 PTAC PTHP_SFm_1985</v>
      </c>
      <c r="F944" t="s">
        <v>201</v>
      </c>
      <c r="G944" t="str">
        <f t="shared" si="214"/>
        <v>RE-HV-PTHP-10.15EER-3.13COP</v>
      </c>
      <c r="H944" t="str">
        <f t="shared" si="249"/>
        <v>RE-HV-PTHP-8.46EER-2.61COP</v>
      </c>
      <c r="I944" t="str">
        <f t="shared" si="247"/>
        <v>RE-HV-PTHP-8.46EER-2.61COP</v>
      </c>
      <c r="J944" t="str">
        <f t="shared" si="248"/>
        <v>RE-HV-PTHP-10.15EER-3.13COP</v>
      </c>
      <c r="K944" t="s">
        <v>200</v>
      </c>
      <c r="L944" t="s">
        <v>200</v>
      </c>
      <c r="M944" t="s">
        <v>201</v>
      </c>
      <c r="N944" s="3" t="str">
        <f t="shared" si="241"/>
        <v>SFm&amp;2&amp;rDXHP&amp;Ex&amp;dxHP_equip__pkgTerm</v>
      </c>
      <c r="O944" s="3" t="s">
        <v>50</v>
      </c>
      <c r="P944" s="3">
        <v>2</v>
      </c>
      <c r="Q944" s="3" t="s">
        <v>57</v>
      </c>
      <c r="R944" s="3" t="s">
        <v>52</v>
      </c>
      <c r="S944" s="3" t="s">
        <v>10734</v>
      </c>
      <c r="T944" s="3" t="str">
        <f t="shared" ref="T944:T979" si="250">V944&amp;"__"&amp;W944</f>
        <v>dxHP_equip__pkgTerm</v>
      </c>
      <c r="U944" s="3" t="str">
        <f t="shared" ref="U944:U979" si="251">X944&amp;"__"&amp;Y944</f>
        <v>dxHP_equip__pkgTerm</v>
      </c>
      <c r="V944" s="3" t="s">
        <v>105</v>
      </c>
      <c r="W944" s="3" t="s">
        <v>193</v>
      </c>
      <c r="X944" s="3" t="s">
        <v>105</v>
      </c>
      <c r="Y944" s="3" t="s">
        <v>193</v>
      </c>
      <c r="AA944" s="3" t="s">
        <v>194</v>
      </c>
    </row>
    <row r="945" spans="1:27" x14ac:dyDescent="0.35">
      <c r="A945" s="3" t="s">
        <v>10771</v>
      </c>
      <c r="B945" s="3" t="s">
        <v>10675</v>
      </c>
      <c r="C945" s="3" t="s">
        <v>10770</v>
      </c>
      <c r="D945" s="3" t="str">
        <f t="shared" si="226"/>
        <v>SWHC027-09 PTAC PTHP</v>
      </c>
      <c r="E945" s="3" t="str">
        <f t="shared" si="242"/>
        <v>SWHC027-09 PTAC PTHP_SFm_1985</v>
      </c>
      <c r="F945" t="s">
        <v>201</v>
      </c>
      <c r="G945" t="str">
        <f t="shared" si="214"/>
        <v>RE-HV-PTHP-10.15EER-3.13COP</v>
      </c>
      <c r="H945" t="str">
        <f t="shared" si="249"/>
        <v>RE-HV-PTHP-8.46EER-2.61COP</v>
      </c>
      <c r="I945" t="str">
        <f t="shared" si="247"/>
        <v>RE-HV-PTHP-8.46EER-2.61COP</v>
      </c>
      <c r="J945" t="str">
        <f t="shared" si="248"/>
        <v>RE-HV-PTHP-10.15EER-3.13COP</v>
      </c>
      <c r="K945" t="s">
        <v>200</v>
      </c>
      <c r="L945" t="s">
        <v>200</v>
      </c>
      <c r="M945" t="s">
        <v>201</v>
      </c>
      <c r="N945" s="3" t="str">
        <f t="shared" si="241"/>
        <v>SFm&amp;2&amp;rDXHP&amp;Ex&amp;dxHP_equip__pkgTerm</v>
      </c>
      <c r="O945" s="3" t="s">
        <v>50</v>
      </c>
      <c r="P945" s="3">
        <v>2</v>
      </c>
      <c r="Q945" s="3" t="s">
        <v>57</v>
      </c>
      <c r="R945" s="3" t="s">
        <v>52</v>
      </c>
      <c r="S945" s="3" t="s">
        <v>10734</v>
      </c>
      <c r="T945" s="3" t="str">
        <f t="shared" si="250"/>
        <v>dxHP_equip__pkgTerm</v>
      </c>
      <c r="U945" s="3" t="str">
        <f t="shared" si="251"/>
        <v>dxHP_equip__pkgTerm</v>
      </c>
      <c r="V945" s="3" t="s">
        <v>105</v>
      </c>
      <c r="W945" s="3" t="s">
        <v>193</v>
      </c>
      <c r="X945" s="3" t="s">
        <v>105</v>
      </c>
      <c r="Y945" s="3" t="s">
        <v>193</v>
      </c>
      <c r="AA945" s="3" t="s">
        <v>194</v>
      </c>
    </row>
    <row r="946" spans="1:27" x14ac:dyDescent="0.35">
      <c r="A946" s="3" t="s">
        <v>10771</v>
      </c>
      <c r="B946" s="3" t="s">
        <v>10675</v>
      </c>
      <c r="C946" s="3" t="s">
        <v>10770</v>
      </c>
      <c r="D946" s="3" t="str">
        <f t="shared" si="226"/>
        <v>SWHC027-09 PTAC PTHP</v>
      </c>
      <c r="E946" s="3" t="str">
        <f t="shared" si="242"/>
        <v>SWHC027-09 PTAC PTHP_SFm_1985</v>
      </c>
      <c r="F946" t="s">
        <v>204</v>
      </c>
      <c r="G946" t="str">
        <f t="shared" si="214"/>
        <v>RE-HV-PTHP-12.84EER-3.76COP</v>
      </c>
      <c r="H946" t="str">
        <f t="shared" si="249"/>
        <v>RE-HV-PTHP-10.70EER-3.13COP</v>
      </c>
      <c r="I946" t="str">
        <f t="shared" si="247"/>
        <v>RE-HV-PTHP-10.70EER-3.13COP</v>
      </c>
      <c r="J946" t="str">
        <f t="shared" si="248"/>
        <v>RE-HV-PTHP-12.84EER-3.76COP</v>
      </c>
      <c r="K946" t="s">
        <v>203</v>
      </c>
      <c r="L946" t="s">
        <v>203</v>
      </c>
      <c r="M946" t="s">
        <v>204</v>
      </c>
      <c r="N946" s="3" t="str">
        <f t="shared" si="241"/>
        <v>SFm&amp;2&amp;rDXHP&amp;Ex&amp;dxHP_equip__pkgTerm</v>
      </c>
      <c r="O946" s="3" t="s">
        <v>50</v>
      </c>
      <c r="P946" s="3">
        <v>2</v>
      </c>
      <c r="Q946" s="3" t="s">
        <v>57</v>
      </c>
      <c r="R946" s="3" t="s">
        <v>52</v>
      </c>
      <c r="S946" s="3" t="s">
        <v>10734</v>
      </c>
      <c r="T946" s="3" t="str">
        <f t="shared" si="250"/>
        <v>dxHP_equip__pkgTerm</v>
      </c>
      <c r="U946" s="3" t="str">
        <f t="shared" si="251"/>
        <v>dxHP_equip__pkgTerm</v>
      </c>
      <c r="V946" s="3" t="s">
        <v>105</v>
      </c>
      <c r="W946" s="3" t="s">
        <v>193</v>
      </c>
      <c r="X946" s="3" t="s">
        <v>105</v>
      </c>
      <c r="Y946" s="3" t="s">
        <v>193</v>
      </c>
      <c r="AA946" s="3" t="s">
        <v>194</v>
      </c>
    </row>
    <row r="947" spans="1:27" x14ac:dyDescent="0.35">
      <c r="A947" s="3" t="s">
        <v>10771</v>
      </c>
      <c r="B947" s="3" t="s">
        <v>10675</v>
      </c>
      <c r="C947" s="3" t="s">
        <v>10770</v>
      </c>
      <c r="D947" s="3" t="str">
        <f t="shared" si="226"/>
        <v>SWHC027-09 PTAC PTHP</v>
      </c>
      <c r="E947" s="3" t="str">
        <f t="shared" si="242"/>
        <v>SWHC027-09 PTAC PTHP_SFm_1985</v>
      </c>
      <c r="F947" t="s">
        <v>204</v>
      </c>
      <c r="G947" t="str">
        <f t="shared" si="214"/>
        <v>RE-HV-PTHP-12.84EER-3.76COP</v>
      </c>
      <c r="H947" t="str">
        <f t="shared" si="249"/>
        <v>RE-HV-PTHP-10.70EER-3.13COP</v>
      </c>
      <c r="I947" t="str">
        <f t="shared" si="247"/>
        <v>RE-HV-PTHP-10.70EER-3.13COP</v>
      </c>
      <c r="J947" t="str">
        <f t="shared" si="248"/>
        <v>RE-HV-PTHP-12.84EER-3.76COP</v>
      </c>
      <c r="K947" t="s">
        <v>203</v>
      </c>
      <c r="L947" t="s">
        <v>203</v>
      </c>
      <c r="M947" t="s">
        <v>204</v>
      </c>
      <c r="N947" s="3" t="str">
        <f t="shared" ref="N947:N982" si="252">IF(S947="No", O947&amp;"&amp;"&amp;P947&amp;"&amp;"&amp;Q947&amp;"&amp;"&amp;R947&amp;"&amp;"&amp;T947,   O947&amp;"&amp;"&amp;P947&amp;"&amp;"&amp;Q947&amp;"&amp;"&amp;R947&amp;"&amp;"&amp;T947&amp;"&amp;"&amp;U947)</f>
        <v>SFm&amp;2&amp;rDXHP&amp;Ex&amp;dxHP_equip__pkgTerm</v>
      </c>
      <c r="O947" s="3" t="s">
        <v>50</v>
      </c>
      <c r="P947" s="3">
        <v>2</v>
      </c>
      <c r="Q947" s="3" t="s">
        <v>57</v>
      </c>
      <c r="R947" s="3" t="s">
        <v>52</v>
      </c>
      <c r="S947" s="3" t="s">
        <v>10734</v>
      </c>
      <c r="T947" s="3" t="str">
        <f t="shared" si="250"/>
        <v>dxHP_equip__pkgTerm</v>
      </c>
      <c r="U947" s="3" t="str">
        <f t="shared" si="251"/>
        <v>dxHP_equip__pkgTerm</v>
      </c>
      <c r="V947" s="3" t="s">
        <v>105</v>
      </c>
      <c r="W947" s="3" t="s">
        <v>193</v>
      </c>
      <c r="X947" s="3" t="s">
        <v>105</v>
      </c>
      <c r="Y947" s="3" t="s">
        <v>193</v>
      </c>
      <c r="AA947" s="3" t="s">
        <v>194</v>
      </c>
    </row>
    <row r="948" spans="1:27" x14ac:dyDescent="0.35">
      <c r="A948" s="3" t="s">
        <v>10771</v>
      </c>
      <c r="B948" s="3" t="s">
        <v>10675</v>
      </c>
      <c r="C948" s="3" t="s">
        <v>10770</v>
      </c>
      <c r="D948" s="3" t="str">
        <f t="shared" si="226"/>
        <v>SWHC027-09 PTAC PTHP</v>
      </c>
      <c r="E948" s="3" t="str">
        <f t="shared" si="242"/>
        <v>SWHC027-09 PTAC PTHP_SFm_1985</v>
      </c>
      <c r="F948" t="s">
        <v>204</v>
      </c>
      <c r="G948" t="str">
        <f t="shared" si="214"/>
        <v>RE-HV-PTHP-12.84EER-3.76COP</v>
      </c>
      <c r="H948" t="str">
        <f t="shared" si="249"/>
        <v>RE-HV-PTHP-10.70EER-3.13COP</v>
      </c>
      <c r="I948" t="str">
        <f t="shared" si="247"/>
        <v>RE-HV-PTHP-10.70EER-3.13COP</v>
      </c>
      <c r="J948" t="str">
        <f t="shared" si="248"/>
        <v>RE-HV-PTHP-12.84EER-3.76COP</v>
      </c>
      <c r="K948" t="s">
        <v>203</v>
      </c>
      <c r="L948" t="s">
        <v>203</v>
      </c>
      <c r="M948" t="s">
        <v>204</v>
      </c>
      <c r="N948" s="3" t="str">
        <f t="shared" si="252"/>
        <v>SFm&amp;2&amp;rDXHP&amp;Ex&amp;dxHP_equip__pkgTerm</v>
      </c>
      <c r="O948" s="3" t="s">
        <v>50</v>
      </c>
      <c r="P948" s="3">
        <v>2</v>
      </c>
      <c r="Q948" s="3" t="s">
        <v>57</v>
      </c>
      <c r="R948" s="3" t="s">
        <v>52</v>
      </c>
      <c r="S948" s="3" t="s">
        <v>10734</v>
      </c>
      <c r="T948" s="3" t="str">
        <f t="shared" si="250"/>
        <v>dxHP_equip__pkgTerm</v>
      </c>
      <c r="U948" s="3" t="str">
        <f t="shared" si="251"/>
        <v>dxHP_equip__pkgTerm</v>
      </c>
      <c r="V948" s="3" t="s">
        <v>105</v>
      </c>
      <c r="W948" s="3" t="s">
        <v>193</v>
      </c>
      <c r="X948" s="3" t="s">
        <v>105</v>
      </c>
      <c r="Y948" s="3" t="s">
        <v>193</v>
      </c>
      <c r="AA948" s="3" t="s">
        <v>194</v>
      </c>
    </row>
    <row r="949" spans="1:27" x14ac:dyDescent="0.35">
      <c r="A949" s="3" t="s">
        <v>10771</v>
      </c>
      <c r="B949" s="3" t="s">
        <v>10675</v>
      </c>
      <c r="C949" s="3" t="s">
        <v>10770</v>
      </c>
      <c r="D949" s="3" t="str">
        <f t="shared" si="226"/>
        <v>SWHC027-09 PTAC PTHP</v>
      </c>
      <c r="E949" s="3" t="str">
        <f t="shared" si="242"/>
        <v>SWHC027-09 PTAC PTHP_SFm_1985</v>
      </c>
      <c r="F949" t="s">
        <v>204</v>
      </c>
      <c r="G949" t="str">
        <f t="shared" si="214"/>
        <v>RE-HV-PTHP-12.84EER-3.76COP</v>
      </c>
      <c r="H949" t="str">
        <f t="shared" si="249"/>
        <v>RE-HV-PTHP-10.70EER-3.13COP</v>
      </c>
      <c r="I949" t="str">
        <f t="shared" si="247"/>
        <v>RE-HV-PTHP-10.70EER-3.13COP</v>
      </c>
      <c r="J949" t="str">
        <f t="shared" si="248"/>
        <v>RE-HV-PTHP-12.84EER-3.76COP</v>
      </c>
      <c r="K949" t="s">
        <v>203</v>
      </c>
      <c r="L949" t="s">
        <v>203</v>
      </c>
      <c r="M949" t="s">
        <v>204</v>
      </c>
      <c r="N949" s="3" t="str">
        <f t="shared" si="252"/>
        <v>SFm&amp;2&amp;rDXHP&amp;Ex&amp;dxHP_equip__pkgTerm</v>
      </c>
      <c r="O949" s="3" t="s">
        <v>50</v>
      </c>
      <c r="P949" s="3">
        <v>2</v>
      </c>
      <c r="Q949" s="3" t="s">
        <v>57</v>
      </c>
      <c r="R949" s="3" t="s">
        <v>52</v>
      </c>
      <c r="S949" s="3" t="s">
        <v>10734</v>
      </c>
      <c r="T949" s="3" t="str">
        <f t="shared" si="250"/>
        <v>dxHP_equip__pkgTerm</v>
      </c>
      <c r="U949" s="3" t="str">
        <f t="shared" si="251"/>
        <v>dxHP_equip__pkgTerm</v>
      </c>
      <c r="V949" s="3" t="s">
        <v>105</v>
      </c>
      <c r="W949" s="3" t="s">
        <v>193</v>
      </c>
      <c r="X949" s="3" t="s">
        <v>105</v>
      </c>
      <c r="Y949" s="3" t="s">
        <v>193</v>
      </c>
      <c r="AA949" s="3" t="s">
        <v>194</v>
      </c>
    </row>
    <row r="950" spans="1:27" x14ac:dyDescent="0.35">
      <c r="A950" s="3" t="s">
        <v>10771</v>
      </c>
      <c r="B950" s="3" t="s">
        <v>10675</v>
      </c>
      <c r="C950" s="3" t="s">
        <v>10770</v>
      </c>
      <c r="D950" s="3" t="str">
        <f t="shared" si="226"/>
        <v>SWHC027-09 PTAC PTHP</v>
      </c>
      <c r="E950" s="3" t="str">
        <f t="shared" si="242"/>
        <v>SWHC027-09 PTAC PTHP_SFm_1985</v>
      </c>
      <c r="F950" t="s">
        <v>204</v>
      </c>
      <c r="G950" t="str">
        <f t="shared" si="214"/>
        <v>RE-HV-PTHP-12.84EER-3.76COP</v>
      </c>
      <c r="H950" t="str">
        <f t="shared" si="249"/>
        <v>RE-HV-PTHP-10.70EER-3.13COP</v>
      </c>
      <c r="I950" t="str">
        <f t="shared" si="247"/>
        <v>RE-HV-PTHP-10.70EER-3.13COP</v>
      </c>
      <c r="J950" t="str">
        <f t="shared" si="248"/>
        <v>RE-HV-PTHP-12.84EER-3.76COP</v>
      </c>
      <c r="K950" t="s">
        <v>203</v>
      </c>
      <c r="L950" t="s">
        <v>203</v>
      </c>
      <c r="M950" t="s">
        <v>204</v>
      </c>
      <c r="N950" s="3" t="str">
        <f t="shared" si="252"/>
        <v>SFm&amp;2&amp;rDXHP&amp;Ex&amp;dxHP_equip__pkgTerm</v>
      </c>
      <c r="O950" s="3" t="s">
        <v>50</v>
      </c>
      <c r="P950" s="3">
        <v>2</v>
      </c>
      <c r="Q950" s="3" t="s">
        <v>57</v>
      </c>
      <c r="R950" s="3" t="s">
        <v>52</v>
      </c>
      <c r="S950" s="3" t="s">
        <v>10734</v>
      </c>
      <c r="T950" s="3" t="str">
        <f t="shared" si="250"/>
        <v>dxHP_equip__pkgTerm</v>
      </c>
      <c r="U950" s="3" t="str">
        <f t="shared" si="251"/>
        <v>dxHP_equip__pkgTerm</v>
      </c>
      <c r="V950" s="3" t="s">
        <v>105</v>
      </c>
      <c r="W950" s="3" t="s">
        <v>193</v>
      </c>
      <c r="X950" s="3" t="s">
        <v>105</v>
      </c>
      <c r="Y950" s="3" t="s">
        <v>193</v>
      </c>
      <c r="AA950" s="3" t="s">
        <v>194</v>
      </c>
    </row>
    <row r="951" spans="1:27" x14ac:dyDescent="0.35">
      <c r="A951" s="3" t="s">
        <v>10771</v>
      </c>
      <c r="B951" s="3" t="s">
        <v>10675</v>
      </c>
      <c r="C951" s="3" t="s">
        <v>10770</v>
      </c>
      <c r="D951" s="3" t="str">
        <f t="shared" si="226"/>
        <v>SWHC027-09 PTAC PTHP</v>
      </c>
      <c r="E951" s="3" t="str">
        <f t="shared" si="242"/>
        <v>SWHC027-09 PTAC PTHP_SFm_1985</v>
      </c>
      <c r="F951" t="s">
        <v>204</v>
      </c>
      <c r="G951" t="str">
        <f t="shared" si="214"/>
        <v>RE-HV-PTHP-12.84EER-3.76COP</v>
      </c>
      <c r="H951" t="str">
        <f t="shared" si="249"/>
        <v>RE-HV-PTHP-10.70EER-3.13COP</v>
      </c>
      <c r="I951" t="str">
        <f t="shared" si="247"/>
        <v>RE-HV-PTHP-10.70EER-3.13COP</v>
      </c>
      <c r="J951" t="str">
        <f t="shared" si="248"/>
        <v>RE-HV-PTHP-12.84EER-3.76COP</v>
      </c>
      <c r="K951" t="s">
        <v>203</v>
      </c>
      <c r="L951" t="s">
        <v>203</v>
      </c>
      <c r="M951" t="s">
        <v>204</v>
      </c>
      <c r="N951" s="3" t="str">
        <f t="shared" si="252"/>
        <v>SFm&amp;2&amp;rDXHP&amp;Ex&amp;dxHP_equip__pkgTerm</v>
      </c>
      <c r="O951" s="3" t="s">
        <v>50</v>
      </c>
      <c r="P951" s="3">
        <v>2</v>
      </c>
      <c r="Q951" s="3" t="s">
        <v>57</v>
      </c>
      <c r="R951" s="3" t="s">
        <v>52</v>
      </c>
      <c r="S951" s="3" t="s">
        <v>10734</v>
      </c>
      <c r="T951" s="3" t="str">
        <f t="shared" si="250"/>
        <v>dxHP_equip__pkgTerm</v>
      </c>
      <c r="U951" s="3" t="str">
        <f t="shared" si="251"/>
        <v>dxHP_equip__pkgTerm</v>
      </c>
      <c r="V951" s="3" t="s">
        <v>105</v>
      </c>
      <c r="W951" s="3" t="s">
        <v>193</v>
      </c>
      <c r="X951" s="3" t="s">
        <v>105</v>
      </c>
      <c r="Y951" s="3" t="s">
        <v>193</v>
      </c>
      <c r="AA951" s="3" t="s">
        <v>194</v>
      </c>
    </row>
    <row r="952" spans="1:27" x14ac:dyDescent="0.35">
      <c r="A952" s="3" t="s">
        <v>10771</v>
      </c>
      <c r="B952" s="3" t="s">
        <v>10675</v>
      </c>
      <c r="C952" s="3" t="s">
        <v>10770</v>
      </c>
      <c r="D952" s="3" t="str">
        <f t="shared" si="226"/>
        <v>SWHC027-09 PTAC PTHP</v>
      </c>
      <c r="E952" s="3" t="str">
        <f t="shared" ref="E909:E972" si="253">CONCATENATE(D952,"_",O952,"_",R952)</f>
        <v>SWHC027-09 PTAC PTHP_SFm_New</v>
      </c>
      <c r="F952" t="s">
        <v>192</v>
      </c>
      <c r="G952" t="str">
        <f>F952</f>
        <v>RE-HV-PTAC-10.27EER</v>
      </c>
      <c r="H952" t="str">
        <f>K952</f>
        <v>RE-HV-PTAC-8.56EER</v>
      </c>
      <c r="I952" t="str">
        <f t="shared" si="247"/>
        <v>RE-HV-PTAC-8.56EER</v>
      </c>
      <c r="J952" t="str">
        <f t="shared" si="248"/>
        <v>RE-HV-PTAC-10.27EER</v>
      </c>
      <c r="K952" t="s">
        <v>191</v>
      </c>
      <c r="L952" t="s">
        <v>191</v>
      </c>
      <c r="M952" t="s">
        <v>192</v>
      </c>
      <c r="N952" s="3" t="str">
        <f t="shared" si="252"/>
        <v>SFm&amp;1&amp;rDXGF&amp;New&amp;dxAC_equip__pkgTerm</v>
      </c>
      <c r="O952" s="3" t="s">
        <v>50</v>
      </c>
      <c r="P952" s="3">
        <v>1</v>
      </c>
      <c r="Q952" s="3" t="s">
        <v>51</v>
      </c>
      <c r="R952" s="3" t="s">
        <v>107</v>
      </c>
      <c r="S952" s="3" t="s">
        <v>10734</v>
      </c>
      <c r="T952" s="3" t="str">
        <f t="shared" si="250"/>
        <v>dxAC_equip__pkgTerm</v>
      </c>
      <c r="U952" s="3" t="str">
        <f t="shared" si="251"/>
        <v>dxAC_equip__pkgTerm</v>
      </c>
      <c r="V952" s="3" t="s">
        <v>111</v>
      </c>
      <c r="W952" s="3" t="s">
        <v>193</v>
      </c>
      <c r="X952" s="3" t="s">
        <v>111</v>
      </c>
      <c r="Y952" s="3" t="s">
        <v>193</v>
      </c>
      <c r="AA952" s="3" t="s">
        <v>194</v>
      </c>
    </row>
    <row r="953" spans="1:27" x14ac:dyDescent="0.35">
      <c r="A953" s="3" t="s">
        <v>10771</v>
      </c>
      <c r="B953" s="3" t="s">
        <v>10675</v>
      </c>
      <c r="C953" s="3" t="s">
        <v>10770</v>
      </c>
      <c r="D953" s="3" t="str">
        <f t="shared" si="226"/>
        <v>SWHC027-09 PTAC PTHP</v>
      </c>
      <c r="E953" s="3" t="str">
        <f t="shared" si="253"/>
        <v>SWHC027-09 PTAC PTHP_SFm_New</v>
      </c>
      <c r="F953" t="s">
        <v>192</v>
      </c>
      <c r="G953" t="str">
        <f t="shared" si="214"/>
        <v>RE-HV-PTAC-10.27EER</v>
      </c>
      <c r="H953" t="str">
        <f t="shared" ref="H953:H963" si="254">K953</f>
        <v>RE-HV-PTAC-8.56EER</v>
      </c>
      <c r="I953" t="str">
        <f t="shared" si="247"/>
        <v>RE-HV-PTAC-8.56EER</v>
      </c>
      <c r="J953" t="str">
        <f t="shared" si="248"/>
        <v>RE-HV-PTAC-10.27EER</v>
      </c>
      <c r="K953" t="s">
        <v>191</v>
      </c>
      <c r="L953" t="s">
        <v>191</v>
      </c>
      <c r="M953" t="s">
        <v>192</v>
      </c>
      <c r="N953" s="3" t="str">
        <f t="shared" si="252"/>
        <v>SFm&amp;1&amp;rDXGF&amp;New&amp;dxAC_equip__pkgTerm</v>
      </c>
      <c r="O953" s="3" t="s">
        <v>50</v>
      </c>
      <c r="P953" s="3">
        <v>1</v>
      </c>
      <c r="Q953" s="3" t="s">
        <v>51</v>
      </c>
      <c r="R953" s="3" t="s">
        <v>107</v>
      </c>
      <c r="S953" s="3" t="s">
        <v>10734</v>
      </c>
      <c r="T953" s="3" t="str">
        <f t="shared" si="250"/>
        <v>dxAC_equip__pkgTerm</v>
      </c>
      <c r="U953" s="3" t="str">
        <f t="shared" si="251"/>
        <v>dxAC_equip__pkgTerm</v>
      </c>
      <c r="V953" s="3" t="s">
        <v>111</v>
      </c>
      <c r="W953" s="3" t="s">
        <v>193</v>
      </c>
      <c r="X953" s="3" t="s">
        <v>111</v>
      </c>
      <c r="Y953" s="3" t="s">
        <v>193</v>
      </c>
      <c r="AA953" s="3" t="s">
        <v>194</v>
      </c>
    </row>
    <row r="954" spans="1:27" x14ac:dyDescent="0.35">
      <c r="A954" s="3" t="s">
        <v>10771</v>
      </c>
      <c r="B954" s="3" t="s">
        <v>10675</v>
      </c>
      <c r="C954" s="3" t="s">
        <v>10770</v>
      </c>
      <c r="D954" s="3" t="str">
        <f t="shared" si="226"/>
        <v>SWHC027-09 PTAC PTHP</v>
      </c>
      <c r="E954" s="3" t="str">
        <f t="shared" si="253"/>
        <v>SWHC027-09 PTAC PTHP_SFm_New</v>
      </c>
      <c r="F954" t="s">
        <v>192</v>
      </c>
      <c r="G954" t="str">
        <f t="shared" si="214"/>
        <v>RE-HV-PTAC-10.27EER</v>
      </c>
      <c r="H954" t="str">
        <f t="shared" si="254"/>
        <v>RE-HV-PTAC-8.56EER</v>
      </c>
      <c r="I954" t="str">
        <f t="shared" si="247"/>
        <v>RE-HV-PTAC-8.56EER</v>
      </c>
      <c r="J954" t="str">
        <f t="shared" si="248"/>
        <v>RE-HV-PTAC-10.27EER</v>
      </c>
      <c r="K954" t="s">
        <v>191</v>
      </c>
      <c r="L954" t="s">
        <v>191</v>
      </c>
      <c r="M954" t="s">
        <v>192</v>
      </c>
      <c r="N954" s="3" t="str">
        <f t="shared" si="252"/>
        <v>SFm&amp;1&amp;rDXGF&amp;New&amp;dxAC_equip__pkgTerm</v>
      </c>
      <c r="O954" s="3" t="s">
        <v>50</v>
      </c>
      <c r="P954" s="3">
        <v>1</v>
      </c>
      <c r="Q954" s="3" t="s">
        <v>51</v>
      </c>
      <c r="R954" s="3" t="s">
        <v>107</v>
      </c>
      <c r="S954" s="3" t="s">
        <v>10734</v>
      </c>
      <c r="T954" s="3" t="str">
        <f t="shared" si="250"/>
        <v>dxAC_equip__pkgTerm</v>
      </c>
      <c r="U954" s="3" t="str">
        <f t="shared" si="251"/>
        <v>dxAC_equip__pkgTerm</v>
      </c>
      <c r="V954" s="3" t="s">
        <v>111</v>
      </c>
      <c r="W954" s="3" t="s">
        <v>193</v>
      </c>
      <c r="X954" s="3" t="s">
        <v>111</v>
      </c>
      <c r="Y954" s="3" t="s">
        <v>193</v>
      </c>
      <c r="AA954" s="3" t="s">
        <v>194</v>
      </c>
    </row>
    <row r="955" spans="1:27" x14ac:dyDescent="0.35">
      <c r="A955" s="3" t="s">
        <v>10771</v>
      </c>
      <c r="B955" s="3" t="s">
        <v>10675</v>
      </c>
      <c r="C955" s="3" t="s">
        <v>10770</v>
      </c>
      <c r="D955" s="3" t="str">
        <f t="shared" si="226"/>
        <v>SWHC027-09 PTAC PTHP</v>
      </c>
      <c r="E955" s="3" t="str">
        <f t="shared" si="253"/>
        <v>SWHC027-09 PTAC PTHP_SFm_New</v>
      </c>
      <c r="F955" t="s">
        <v>197</v>
      </c>
      <c r="G955" t="str">
        <f t="shared" si="214"/>
        <v>RE-HV-PTAC-12.84EER</v>
      </c>
      <c r="H955" t="str">
        <f t="shared" si="254"/>
        <v>RE-HV-PTAC-10.70EER</v>
      </c>
      <c r="I955" t="str">
        <f t="shared" si="247"/>
        <v>RE-HV-PTAC-10.70EER</v>
      </c>
      <c r="J955" t="str">
        <f t="shared" si="248"/>
        <v>RE-HV-PTAC-12.84EER</v>
      </c>
      <c r="K955" t="s">
        <v>196</v>
      </c>
      <c r="L955" t="s">
        <v>196</v>
      </c>
      <c r="M955" t="s">
        <v>197</v>
      </c>
      <c r="N955" s="3" t="str">
        <f t="shared" si="252"/>
        <v>SFm&amp;1&amp;rDXGF&amp;New&amp;dxAC_equip__pkgTerm</v>
      </c>
      <c r="O955" s="3" t="s">
        <v>50</v>
      </c>
      <c r="P955" s="3">
        <v>1</v>
      </c>
      <c r="Q955" s="3" t="s">
        <v>51</v>
      </c>
      <c r="R955" s="3" t="s">
        <v>107</v>
      </c>
      <c r="S955" s="3" t="s">
        <v>10734</v>
      </c>
      <c r="T955" s="3" t="str">
        <f t="shared" si="250"/>
        <v>dxAC_equip__pkgTerm</v>
      </c>
      <c r="U955" s="3" t="str">
        <f t="shared" si="251"/>
        <v>dxAC_equip__pkgTerm</v>
      </c>
      <c r="V955" s="3" t="s">
        <v>111</v>
      </c>
      <c r="W955" s="3" t="s">
        <v>193</v>
      </c>
      <c r="X955" s="3" t="s">
        <v>111</v>
      </c>
      <c r="Y955" s="3" t="s">
        <v>193</v>
      </c>
      <c r="AA955" s="3" t="s">
        <v>194</v>
      </c>
    </row>
    <row r="956" spans="1:27" x14ac:dyDescent="0.35">
      <c r="A956" s="3" t="s">
        <v>10771</v>
      </c>
      <c r="B956" s="3" t="s">
        <v>10675</v>
      </c>
      <c r="C956" s="3" t="s">
        <v>10770</v>
      </c>
      <c r="D956" s="3" t="str">
        <f t="shared" si="226"/>
        <v>SWHC027-09 PTAC PTHP</v>
      </c>
      <c r="E956" s="3" t="str">
        <f t="shared" si="253"/>
        <v>SWHC027-09 PTAC PTHP_SFm_New</v>
      </c>
      <c r="F956" t="s">
        <v>197</v>
      </c>
      <c r="G956" t="str">
        <f t="shared" si="214"/>
        <v>RE-HV-PTAC-12.84EER</v>
      </c>
      <c r="H956" t="str">
        <f t="shared" si="254"/>
        <v>RE-HV-PTAC-10.70EER</v>
      </c>
      <c r="I956" t="str">
        <f t="shared" si="247"/>
        <v>RE-HV-PTAC-10.70EER</v>
      </c>
      <c r="J956" t="str">
        <f t="shared" si="248"/>
        <v>RE-HV-PTAC-12.84EER</v>
      </c>
      <c r="K956" t="s">
        <v>196</v>
      </c>
      <c r="L956" t="s">
        <v>196</v>
      </c>
      <c r="M956" t="s">
        <v>197</v>
      </c>
      <c r="N956" s="3" t="str">
        <f t="shared" si="252"/>
        <v>SFm&amp;1&amp;rDXGF&amp;New&amp;dxAC_equip__pkgTerm</v>
      </c>
      <c r="O956" s="3" t="s">
        <v>50</v>
      </c>
      <c r="P956" s="3">
        <v>1</v>
      </c>
      <c r="Q956" s="3" t="s">
        <v>51</v>
      </c>
      <c r="R956" s="3" t="s">
        <v>107</v>
      </c>
      <c r="S956" s="3" t="s">
        <v>10734</v>
      </c>
      <c r="T956" s="3" t="str">
        <f t="shared" si="250"/>
        <v>dxAC_equip__pkgTerm</v>
      </c>
      <c r="U956" s="3" t="str">
        <f t="shared" si="251"/>
        <v>dxAC_equip__pkgTerm</v>
      </c>
      <c r="V956" s="3" t="s">
        <v>111</v>
      </c>
      <c r="W956" s="3" t="s">
        <v>193</v>
      </c>
      <c r="X956" s="3" t="s">
        <v>111</v>
      </c>
      <c r="Y956" s="3" t="s">
        <v>193</v>
      </c>
      <c r="AA956" s="3" t="s">
        <v>194</v>
      </c>
    </row>
    <row r="957" spans="1:27" x14ac:dyDescent="0.35">
      <c r="A957" s="3" t="s">
        <v>10771</v>
      </c>
      <c r="B957" s="3" t="s">
        <v>10675</v>
      </c>
      <c r="C957" s="3" t="s">
        <v>10770</v>
      </c>
      <c r="D957" s="3" t="str">
        <f t="shared" si="226"/>
        <v>SWHC027-09 PTAC PTHP</v>
      </c>
      <c r="E957" s="3" t="str">
        <f t="shared" si="253"/>
        <v>SWHC027-09 PTAC PTHP_SFm_New</v>
      </c>
      <c r="F957" t="s">
        <v>197</v>
      </c>
      <c r="G957" t="str">
        <f t="shared" si="214"/>
        <v>RE-HV-PTAC-12.84EER</v>
      </c>
      <c r="H957" t="str">
        <f t="shared" si="254"/>
        <v>RE-HV-PTAC-10.70EER</v>
      </c>
      <c r="I957" t="str">
        <f t="shared" si="247"/>
        <v>RE-HV-PTAC-10.70EER</v>
      </c>
      <c r="J957" t="str">
        <f t="shared" si="248"/>
        <v>RE-HV-PTAC-12.84EER</v>
      </c>
      <c r="K957" t="s">
        <v>196</v>
      </c>
      <c r="L957" t="s">
        <v>196</v>
      </c>
      <c r="M957" t="s">
        <v>197</v>
      </c>
      <c r="N957" s="3" t="str">
        <f t="shared" si="252"/>
        <v>SFm&amp;1&amp;rDXGF&amp;New&amp;dxAC_equip__pkgTerm</v>
      </c>
      <c r="O957" s="3" t="s">
        <v>50</v>
      </c>
      <c r="P957" s="3">
        <v>1</v>
      </c>
      <c r="Q957" s="3" t="s">
        <v>51</v>
      </c>
      <c r="R957" s="3" t="s">
        <v>107</v>
      </c>
      <c r="S957" s="3" t="s">
        <v>10734</v>
      </c>
      <c r="T957" s="3" t="str">
        <f t="shared" si="250"/>
        <v>dxAC_equip__pkgTerm</v>
      </c>
      <c r="U957" s="3" t="str">
        <f t="shared" si="251"/>
        <v>dxAC_equip__pkgTerm</v>
      </c>
      <c r="V957" s="3" t="s">
        <v>111</v>
      </c>
      <c r="W957" s="3" t="s">
        <v>193</v>
      </c>
      <c r="X957" s="3" t="s">
        <v>111</v>
      </c>
      <c r="Y957" s="3" t="s">
        <v>193</v>
      </c>
      <c r="AA957" s="3" t="s">
        <v>194</v>
      </c>
    </row>
    <row r="958" spans="1:27" x14ac:dyDescent="0.35">
      <c r="A958" s="3" t="s">
        <v>10771</v>
      </c>
      <c r="B958" s="3" t="s">
        <v>10675</v>
      </c>
      <c r="C958" s="3" t="s">
        <v>10770</v>
      </c>
      <c r="D958" s="3" t="str">
        <f t="shared" si="226"/>
        <v>SWHC027-09 PTAC PTHP</v>
      </c>
      <c r="E958" s="3" t="str">
        <f t="shared" si="253"/>
        <v>SWHC027-09 PTAC PTHP_SFm_New</v>
      </c>
      <c r="F958" t="s">
        <v>197</v>
      </c>
      <c r="G958" t="str">
        <f t="shared" si="214"/>
        <v>RE-HV-PTAC-12.84EER</v>
      </c>
      <c r="H958" t="str">
        <f t="shared" si="254"/>
        <v>RE-HV-PTAC-10.70EER</v>
      </c>
      <c r="I958" t="str">
        <f t="shared" si="247"/>
        <v>RE-HV-PTAC-10.70EER</v>
      </c>
      <c r="J958" t="str">
        <f t="shared" si="248"/>
        <v>RE-HV-PTAC-12.84EER</v>
      </c>
      <c r="K958" t="s">
        <v>196</v>
      </c>
      <c r="L958" t="s">
        <v>196</v>
      </c>
      <c r="M958" t="s">
        <v>197</v>
      </c>
      <c r="N958" s="3" t="str">
        <f t="shared" si="252"/>
        <v>SFm&amp;1&amp;rDXGF&amp;New&amp;dxAC_equip__pkgTerm</v>
      </c>
      <c r="O958" s="3" t="s">
        <v>50</v>
      </c>
      <c r="P958" s="3">
        <v>1</v>
      </c>
      <c r="Q958" s="3" t="s">
        <v>51</v>
      </c>
      <c r="R958" s="3" t="s">
        <v>107</v>
      </c>
      <c r="S958" s="3" t="s">
        <v>10734</v>
      </c>
      <c r="T958" s="3" t="str">
        <f t="shared" si="250"/>
        <v>dxAC_equip__pkgTerm</v>
      </c>
      <c r="U958" s="3" t="str">
        <f t="shared" si="251"/>
        <v>dxAC_equip__pkgTerm</v>
      </c>
      <c r="V958" s="3" t="s">
        <v>111</v>
      </c>
      <c r="W958" s="3" t="s">
        <v>193</v>
      </c>
      <c r="X958" s="3" t="s">
        <v>111</v>
      </c>
      <c r="Y958" s="3" t="s">
        <v>193</v>
      </c>
      <c r="AA958" s="3" t="s">
        <v>194</v>
      </c>
    </row>
    <row r="959" spans="1:27" x14ac:dyDescent="0.35">
      <c r="A959" s="3" t="s">
        <v>10771</v>
      </c>
      <c r="B959" s="3" t="s">
        <v>10675</v>
      </c>
      <c r="C959" s="3" t="s">
        <v>10770</v>
      </c>
      <c r="D959" s="3" t="str">
        <f t="shared" si="226"/>
        <v>SWHC027-09 PTAC PTHP</v>
      </c>
      <c r="E959" s="3" t="str">
        <f t="shared" si="253"/>
        <v>SWHC027-09 PTAC PTHP_SFm_New</v>
      </c>
      <c r="F959" t="s">
        <v>197</v>
      </c>
      <c r="G959" t="str">
        <f t="shared" si="214"/>
        <v>RE-HV-PTAC-12.84EER</v>
      </c>
      <c r="H959" t="str">
        <f t="shared" si="254"/>
        <v>RE-HV-PTAC-10.70EER</v>
      </c>
      <c r="I959" t="str">
        <f t="shared" si="247"/>
        <v>RE-HV-PTAC-10.70EER</v>
      </c>
      <c r="J959" t="str">
        <f t="shared" si="248"/>
        <v>RE-HV-PTAC-12.84EER</v>
      </c>
      <c r="K959" t="s">
        <v>196</v>
      </c>
      <c r="L959" t="s">
        <v>196</v>
      </c>
      <c r="M959" t="s">
        <v>197</v>
      </c>
      <c r="N959" s="3" t="str">
        <f t="shared" si="252"/>
        <v>SFm&amp;1&amp;rDXGF&amp;New&amp;dxAC_equip__pkgTerm</v>
      </c>
      <c r="O959" s="3" t="s">
        <v>50</v>
      </c>
      <c r="P959" s="3">
        <v>1</v>
      </c>
      <c r="Q959" s="3" t="s">
        <v>51</v>
      </c>
      <c r="R959" s="3" t="s">
        <v>107</v>
      </c>
      <c r="S959" s="3" t="s">
        <v>10734</v>
      </c>
      <c r="T959" s="3" t="str">
        <f t="shared" si="250"/>
        <v>dxAC_equip__pkgTerm</v>
      </c>
      <c r="U959" s="3" t="str">
        <f t="shared" si="251"/>
        <v>dxAC_equip__pkgTerm</v>
      </c>
      <c r="V959" s="3" t="s">
        <v>111</v>
      </c>
      <c r="W959" s="3" t="s">
        <v>193</v>
      </c>
      <c r="X959" s="3" t="s">
        <v>111</v>
      </c>
      <c r="Y959" s="3" t="s">
        <v>193</v>
      </c>
      <c r="AA959" s="3" t="s">
        <v>194</v>
      </c>
    </row>
    <row r="960" spans="1:27" x14ac:dyDescent="0.35">
      <c r="A960" s="3" t="s">
        <v>10771</v>
      </c>
      <c r="B960" s="3" t="s">
        <v>10675</v>
      </c>
      <c r="C960" s="3" t="s">
        <v>10770</v>
      </c>
      <c r="D960" s="3" t="str">
        <f t="shared" si="226"/>
        <v>SWHC027-09 PTAC PTHP</v>
      </c>
      <c r="E960" s="3" t="str">
        <f t="shared" si="253"/>
        <v>SWHC027-09 PTAC PTHP_SFm_New</v>
      </c>
      <c r="F960" t="s">
        <v>197</v>
      </c>
      <c r="G960" t="str">
        <f t="shared" si="214"/>
        <v>RE-HV-PTAC-12.84EER</v>
      </c>
      <c r="H960" t="str">
        <f t="shared" si="254"/>
        <v>RE-HV-PTAC-10.70EER</v>
      </c>
      <c r="I960" t="str">
        <f t="shared" si="247"/>
        <v>RE-HV-PTAC-10.70EER</v>
      </c>
      <c r="J960" t="str">
        <f t="shared" si="248"/>
        <v>RE-HV-PTAC-12.84EER</v>
      </c>
      <c r="K960" t="s">
        <v>196</v>
      </c>
      <c r="L960" t="s">
        <v>196</v>
      </c>
      <c r="M960" t="s">
        <v>197</v>
      </c>
      <c r="N960" s="3" t="str">
        <f t="shared" si="252"/>
        <v>SFm&amp;1&amp;rDXGF&amp;New&amp;dxAC_equip__pkgTerm</v>
      </c>
      <c r="O960" s="3" t="s">
        <v>50</v>
      </c>
      <c r="P960" s="3">
        <v>1</v>
      </c>
      <c r="Q960" s="3" t="s">
        <v>51</v>
      </c>
      <c r="R960" s="3" t="s">
        <v>107</v>
      </c>
      <c r="S960" s="3" t="s">
        <v>10734</v>
      </c>
      <c r="T960" s="3" t="str">
        <f t="shared" si="250"/>
        <v>dxAC_equip__pkgTerm</v>
      </c>
      <c r="U960" s="3" t="str">
        <f t="shared" si="251"/>
        <v>dxAC_equip__pkgTerm</v>
      </c>
      <c r="V960" s="3" t="s">
        <v>111</v>
      </c>
      <c r="W960" s="3" t="s">
        <v>193</v>
      </c>
      <c r="X960" s="3" t="s">
        <v>111</v>
      </c>
      <c r="Y960" s="3" t="s">
        <v>193</v>
      </c>
      <c r="AA960" s="3" t="s">
        <v>194</v>
      </c>
    </row>
    <row r="961" spans="1:27" x14ac:dyDescent="0.35">
      <c r="A961" s="3" t="s">
        <v>10771</v>
      </c>
      <c r="B961" s="3" t="s">
        <v>10675</v>
      </c>
      <c r="C961" s="3" t="s">
        <v>10770</v>
      </c>
      <c r="D961" s="3" t="str">
        <f t="shared" si="226"/>
        <v>SWHC027-09 PTAC PTHP</v>
      </c>
      <c r="E961" s="3" t="str">
        <f t="shared" si="253"/>
        <v>SWHC027-09 PTAC PTHP_SFm_New</v>
      </c>
      <c r="F961" t="s">
        <v>201</v>
      </c>
      <c r="G961" t="str">
        <f t="shared" si="214"/>
        <v>RE-HV-PTHP-10.15EER-3.13COP</v>
      </c>
      <c r="H961" t="str">
        <f t="shared" si="254"/>
        <v>RE-HV-PTHP-8.46EER-2.61COP</v>
      </c>
      <c r="I961" t="str">
        <f t="shared" si="247"/>
        <v>RE-HV-PTHP-8.46EER-2.61COP</v>
      </c>
      <c r="J961" t="str">
        <f t="shared" si="248"/>
        <v>RE-HV-PTHP-10.15EER-3.13COP</v>
      </c>
      <c r="K961" t="s">
        <v>200</v>
      </c>
      <c r="L961" t="s">
        <v>200</v>
      </c>
      <c r="M961" t="s">
        <v>201</v>
      </c>
      <c r="N961" s="3" t="str">
        <f t="shared" si="252"/>
        <v>SFm&amp;1&amp;rDXHP&amp;New&amp;dxHP_equip__pkgTerm</v>
      </c>
      <c r="O961" s="3" t="s">
        <v>50</v>
      </c>
      <c r="P961" s="3">
        <v>1</v>
      </c>
      <c r="Q961" s="3" t="s">
        <v>57</v>
      </c>
      <c r="R961" s="3" t="s">
        <v>107</v>
      </c>
      <c r="S961" s="3" t="s">
        <v>10734</v>
      </c>
      <c r="T961" s="3" t="str">
        <f t="shared" si="250"/>
        <v>dxHP_equip__pkgTerm</v>
      </c>
      <c r="U961" s="3" t="str">
        <f t="shared" si="251"/>
        <v>dxHP_equip__pkgTerm</v>
      </c>
      <c r="V961" s="3" t="s">
        <v>105</v>
      </c>
      <c r="W961" s="3" t="s">
        <v>193</v>
      </c>
      <c r="X961" s="3" t="s">
        <v>105</v>
      </c>
      <c r="Y961" s="3" t="s">
        <v>193</v>
      </c>
      <c r="AA961" s="3" t="s">
        <v>194</v>
      </c>
    </row>
    <row r="962" spans="1:27" x14ac:dyDescent="0.35">
      <c r="A962" s="3" t="s">
        <v>10771</v>
      </c>
      <c r="B962" s="3" t="s">
        <v>10675</v>
      </c>
      <c r="C962" s="3" t="s">
        <v>10770</v>
      </c>
      <c r="D962" s="3" t="str">
        <f t="shared" si="226"/>
        <v>SWHC027-09 PTAC PTHP</v>
      </c>
      <c r="E962" s="3" t="str">
        <f t="shared" si="253"/>
        <v>SWHC027-09 PTAC PTHP_SFm_New</v>
      </c>
      <c r="F962" t="s">
        <v>201</v>
      </c>
      <c r="G962" t="str">
        <f t="shared" si="214"/>
        <v>RE-HV-PTHP-10.15EER-3.13COP</v>
      </c>
      <c r="H962" t="str">
        <f t="shared" si="254"/>
        <v>RE-HV-PTHP-8.46EER-2.61COP</v>
      </c>
      <c r="I962" t="str">
        <f t="shared" si="247"/>
        <v>RE-HV-PTHP-8.46EER-2.61COP</v>
      </c>
      <c r="J962" t="str">
        <f t="shared" si="248"/>
        <v>RE-HV-PTHP-10.15EER-3.13COP</v>
      </c>
      <c r="K962" t="s">
        <v>200</v>
      </c>
      <c r="L962" t="s">
        <v>200</v>
      </c>
      <c r="M962" t="s">
        <v>201</v>
      </c>
      <c r="N962" s="3" t="str">
        <f t="shared" si="252"/>
        <v>SFm&amp;1&amp;rDXHP&amp;New&amp;dxHP_equip__pkgTerm</v>
      </c>
      <c r="O962" s="3" t="s">
        <v>50</v>
      </c>
      <c r="P962" s="3">
        <v>1</v>
      </c>
      <c r="Q962" s="3" t="s">
        <v>57</v>
      </c>
      <c r="R962" s="3" t="s">
        <v>107</v>
      </c>
      <c r="S962" s="3" t="s">
        <v>10734</v>
      </c>
      <c r="T962" s="3" t="str">
        <f t="shared" si="250"/>
        <v>dxHP_equip__pkgTerm</v>
      </c>
      <c r="U962" s="3" t="str">
        <f t="shared" si="251"/>
        <v>dxHP_equip__pkgTerm</v>
      </c>
      <c r="V962" s="3" t="s">
        <v>105</v>
      </c>
      <c r="W962" s="3" t="s">
        <v>193</v>
      </c>
      <c r="X962" s="3" t="s">
        <v>105</v>
      </c>
      <c r="Y962" s="3" t="s">
        <v>193</v>
      </c>
      <c r="AA962" s="3" t="s">
        <v>194</v>
      </c>
    </row>
    <row r="963" spans="1:27" x14ac:dyDescent="0.35">
      <c r="A963" s="3" t="s">
        <v>10771</v>
      </c>
      <c r="B963" s="3" t="s">
        <v>10675</v>
      </c>
      <c r="C963" s="3" t="s">
        <v>10770</v>
      </c>
      <c r="D963" s="3" t="str">
        <f t="shared" si="226"/>
        <v>SWHC027-09 PTAC PTHP</v>
      </c>
      <c r="E963" s="3" t="str">
        <f t="shared" si="253"/>
        <v>SWHC027-09 PTAC PTHP_SFm_New</v>
      </c>
      <c r="F963" t="s">
        <v>201</v>
      </c>
      <c r="G963" t="str">
        <f t="shared" si="214"/>
        <v>RE-HV-PTHP-10.15EER-3.13COP</v>
      </c>
      <c r="H963" t="str">
        <f t="shared" si="254"/>
        <v>RE-HV-PTHP-8.46EER-2.61COP</v>
      </c>
      <c r="I963" t="str">
        <f t="shared" si="247"/>
        <v>RE-HV-PTHP-8.46EER-2.61COP</v>
      </c>
      <c r="J963" t="str">
        <f t="shared" si="248"/>
        <v>RE-HV-PTHP-10.15EER-3.13COP</v>
      </c>
      <c r="K963" t="s">
        <v>200</v>
      </c>
      <c r="L963" t="s">
        <v>200</v>
      </c>
      <c r="M963" t="s">
        <v>201</v>
      </c>
      <c r="N963" s="3" t="str">
        <f t="shared" si="252"/>
        <v>SFm&amp;1&amp;rDXHP&amp;New&amp;dxHP_equip__pkgTerm</v>
      </c>
      <c r="O963" s="3" t="s">
        <v>50</v>
      </c>
      <c r="P963" s="3">
        <v>1</v>
      </c>
      <c r="Q963" s="3" t="s">
        <v>57</v>
      </c>
      <c r="R963" s="3" t="s">
        <v>107</v>
      </c>
      <c r="S963" s="3" t="s">
        <v>10734</v>
      </c>
      <c r="T963" s="3" t="str">
        <f t="shared" si="250"/>
        <v>dxHP_equip__pkgTerm</v>
      </c>
      <c r="U963" s="3" t="str">
        <f t="shared" si="251"/>
        <v>dxHP_equip__pkgTerm</v>
      </c>
      <c r="V963" s="3" t="s">
        <v>105</v>
      </c>
      <c r="W963" s="3" t="s">
        <v>193</v>
      </c>
      <c r="X963" s="3" t="s">
        <v>105</v>
      </c>
      <c r="Y963" s="3" t="s">
        <v>193</v>
      </c>
      <c r="AA963" s="3" t="s">
        <v>194</v>
      </c>
    </row>
    <row r="964" spans="1:27" x14ac:dyDescent="0.35">
      <c r="A964" s="3" t="s">
        <v>10771</v>
      </c>
      <c r="B964" s="3" t="s">
        <v>10675</v>
      </c>
      <c r="C964" s="3" t="s">
        <v>10770</v>
      </c>
      <c r="D964" s="3" t="str">
        <f t="shared" si="226"/>
        <v>SWHC027-09 PTAC PTHP</v>
      </c>
      <c r="E964" s="3" t="str">
        <f t="shared" si="253"/>
        <v>SWHC027-09 PTAC PTHP_SFm_New</v>
      </c>
      <c r="F964" t="s">
        <v>204</v>
      </c>
      <c r="G964" t="str">
        <f>F964</f>
        <v>RE-HV-PTHP-12.84EER-3.76COP</v>
      </c>
      <c r="H964" t="str">
        <f>K964</f>
        <v>RE-HV-PTHP-10.70EER-3.13COP</v>
      </c>
      <c r="I964" t="str">
        <f t="shared" si="247"/>
        <v>RE-HV-PTHP-10.70EER-3.13COP</v>
      </c>
      <c r="J964" t="str">
        <f t="shared" si="248"/>
        <v>RE-HV-PTHP-12.84EER-3.76COP</v>
      </c>
      <c r="K964" t="s">
        <v>203</v>
      </c>
      <c r="L964" t="s">
        <v>203</v>
      </c>
      <c r="M964" t="s">
        <v>204</v>
      </c>
      <c r="N964" s="3" t="str">
        <f t="shared" si="252"/>
        <v>SFm&amp;1&amp;rDXHP&amp;New&amp;dxHP_equip__pkgTerm</v>
      </c>
      <c r="O964" s="3" t="s">
        <v>50</v>
      </c>
      <c r="P964" s="3">
        <v>1</v>
      </c>
      <c r="Q964" s="3" t="s">
        <v>57</v>
      </c>
      <c r="R964" s="3" t="s">
        <v>107</v>
      </c>
      <c r="S964" s="3" t="s">
        <v>10734</v>
      </c>
      <c r="T964" s="3" t="str">
        <f t="shared" si="250"/>
        <v>dxHP_equip__pkgTerm</v>
      </c>
      <c r="U964" s="3" t="str">
        <f t="shared" si="251"/>
        <v>dxHP_equip__pkgTerm</v>
      </c>
      <c r="V964" s="3" t="s">
        <v>105</v>
      </c>
      <c r="W964" s="3" t="s">
        <v>193</v>
      </c>
      <c r="X964" s="3" t="s">
        <v>105</v>
      </c>
      <c r="Y964" s="3" t="s">
        <v>193</v>
      </c>
      <c r="AA964" s="3" t="s">
        <v>194</v>
      </c>
    </row>
    <row r="965" spans="1:27" x14ac:dyDescent="0.35">
      <c r="A965" s="3" t="s">
        <v>10771</v>
      </c>
      <c r="B965" s="3" t="s">
        <v>10675</v>
      </c>
      <c r="C965" s="3" t="s">
        <v>10770</v>
      </c>
      <c r="D965" s="3" t="str">
        <f t="shared" si="226"/>
        <v>SWHC027-09 PTAC PTHP</v>
      </c>
      <c r="E965" s="3" t="str">
        <f t="shared" si="253"/>
        <v>SWHC027-09 PTAC PTHP_SFm_New</v>
      </c>
      <c r="F965" t="s">
        <v>204</v>
      </c>
      <c r="G965" t="str">
        <f t="shared" si="214"/>
        <v>RE-HV-PTHP-12.84EER-3.76COP</v>
      </c>
      <c r="H965" t="str">
        <f t="shared" ref="H965:H975" si="255">K965</f>
        <v>RE-HV-PTHP-10.70EER-3.13COP</v>
      </c>
      <c r="I965" t="str">
        <f t="shared" si="247"/>
        <v>RE-HV-PTHP-10.70EER-3.13COP</v>
      </c>
      <c r="J965" t="str">
        <f t="shared" si="248"/>
        <v>RE-HV-PTHP-12.84EER-3.76COP</v>
      </c>
      <c r="K965" t="s">
        <v>203</v>
      </c>
      <c r="L965" t="s">
        <v>203</v>
      </c>
      <c r="M965" t="s">
        <v>204</v>
      </c>
      <c r="N965" s="3" t="str">
        <f t="shared" si="252"/>
        <v>SFm&amp;1&amp;rDXHP&amp;New&amp;dxHP_equip__pkgTerm</v>
      </c>
      <c r="O965" s="3" t="s">
        <v>50</v>
      </c>
      <c r="P965" s="3">
        <v>1</v>
      </c>
      <c r="Q965" s="3" t="s">
        <v>57</v>
      </c>
      <c r="R965" s="3" t="s">
        <v>107</v>
      </c>
      <c r="S965" s="3" t="s">
        <v>10734</v>
      </c>
      <c r="T965" s="3" t="str">
        <f t="shared" si="250"/>
        <v>dxHP_equip__pkgTerm</v>
      </c>
      <c r="U965" s="3" t="str">
        <f t="shared" si="251"/>
        <v>dxHP_equip__pkgTerm</v>
      </c>
      <c r="V965" s="3" t="s">
        <v>105</v>
      </c>
      <c r="W965" s="3" t="s">
        <v>193</v>
      </c>
      <c r="X965" s="3" t="s">
        <v>105</v>
      </c>
      <c r="Y965" s="3" t="s">
        <v>193</v>
      </c>
      <c r="AA965" s="3" t="s">
        <v>194</v>
      </c>
    </row>
    <row r="966" spans="1:27" x14ac:dyDescent="0.35">
      <c r="A966" s="3" t="s">
        <v>10771</v>
      </c>
      <c r="B966" s="3" t="s">
        <v>10675</v>
      </c>
      <c r="C966" s="3" t="s">
        <v>10770</v>
      </c>
      <c r="D966" s="3" t="str">
        <f t="shared" si="226"/>
        <v>SWHC027-09 PTAC PTHP</v>
      </c>
      <c r="E966" s="3" t="str">
        <f t="shared" si="253"/>
        <v>SWHC027-09 PTAC PTHP_SFm_New</v>
      </c>
      <c r="F966" t="s">
        <v>204</v>
      </c>
      <c r="G966" t="str">
        <f t="shared" si="214"/>
        <v>RE-HV-PTHP-12.84EER-3.76COP</v>
      </c>
      <c r="H966" t="str">
        <f t="shared" si="255"/>
        <v>RE-HV-PTHP-10.70EER-3.13COP</v>
      </c>
      <c r="I966" t="str">
        <f t="shared" si="247"/>
        <v>RE-HV-PTHP-10.70EER-3.13COP</v>
      </c>
      <c r="J966" t="str">
        <f t="shared" si="248"/>
        <v>RE-HV-PTHP-12.84EER-3.76COP</v>
      </c>
      <c r="K966" t="s">
        <v>203</v>
      </c>
      <c r="L966" t="s">
        <v>203</v>
      </c>
      <c r="M966" t="s">
        <v>204</v>
      </c>
      <c r="N966" s="3" t="str">
        <f t="shared" si="252"/>
        <v>SFm&amp;1&amp;rDXHP&amp;New&amp;dxHP_equip__pkgTerm</v>
      </c>
      <c r="O966" s="3" t="s">
        <v>50</v>
      </c>
      <c r="P966" s="3">
        <v>1</v>
      </c>
      <c r="Q966" s="3" t="s">
        <v>57</v>
      </c>
      <c r="R966" s="3" t="s">
        <v>107</v>
      </c>
      <c r="S966" s="3" t="s">
        <v>10734</v>
      </c>
      <c r="T966" s="3" t="str">
        <f t="shared" si="250"/>
        <v>dxHP_equip__pkgTerm</v>
      </c>
      <c r="U966" s="3" t="str">
        <f t="shared" si="251"/>
        <v>dxHP_equip__pkgTerm</v>
      </c>
      <c r="V966" s="3" t="s">
        <v>105</v>
      </c>
      <c r="W966" s="3" t="s">
        <v>193</v>
      </c>
      <c r="X966" s="3" t="s">
        <v>105</v>
      </c>
      <c r="Y966" s="3" t="s">
        <v>193</v>
      </c>
      <c r="AA966" s="3" t="s">
        <v>194</v>
      </c>
    </row>
    <row r="967" spans="1:27" x14ac:dyDescent="0.35">
      <c r="A967" s="3" t="s">
        <v>10771</v>
      </c>
      <c r="B967" s="3" t="s">
        <v>10675</v>
      </c>
      <c r="C967" s="3" t="s">
        <v>10770</v>
      </c>
      <c r="D967" s="3" t="str">
        <f t="shared" si="226"/>
        <v>SWHC027-09 PTAC PTHP</v>
      </c>
      <c r="E967" s="3" t="str">
        <f t="shared" si="253"/>
        <v>SWHC027-09 PTAC PTHP_SFm_New</v>
      </c>
      <c r="F967" t="s">
        <v>204</v>
      </c>
      <c r="G967" t="str">
        <f t="shared" si="214"/>
        <v>RE-HV-PTHP-12.84EER-3.76COP</v>
      </c>
      <c r="H967" t="str">
        <f t="shared" si="255"/>
        <v>RE-HV-PTHP-10.70EER-3.13COP</v>
      </c>
      <c r="I967" t="str">
        <f t="shared" si="247"/>
        <v>RE-HV-PTHP-10.70EER-3.13COP</v>
      </c>
      <c r="J967" t="str">
        <f t="shared" si="248"/>
        <v>RE-HV-PTHP-12.84EER-3.76COP</v>
      </c>
      <c r="K967" t="s">
        <v>203</v>
      </c>
      <c r="L967" t="s">
        <v>203</v>
      </c>
      <c r="M967" t="s">
        <v>204</v>
      </c>
      <c r="N967" s="3" t="str">
        <f t="shared" si="252"/>
        <v>SFm&amp;1&amp;rDXHP&amp;New&amp;dxHP_equip__pkgTerm</v>
      </c>
      <c r="O967" s="3" t="s">
        <v>50</v>
      </c>
      <c r="P967" s="3">
        <v>1</v>
      </c>
      <c r="Q967" s="3" t="s">
        <v>57</v>
      </c>
      <c r="R967" s="3" t="s">
        <v>107</v>
      </c>
      <c r="S967" s="3" t="s">
        <v>10734</v>
      </c>
      <c r="T967" s="3" t="str">
        <f t="shared" si="250"/>
        <v>dxHP_equip__pkgTerm</v>
      </c>
      <c r="U967" s="3" t="str">
        <f t="shared" si="251"/>
        <v>dxHP_equip__pkgTerm</v>
      </c>
      <c r="V967" s="3" t="s">
        <v>105</v>
      </c>
      <c r="W967" s="3" t="s">
        <v>193</v>
      </c>
      <c r="X967" s="3" t="s">
        <v>105</v>
      </c>
      <c r="Y967" s="3" t="s">
        <v>193</v>
      </c>
      <c r="AA967" s="3" t="s">
        <v>194</v>
      </c>
    </row>
    <row r="968" spans="1:27" x14ac:dyDescent="0.35">
      <c r="A968" s="3" t="s">
        <v>10771</v>
      </c>
      <c r="B968" s="3" t="s">
        <v>10675</v>
      </c>
      <c r="C968" s="3" t="s">
        <v>10770</v>
      </c>
      <c r="D968" s="3" t="str">
        <f t="shared" si="226"/>
        <v>SWHC027-09 PTAC PTHP</v>
      </c>
      <c r="E968" s="3" t="str">
        <f t="shared" si="253"/>
        <v>SWHC027-09 PTAC PTHP_SFm_New</v>
      </c>
      <c r="F968" t="s">
        <v>204</v>
      </c>
      <c r="G968" t="str">
        <f t="shared" si="214"/>
        <v>RE-HV-PTHP-12.84EER-3.76COP</v>
      </c>
      <c r="H968" t="str">
        <f t="shared" si="255"/>
        <v>RE-HV-PTHP-10.70EER-3.13COP</v>
      </c>
      <c r="I968" t="str">
        <f t="shared" si="247"/>
        <v>RE-HV-PTHP-10.70EER-3.13COP</v>
      </c>
      <c r="J968" t="str">
        <f t="shared" si="248"/>
        <v>RE-HV-PTHP-12.84EER-3.76COP</v>
      </c>
      <c r="K968" t="s">
        <v>203</v>
      </c>
      <c r="L968" t="s">
        <v>203</v>
      </c>
      <c r="M968" t="s">
        <v>204</v>
      </c>
      <c r="N968" s="3" t="str">
        <f t="shared" si="252"/>
        <v>SFm&amp;1&amp;rDXHP&amp;New&amp;dxHP_equip__pkgTerm</v>
      </c>
      <c r="O968" s="3" t="s">
        <v>50</v>
      </c>
      <c r="P968" s="3">
        <v>1</v>
      </c>
      <c r="Q968" s="3" t="s">
        <v>57</v>
      </c>
      <c r="R968" s="3" t="s">
        <v>107</v>
      </c>
      <c r="S968" s="3" t="s">
        <v>10734</v>
      </c>
      <c r="T968" s="3" t="str">
        <f t="shared" si="250"/>
        <v>dxHP_equip__pkgTerm</v>
      </c>
      <c r="U968" s="3" t="str">
        <f t="shared" si="251"/>
        <v>dxHP_equip__pkgTerm</v>
      </c>
      <c r="V968" s="3" t="s">
        <v>105</v>
      </c>
      <c r="W968" s="3" t="s">
        <v>193</v>
      </c>
      <c r="X968" s="3" t="s">
        <v>105</v>
      </c>
      <c r="Y968" s="3" t="s">
        <v>193</v>
      </c>
      <c r="AA968" s="3" t="s">
        <v>194</v>
      </c>
    </row>
    <row r="969" spans="1:27" x14ac:dyDescent="0.35">
      <c r="A969" s="3" t="s">
        <v>10771</v>
      </c>
      <c r="B969" s="3" t="s">
        <v>10675</v>
      </c>
      <c r="C969" s="3" t="s">
        <v>10770</v>
      </c>
      <c r="D969" s="3" t="str">
        <f t="shared" si="226"/>
        <v>SWHC027-09 PTAC PTHP</v>
      </c>
      <c r="E969" s="3" t="str">
        <f t="shared" si="253"/>
        <v>SWHC027-09 PTAC PTHP_SFm_New</v>
      </c>
      <c r="F969" t="s">
        <v>204</v>
      </c>
      <c r="G969" t="str">
        <f t="shared" si="214"/>
        <v>RE-HV-PTHP-12.84EER-3.76COP</v>
      </c>
      <c r="H969" t="str">
        <f t="shared" si="255"/>
        <v>RE-HV-PTHP-10.70EER-3.13COP</v>
      </c>
      <c r="I969" t="str">
        <f t="shared" si="247"/>
        <v>RE-HV-PTHP-10.70EER-3.13COP</v>
      </c>
      <c r="J969" t="str">
        <f t="shared" si="248"/>
        <v>RE-HV-PTHP-12.84EER-3.76COP</v>
      </c>
      <c r="K969" t="s">
        <v>203</v>
      </c>
      <c r="L969" t="s">
        <v>203</v>
      </c>
      <c r="M969" t="s">
        <v>204</v>
      </c>
      <c r="N969" s="3" t="str">
        <f t="shared" si="252"/>
        <v>SFm&amp;1&amp;rDXHP&amp;New&amp;dxHP_equip__pkgTerm</v>
      </c>
      <c r="O969" s="3" t="s">
        <v>50</v>
      </c>
      <c r="P969" s="3">
        <v>1</v>
      </c>
      <c r="Q969" s="3" t="s">
        <v>57</v>
      </c>
      <c r="R969" s="3" t="s">
        <v>107</v>
      </c>
      <c r="S969" s="3" t="s">
        <v>10734</v>
      </c>
      <c r="T969" s="3" t="str">
        <f t="shared" si="250"/>
        <v>dxHP_equip__pkgTerm</v>
      </c>
      <c r="U969" s="3" t="str">
        <f t="shared" si="251"/>
        <v>dxHP_equip__pkgTerm</v>
      </c>
      <c r="V969" s="3" t="s">
        <v>105</v>
      </c>
      <c r="W969" s="3" t="s">
        <v>193</v>
      </c>
      <c r="X969" s="3" t="s">
        <v>105</v>
      </c>
      <c r="Y969" s="3" t="s">
        <v>193</v>
      </c>
      <c r="AA969" s="3" t="s">
        <v>194</v>
      </c>
    </row>
    <row r="970" spans="1:27" x14ac:dyDescent="0.35">
      <c r="A970" s="3" t="s">
        <v>10771</v>
      </c>
      <c r="B970" s="3" t="s">
        <v>10675</v>
      </c>
      <c r="C970" s="3" t="s">
        <v>10770</v>
      </c>
      <c r="D970" s="3" t="str">
        <f t="shared" si="226"/>
        <v>SWHC027-09 PTAC PTHP</v>
      </c>
      <c r="E970" s="3" t="str">
        <f t="shared" si="253"/>
        <v>SWHC027-09 PTAC PTHP_SFm_New</v>
      </c>
      <c r="F970" t="s">
        <v>192</v>
      </c>
      <c r="G970" t="str">
        <f t="shared" si="214"/>
        <v>RE-HV-PTAC-10.27EER</v>
      </c>
      <c r="H970" t="str">
        <f t="shared" si="255"/>
        <v>RE-HV-PTAC-8.56EER</v>
      </c>
      <c r="I970" t="str">
        <f t="shared" si="247"/>
        <v>RE-HV-PTAC-8.56EER</v>
      </c>
      <c r="J970" t="str">
        <f t="shared" si="248"/>
        <v>RE-HV-PTAC-10.27EER</v>
      </c>
      <c r="K970" t="s">
        <v>191</v>
      </c>
      <c r="L970" t="s">
        <v>191</v>
      </c>
      <c r="M970" t="s">
        <v>192</v>
      </c>
      <c r="N970" s="3" t="str">
        <f t="shared" si="252"/>
        <v>SFm&amp;2&amp;rDXGF&amp;New&amp;dxAC_equip__pkgTerm</v>
      </c>
      <c r="O970" s="3" t="s">
        <v>50</v>
      </c>
      <c r="P970" s="3">
        <v>2</v>
      </c>
      <c r="Q970" s="3" t="s">
        <v>51</v>
      </c>
      <c r="R970" s="3" t="s">
        <v>107</v>
      </c>
      <c r="S970" s="3" t="s">
        <v>10734</v>
      </c>
      <c r="T970" s="3" t="str">
        <f t="shared" si="250"/>
        <v>dxAC_equip__pkgTerm</v>
      </c>
      <c r="U970" s="3" t="str">
        <f t="shared" si="251"/>
        <v>dxAC_equip__pkgTerm</v>
      </c>
      <c r="V970" s="3" t="s">
        <v>111</v>
      </c>
      <c r="W970" s="3" t="s">
        <v>193</v>
      </c>
      <c r="X970" s="3" t="s">
        <v>111</v>
      </c>
      <c r="Y970" s="3" t="s">
        <v>193</v>
      </c>
      <c r="AA970" s="3" t="s">
        <v>194</v>
      </c>
    </row>
    <row r="971" spans="1:27" x14ac:dyDescent="0.35">
      <c r="A971" s="3" t="s">
        <v>10771</v>
      </c>
      <c r="B971" s="3" t="s">
        <v>10675</v>
      </c>
      <c r="C971" s="3" t="s">
        <v>10770</v>
      </c>
      <c r="D971" s="3" t="str">
        <f t="shared" si="226"/>
        <v>SWHC027-09 PTAC PTHP</v>
      </c>
      <c r="E971" s="3" t="str">
        <f t="shared" si="253"/>
        <v>SWHC027-09 PTAC PTHP_SFm_New</v>
      </c>
      <c r="F971" t="s">
        <v>192</v>
      </c>
      <c r="G971" t="str">
        <f t="shared" si="214"/>
        <v>RE-HV-PTAC-10.27EER</v>
      </c>
      <c r="H971" t="str">
        <f t="shared" si="255"/>
        <v>RE-HV-PTAC-8.56EER</v>
      </c>
      <c r="I971" t="str">
        <f t="shared" si="247"/>
        <v>RE-HV-PTAC-8.56EER</v>
      </c>
      <c r="J971" t="str">
        <f t="shared" si="248"/>
        <v>RE-HV-PTAC-10.27EER</v>
      </c>
      <c r="K971" t="s">
        <v>191</v>
      </c>
      <c r="L971" t="s">
        <v>191</v>
      </c>
      <c r="M971" t="s">
        <v>192</v>
      </c>
      <c r="N971" s="3" t="str">
        <f t="shared" si="252"/>
        <v>SFm&amp;2&amp;rDXGF&amp;New&amp;dxAC_equip__pkgTerm</v>
      </c>
      <c r="O971" s="3" t="s">
        <v>50</v>
      </c>
      <c r="P971" s="3">
        <v>2</v>
      </c>
      <c r="Q971" s="3" t="s">
        <v>51</v>
      </c>
      <c r="R971" s="3" t="s">
        <v>107</v>
      </c>
      <c r="S971" s="3" t="s">
        <v>10734</v>
      </c>
      <c r="T971" s="3" t="str">
        <f t="shared" si="250"/>
        <v>dxAC_equip__pkgTerm</v>
      </c>
      <c r="U971" s="3" t="str">
        <f t="shared" si="251"/>
        <v>dxAC_equip__pkgTerm</v>
      </c>
      <c r="V971" s="3" t="s">
        <v>111</v>
      </c>
      <c r="W971" s="3" t="s">
        <v>193</v>
      </c>
      <c r="X971" s="3" t="s">
        <v>111</v>
      </c>
      <c r="Y971" s="3" t="s">
        <v>193</v>
      </c>
      <c r="AA971" s="3" t="s">
        <v>194</v>
      </c>
    </row>
    <row r="972" spans="1:27" x14ac:dyDescent="0.35">
      <c r="A972" s="3" t="s">
        <v>10771</v>
      </c>
      <c r="B972" s="3" t="s">
        <v>10675</v>
      </c>
      <c r="C972" s="3" t="s">
        <v>10770</v>
      </c>
      <c r="D972" s="3" t="str">
        <f t="shared" si="226"/>
        <v>SWHC027-09 PTAC PTHP</v>
      </c>
      <c r="E972" s="3" t="str">
        <f t="shared" si="253"/>
        <v>SWHC027-09 PTAC PTHP_SFm_New</v>
      </c>
      <c r="F972" t="s">
        <v>192</v>
      </c>
      <c r="G972" t="str">
        <f t="shared" si="214"/>
        <v>RE-HV-PTAC-10.27EER</v>
      </c>
      <c r="H972" t="str">
        <f t="shared" si="255"/>
        <v>RE-HV-PTAC-8.56EER</v>
      </c>
      <c r="I972" t="str">
        <f t="shared" si="247"/>
        <v>RE-HV-PTAC-8.56EER</v>
      </c>
      <c r="J972" t="str">
        <f t="shared" si="248"/>
        <v>RE-HV-PTAC-10.27EER</v>
      </c>
      <c r="K972" t="s">
        <v>191</v>
      </c>
      <c r="L972" t="s">
        <v>191</v>
      </c>
      <c r="M972" t="s">
        <v>192</v>
      </c>
      <c r="N972" s="3" t="str">
        <f t="shared" si="252"/>
        <v>SFm&amp;2&amp;rDXGF&amp;New&amp;dxAC_equip__pkgTerm</v>
      </c>
      <c r="O972" s="3" t="s">
        <v>50</v>
      </c>
      <c r="P972" s="3">
        <v>2</v>
      </c>
      <c r="Q972" s="3" t="s">
        <v>51</v>
      </c>
      <c r="R972" s="3" t="s">
        <v>107</v>
      </c>
      <c r="S972" s="3" t="s">
        <v>10734</v>
      </c>
      <c r="T972" s="3" t="str">
        <f t="shared" si="250"/>
        <v>dxAC_equip__pkgTerm</v>
      </c>
      <c r="U972" s="3" t="str">
        <f t="shared" si="251"/>
        <v>dxAC_equip__pkgTerm</v>
      </c>
      <c r="V972" s="3" t="s">
        <v>111</v>
      </c>
      <c r="W972" s="3" t="s">
        <v>193</v>
      </c>
      <c r="X972" s="3" t="s">
        <v>111</v>
      </c>
      <c r="Y972" s="3" t="s">
        <v>193</v>
      </c>
      <c r="AA972" s="3" t="s">
        <v>194</v>
      </c>
    </row>
    <row r="973" spans="1:27" x14ac:dyDescent="0.35">
      <c r="A973" s="3" t="s">
        <v>10771</v>
      </c>
      <c r="B973" s="3" t="s">
        <v>10675</v>
      </c>
      <c r="C973" s="3" t="s">
        <v>10770</v>
      </c>
      <c r="D973" s="3" t="str">
        <f t="shared" si="226"/>
        <v>SWHC027-09 PTAC PTHP</v>
      </c>
      <c r="E973" s="3" t="str">
        <f t="shared" ref="E973:E987" si="256">CONCATENATE(D973,"_",O973,"_",R973)</f>
        <v>SWHC027-09 PTAC PTHP_SFm_New</v>
      </c>
      <c r="F973" t="s">
        <v>197</v>
      </c>
      <c r="G973" t="str">
        <f t="shared" si="214"/>
        <v>RE-HV-PTAC-12.84EER</v>
      </c>
      <c r="H973" t="str">
        <f t="shared" si="255"/>
        <v>RE-HV-PTAC-10.70EER</v>
      </c>
      <c r="I973" t="str">
        <f t="shared" si="247"/>
        <v>RE-HV-PTAC-10.70EER</v>
      </c>
      <c r="J973" t="str">
        <f t="shared" si="248"/>
        <v>RE-HV-PTAC-12.84EER</v>
      </c>
      <c r="K973" t="s">
        <v>196</v>
      </c>
      <c r="L973" t="s">
        <v>196</v>
      </c>
      <c r="M973" t="s">
        <v>197</v>
      </c>
      <c r="N973" s="3" t="str">
        <f t="shared" si="252"/>
        <v>SFm&amp;2&amp;rDXGF&amp;New&amp;dxAC_equip__pkgTerm</v>
      </c>
      <c r="O973" s="3" t="s">
        <v>50</v>
      </c>
      <c r="P973" s="3">
        <v>2</v>
      </c>
      <c r="Q973" s="3" t="s">
        <v>51</v>
      </c>
      <c r="R973" s="3" t="s">
        <v>107</v>
      </c>
      <c r="S973" s="3" t="s">
        <v>10734</v>
      </c>
      <c r="T973" s="3" t="str">
        <f t="shared" si="250"/>
        <v>dxAC_equip__pkgTerm</v>
      </c>
      <c r="U973" s="3" t="str">
        <f t="shared" si="251"/>
        <v>dxAC_equip__pkgTerm</v>
      </c>
      <c r="V973" s="3" t="s">
        <v>111</v>
      </c>
      <c r="W973" s="3" t="s">
        <v>193</v>
      </c>
      <c r="X973" s="3" t="s">
        <v>111</v>
      </c>
      <c r="Y973" s="3" t="s">
        <v>193</v>
      </c>
      <c r="AA973" s="3" t="s">
        <v>194</v>
      </c>
    </row>
    <row r="974" spans="1:27" x14ac:dyDescent="0.35">
      <c r="A974" s="3" t="s">
        <v>10771</v>
      </c>
      <c r="B974" s="3" t="s">
        <v>10675</v>
      </c>
      <c r="C974" s="3" t="s">
        <v>10770</v>
      </c>
      <c r="D974" s="3" t="str">
        <f t="shared" si="226"/>
        <v>SWHC027-09 PTAC PTHP</v>
      </c>
      <c r="E974" s="3" t="str">
        <f t="shared" si="256"/>
        <v>SWHC027-09 PTAC PTHP_SFm_New</v>
      </c>
      <c r="F974" t="s">
        <v>197</v>
      </c>
      <c r="G974" t="str">
        <f t="shared" si="214"/>
        <v>RE-HV-PTAC-12.84EER</v>
      </c>
      <c r="H974" t="str">
        <f t="shared" si="255"/>
        <v>RE-HV-PTAC-10.70EER</v>
      </c>
      <c r="I974" t="str">
        <f t="shared" si="247"/>
        <v>RE-HV-PTAC-10.70EER</v>
      </c>
      <c r="J974" t="str">
        <f t="shared" si="248"/>
        <v>RE-HV-PTAC-12.84EER</v>
      </c>
      <c r="K974" t="s">
        <v>196</v>
      </c>
      <c r="L974" t="s">
        <v>196</v>
      </c>
      <c r="M974" t="s">
        <v>197</v>
      </c>
      <c r="N974" s="3" t="str">
        <f t="shared" si="252"/>
        <v>SFm&amp;2&amp;rDXGF&amp;New&amp;dxAC_equip__pkgTerm</v>
      </c>
      <c r="O974" s="3" t="s">
        <v>50</v>
      </c>
      <c r="P974" s="3">
        <v>2</v>
      </c>
      <c r="Q974" s="3" t="s">
        <v>51</v>
      </c>
      <c r="R974" s="3" t="s">
        <v>107</v>
      </c>
      <c r="S974" s="3" t="s">
        <v>10734</v>
      </c>
      <c r="T974" s="3" t="str">
        <f t="shared" si="250"/>
        <v>dxAC_equip__pkgTerm</v>
      </c>
      <c r="U974" s="3" t="str">
        <f t="shared" si="251"/>
        <v>dxAC_equip__pkgTerm</v>
      </c>
      <c r="V974" s="3" t="s">
        <v>111</v>
      </c>
      <c r="W974" s="3" t="s">
        <v>193</v>
      </c>
      <c r="X974" s="3" t="s">
        <v>111</v>
      </c>
      <c r="Y974" s="3" t="s">
        <v>193</v>
      </c>
      <c r="AA974" s="3" t="s">
        <v>194</v>
      </c>
    </row>
    <row r="975" spans="1:27" x14ac:dyDescent="0.35">
      <c r="A975" s="3" t="s">
        <v>10771</v>
      </c>
      <c r="B975" s="3" t="s">
        <v>10675</v>
      </c>
      <c r="C975" s="3" t="s">
        <v>10770</v>
      </c>
      <c r="D975" s="3" t="str">
        <f t="shared" si="226"/>
        <v>SWHC027-09 PTAC PTHP</v>
      </c>
      <c r="E975" s="3" t="str">
        <f t="shared" si="256"/>
        <v>SWHC027-09 PTAC PTHP_SFm_New</v>
      </c>
      <c r="F975" t="s">
        <v>197</v>
      </c>
      <c r="G975" t="str">
        <f t="shared" si="214"/>
        <v>RE-HV-PTAC-12.84EER</v>
      </c>
      <c r="H975" t="str">
        <f t="shared" si="255"/>
        <v>RE-HV-PTAC-10.70EER</v>
      </c>
      <c r="I975" t="str">
        <f t="shared" si="247"/>
        <v>RE-HV-PTAC-10.70EER</v>
      </c>
      <c r="J975" t="str">
        <f t="shared" si="248"/>
        <v>RE-HV-PTAC-12.84EER</v>
      </c>
      <c r="K975" t="s">
        <v>196</v>
      </c>
      <c r="L975" t="s">
        <v>196</v>
      </c>
      <c r="M975" t="s">
        <v>197</v>
      </c>
      <c r="N975" s="3" t="str">
        <f t="shared" si="252"/>
        <v>SFm&amp;2&amp;rDXGF&amp;New&amp;dxAC_equip__pkgTerm</v>
      </c>
      <c r="O975" s="3" t="s">
        <v>50</v>
      </c>
      <c r="P975" s="3">
        <v>2</v>
      </c>
      <c r="Q975" s="3" t="s">
        <v>51</v>
      </c>
      <c r="R975" s="3" t="s">
        <v>107</v>
      </c>
      <c r="S975" s="3" t="s">
        <v>10734</v>
      </c>
      <c r="T975" s="3" t="str">
        <f t="shared" si="250"/>
        <v>dxAC_equip__pkgTerm</v>
      </c>
      <c r="U975" s="3" t="str">
        <f t="shared" si="251"/>
        <v>dxAC_equip__pkgTerm</v>
      </c>
      <c r="V975" s="3" t="s">
        <v>111</v>
      </c>
      <c r="W975" s="3" t="s">
        <v>193</v>
      </c>
      <c r="X975" s="3" t="s">
        <v>111</v>
      </c>
      <c r="Y975" s="3" t="s">
        <v>193</v>
      </c>
      <c r="AA975" s="3" t="s">
        <v>194</v>
      </c>
    </row>
    <row r="976" spans="1:27" x14ac:dyDescent="0.35">
      <c r="A976" s="3" t="s">
        <v>10771</v>
      </c>
      <c r="B976" s="3" t="s">
        <v>10675</v>
      </c>
      <c r="C976" s="3" t="s">
        <v>10770</v>
      </c>
      <c r="D976" s="3" t="str">
        <f t="shared" si="226"/>
        <v>SWHC027-09 PTAC PTHP</v>
      </c>
      <c r="E976" s="3" t="str">
        <f t="shared" si="256"/>
        <v>SWHC027-09 PTAC PTHP_SFm_New</v>
      </c>
      <c r="F976" t="s">
        <v>197</v>
      </c>
      <c r="G976" t="str">
        <f>F976</f>
        <v>RE-HV-PTAC-12.84EER</v>
      </c>
      <c r="H976" t="str">
        <f>K976</f>
        <v>RE-HV-PTAC-10.70EER</v>
      </c>
      <c r="I976" t="str">
        <f t="shared" si="247"/>
        <v>RE-HV-PTAC-10.70EER</v>
      </c>
      <c r="J976" t="str">
        <f t="shared" si="248"/>
        <v>RE-HV-PTAC-12.84EER</v>
      </c>
      <c r="K976" t="s">
        <v>196</v>
      </c>
      <c r="L976" t="s">
        <v>196</v>
      </c>
      <c r="M976" t="s">
        <v>197</v>
      </c>
      <c r="N976" s="3" t="str">
        <f t="shared" si="252"/>
        <v>SFm&amp;2&amp;rDXGF&amp;New&amp;dxAC_equip__pkgTerm</v>
      </c>
      <c r="O976" s="3" t="s">
        <v>50</v>
      </c>
      <c r="P976" s="3">
        <v>2</v>
      </c>
      <c r="Q976" s="3" t="s">
        <v>51</v>
      </c>
      <c r="R976" s="3" t="s">
        <v>107</v>
      </c>
      <c r="S976" s="3" t="s">
        <v>10734</v>
      </c>
      <c r="T976" s="3" t="str">
        <f t="shared" si="250"/>
        <v>dxAC_equip__pkgTerm</v>
      </c>
      <c r="U976" s="3" t="str">
        <f t="shared" si="251"/>
        <v>dxAC_equip__pkgTerm</v>
      </c>
      <c r="V976" s="3" t="s">
        <v>111</v>
      </c>
      <c r="W976" s="3" t="s">
        <v>193</v>
      </c>
      <c r="X976" s="3" t="s">
        <v>111</v>
      </c>
      <c r="Y976" s="3" t="s">
        <v>193</v>
      </c>
      <c r="AA976" s="3" t="s">
        <v>194</v>
      </c>
    </row>
    <row r="977" spans="1:27" x14ac:dyDescent="0.35">
      <c r="A977" s="3" t="s">
        <v>10771</v>
      </c>
      <c r="B977" s="3" t="s">
        <v>10675</v>
      </c>
      <c r="C977" s="3" t="s">
        <v>10770</v>
      </c>
      <c r="D977" s="3" t="str">
        <f t="shared" si="226"/>
        <v>SWHC027-09 PTAC PTHP</v>
      </c>
      <c r="E977" s="3" t="str">
        <f t="shared" si="256"/>
        <v>SWHC027-09 PTAC PTHP_SFm_New</v>
      </c>
      <c r="F977" t="s">
        <v>197</v>
      </c>
      <c r="G977" t="str">
        <f t="shared" si="214"/>
        <v>RE-HV-PTAC-12.84EER</v>
      </c>
      <c r="H977" t="str">
        <f t="shared" ref="H977:H987" si="257">K977</f>
        <v>RE-HV-PTAC-10.70EER</v>
      </c>
      <c r="I977" t="str">
        <f t="shared" si="247"/>
        <v>RE-HV-PTAC-10.70EER</v>
      </c>
      <c r="J977" t="str">
        <f t="shared" si="248"/>
        <v>RE-HV-PTAC-12.84EER</v>
      </c>
      <c r="K977" t="s">
        <v>196</v>
      </c>
      <c r="L977" t="s">
        <v>196</v>
      </c>
      <c r="M977" t="s">
        <v>197</v>
      </c>
      <c r="N977" s="3" t="str">
        <f t="shared" si="252"/>
        <v>SFm&amp;2&amp;rDXGF&amp;New&amp;dxAC_equip__pkgTerm</v>
      </c>
      <c r="O977" s="3" t="s">
        <v>50</v>
      </c>
      <c r="P977" s="3">
        <v>2</v>
      </c>
      <c r="Q977" s="3" t="s">
        <v>51</v>
      </c>
      <c r="R977" s="3" t="s">
        <v>107</v>
      </c>
      <c r="S977" s="3" t="s">
        <v>10734</v>
      </c>
      <c r="T977" s="3" t="str">
        <f t="shared" si="250"/>
        <v>dxAC_equip__pkgTerm</v>
      </c>
      <c r="U977" s="3" t="str">
        <f t="shared" si="251"/>
        <v>dxAC_equip__pkgTerm</v>
      </c>
      <c r="V977" s="3" t="s">
        <v>111</v>
      </c>
      <c r="W977" s="3" t="s">
        <v>193</v>
      </c>
      <c r="X977" s="3" t="s">
        <v>111</v>
      </c>
      <c r="Y977" s="3" t="s">
        <v>193</v>
      </c>
      <c r="AA977" s="3" t="s">
        <v>194</v>
      </c>
    </row>
    <row r="978" spans="1:27" x14ac:dyDescent="0.35">
      <c r="A978" s="3" t="s">
        <v>10771</v>
      </c>
      <c r="B978" s="3" t="s">
        <v>10675</v>
      </c>
      <c r="C978" s="3" t="s">
        <v>10770</v>
      </c>
      <c r="D978" s="3" t="str">
        <f t="shared" si="226"/>
        <v>SWHC027-09 PTAC PTHP</v>
      </c>
      <c r="E978" s="3" t="str">
        <f t="shared" si="256"/>
        <v>SWHC027-09 PTAC PTHP_SFm_New</v>
      </c>
      <c r="F978" t="s">
        <v>197</v>
      </c>
      <c r="G978" t="str">
        <f t="shared" si="214"/>
        <v>RE-HV-PTAC-12.84EER</v>
      </c>
      <c r="H978" t="str">
        <f t="shared" si="257"/>
        <v>RE-HV-PTAC-10.70EER</v>
      </c>
      <c r="I978" t="str">
        <f t="shared" si="247"/>
        <v>RE-HV-PTAC-10.70EER</v>
      </c>
      <c r="J978" t="str">
        <f t="shared" si="248"/>
        <v>RE-HV-PTAC-12.84EER</v>
      </c>
      <c r="K978" t="s">
        <v>196</v>
      </c>
      <c r="L978" t="s">
        <v>196</v>
      </c>
      <c r="M978" t="s">
        <v>197</v>
      </c>
      <c r="N978" s="3" t="str">
        <f t="shared" si="252"/>
        <v>SFm&amp;2&amp;rDXGF&amp;New&amp;dxAC_equip__pkgTerm</v>
      </c>
      <c r="O978" s="3" t="s">
        <v>50</v>
      </c>
      <c r="P978" s="3">
        <v>2</v>
      </c>
      <c r="Q978" s="3" t="s">
        <v>51</v>
      </c>
      <c r="R978" s="3" t="s">
        <v>107</v>
      </c>
      <c r="S978" s="3" t="s">
        <v>10734</v>
      </c>
      <c r="T978" s="3" t="str">
        <f t="shared" si="250"/>
        <v>dxAC_equip__pkgTerm</v>
      </c>
      <c r="U978" s="3" t="str">
        <f t="shared" si="251"/>
        <v>dxAC_equip__pkgTerm</v>
      </c>
      <c r="V978" s="3" t="s">
        <v>111</v>
      </c>
      <c r="W978" s="3" t="s">
        <v>193</v>
      </c>
      <c r="X978" s="3" t="s">
        <v>111</v>
      </c>
      <c r="Y978" s="3" t="s">
        <v>193</v>
      </c>
      <c r="AA978" s="3" t="s">
        <v>194</v>
      </c>
    </row>
    <row r="979" spans="1:27" x14ac:dyDescent="0.35">
      <c r="A979" s="3" t="s">
        <v>10771</v>
      </c>
      <c r="B979" s="3" t="s">
        <v>10675</v>
      </c>
      <c r="C979" s="3" t="s">
        <v>10770</v>
      </c>
      <c r="D979" s="3" t="str">
        <f t="shared" si="226"/>
        <v>SWHC027-09 PTAC PTHP</v>
      </c>
      <c r="E979" s="3" t="str">
        <f t="shared" si="256"/>
        <v>SWHC027-09 PTAC PTHP_SFm_New</v>
      </c>
      <c r="F979" t="s">
        <v>201</v>
      </c>
      <c r="G979" t="str">
        <f t="shared" si="214"/>
        <v>RE-HV-PTHP-10.15EER-3.13COP</v>
      </c>
      <c r="H979" t="str">
        <f t="shared" si="257"/>
        <v>RE-HV-PTHP-8.46EER-2.61COP</v>
      </c>
      <c r="I979" t="str">
        <f t="shared" si="247"/>
        <v>RE-HV-PTHP-8.46EER-2.61COP</v>
      </c>
      <c r="J979" t="str">
        <f t="shared" si="248"/>
        <v>RE-HV-PTHP-10.15EER-3.13COP</v>
      </c>
      <c r="K979" t="s">
        <v>200</v>
      </c>
      <c r="L979" t="s">
        <v>200</v>
      </c>
      <c r="M979" t="s">
        <v>201</v>
      </c>
      <c r="N979" s="3" t="str">
        <f t="shared" si="252"/>
        <v>SFm&amp;2&amp;rDXHP&amp;New&amp;dxHP_equip__pkgTerm</v>
      </c>
      <c r="O979" s="3" t="s">
        <v>50</v>
      </c>
      <c r="P979" s="3">
        <v>2</v>
      </c>
      <c r="Q979" s="3" t="s">
        <v>57</v>
      </c>
      <c r="R979" s="3" t="s">
        <v>107</v>
      </c>
      <c r="S979" s="3" t="s">
        <v>10734</v>
      </c>
      <c r="T979" s="3" t="str">
        <f t="shared" si="250"/>
        <v>dxHP_equip__pkgTerm</v>
      </c>
      <c r="U979" s="3" t="str">
        <f t="shared" si="251"/>
        <v>dxHP_equip__pkgTerm</v>
      </c>
      <c r="V979" s="3" t="s">
        <v>105</v>
      </c>
      <c r="W979" s="3" t="s">
        <v>193</v>
      </c>
      <c r="X979" s="3" t="s">
        <v>105</v>
      </c>
      <c r="Y979" s="3" t="s">
        <v>193</v>
      </c>
      <c r="AA979" s="3" t="s">
        <v>194</v>
      </c>
    </row>
    <row r="980" spans="1:27" x14ac:dyDescent="0.35">
      <c r="A980" s="3" t="s">
        <v>10771</v>
      </c>
      <c r="B980" s="3" t="s">
        <v>10675</v>
      </c>
      <c r="C980" s="3" t="s">
        <v>10770</v>
      </c>
      <c r="D980" s="3" t="str">
        <f t="shared" si="226"/>
        <v>SWHC027-09 PTAC PTHP</v>
      </c>
      <c r="E980" s="3" t="str">
        <f t="shared" si="256"/>
        <v>SWHC027-09 PTAC PTHP_SFm_New</v>
      </c>
      <c r="F980" t="s">
        <v>201</v>
      </c>
      <c r="G980" t="str">
        <f t="shared" si="214"/>
        <v>RE-HV-PTHP-10.15EER-3.13COP</v>
      </c>
      <c r="H980" t="str">
        <f t="shared" si="257"/>
        <v>RE-HV-PTHP-8.46EER-2.61COP</v>
      </c>
      <c r="I980" t="str">
        <f t="shared" si="247"/>
        <v>RE-HV-PTHP-8.46EER-2.61COP</v>
      </c>
      <c r="J980" t="str">
        <f t="shared" si="248"/>
        <v>RE-HV-PTHP-10.15EER-3.13COP</v>
      </c>
      <c r="K980" t="s">
        <v>200</v>
      </c>
      <c r="L980" t="s">
        <v>200</v>
      </c>
      <c r="M980" t="s">
        <v>201</v>
      </c>
      <c r="N980" s="3" t="str">
        <f t="shared" si="252"/>
        <v>SFm&amp;2&amp;rDXHP&amp;New&amp;dxHP_equip__pkgTerm</v>
      </c>
      <c r="O980" s="3" t="s">
        <v>50</v>
      </c>
      <c r="P980" s="3">
        <v>2</v>
      </c>
      <c r="Q980" s="3" t="s">
        <v>57</v>
      </c>
      <c r="R980" s="3" t="s">
        <v>107</v>
      </c>
      <c r="S980" s="3" t="s">
        <v>10734</v>
      </c>
      <c r="T980" s="3" t="str">
        <f t="shared" ref="T980:T987" si="258">V980&amp;"__"&amp;W980</f>
        <v>dxHP_equip__pkgTerm</v>
      </c>
      <c r="U980" s="3" t="str">
        <f t="shared" ref="U980:U987" si="259">X980&amp;"__"&amp;Y980</f>
        <v>dxHP_equip__pkgTerm</v>
      </c>
      <c r="V980" s="3" t="s">
        <v>105</v>
      </c>
      <c r="W980" s="3" t="s">
        <v>193</v>
      </c>
      <c r="X980" s="3" t="s">
        <v>105</v>
      </c>
      <c r="Y980" s="3" t="s">
        <v>193</v>
      </c>
      <c r="AA980" s="3" t="s">
        <v>194</v>
      </c>
    </row>
    <row r="981" spans="1:27" x14ac:dyDescent="0.35">
      <c r="A981" s="3" t="s">
        <v>10771</v>
      </c>
      <c r="B981" s="3" t="s">
        <v>10675</v>
      </c>
      <c r="C981" s="3" t="s">
        <v>10770</v>
      </c>
      <c r="D981" s="3" t="str">
        <f t="shared" si="226"/>
        <v>SWHC027-09 PTAC PTHP</v>
      </c>
      <c r="E981" s="3" t="str">
        <f t="shared" si="256"/>
        <v>SWHC027-09 PTAC PTHP_SFm_New</v>
      </c>
      <c r="F981" t="s">
        <v>201</v>
      </c>
      <c r="G981" t="str">
        <f t="shared" si="214"/>
        <v>RE-HV-PTHP-10.15EER-3.13COP</v>
      </c>
      <c r="H981" t="str">
        <f t="shared" si="257"/>
        <v>RE-HV-PTHP-8.46EER-2.61COP</v>
      </c>
      <c r="I981" t="str">
        <f t="shared" si="247"/>
        <v>RE-HV-PTHP-8.46EER-2.61COP</v>
      </c>
      <c r="J981" t="str">
        <f t="shared" si="248"/>
        <v>RE-HV-PTHP-10.15EER-3.13COP</v>
      </c>
      <c r="K981" t="s">
        <v>200</v>
      </c>
      <c r="L981" t="s">
        <v>200</v>
      </c>
      <c r="M981" t="s">
        <v>201</v>
      </c>
      <c r="N981" s="3" t="str">
        <f t="shared" si="252"/>
        <v>SFm&amp;2&amp;rDXHP&amp;New&amp;dxHP_equip__pkgTerm</v>
      </c>
      <c r="O981" s="3" t="s">
        <v>50</v>
      </c>
      <c r="P981" s="3">
        <v>2</v>
      </c>
      <c r="Q981" s="3" t="s">
        <v>57</v>
      </c>
      <c r="R981" s="3" t="s">
        <v>107</v>
      </c>
      <c r="S981" s="3" t="s">
        <v>10734</v>
      </c>
      <c r="T981" s="3" t="str">
        <f t="shared" si="258"/>
        <v>dxHP_equip__pkgTerm</v>
      </c>
      <c r="U981" s="3" t="str">
        <f t="shared" si="259"/>
        <v>dxHP_equip__pkgTerm</v>
      </c>
      <c r="V981" s="3" t="s">
        <v>105</v>
      </c>
      <c r="W981" s="3" t="s">
        <v>193</v>
      </c>
      <c r="X981" s="3" t="s">
        <v>105</v>
      </c>
      <c r="Y981" s="3" t="s">
        <v>193</v>
      </c>
      <c r="AA981" s="3" t="s">
        <v>194</v>
      </c>
    </row>
    <row r="982" spans="1:27" x14ac:dyDescent="0.35">
      <c r="A982" s="3" t="s">
        <v>10771</v>
      </c>
      <c r="B982" s="3" t="s">
        <v>10675</v>
      </c>
      <c r="C982" s="3" t="s">
        <v>10770</v>
      </c>
      <c r="D982" s="3" t="str">
        <f t="shared" si="226"/>
        <v>SWHC027-09 PTAC PTHP</v>
      </c>
      <c r="E982" s="3" t="str">
        <f t="shared" si="256"/>
        <v>SWHC027-09 PTAC PTHP_SFm_New</v>
      </c>
      <c r="F982" t="s">
        <v>204</v>
      </c>
      <c r="G982" t="str">
        <f t="shared" si="214"/>
        <v>RE-HV-PTHP-12.84EER-3.76COP</v>
      </c>
      <c r="H982" t="str">
        <f t="shared" si="257"/>
        <v>RE-HV-PTHP-10.70EER-3.13COP</v>
      </c>
      <c r="I982" t="str">
        <f t="shared" si="247"/>
        <v>RE-HV-PTHP-10.70EER-3.13COP</v>
      </c>
      <c r="J982" t="str">
        <f t="shared" si="248"/>
        <v>RE-HV-PTHP-12.84EER-3.76COP</v>
      </c>
      <c r="K982" t="s">
        <v>203</v>
      </c>
      <c r="L982" t="s">
        <v>203</v>
      </c>
      <c r="M982" t="s">
        <v>204</v>
      </c>
      <c r="N982" s="3" t="str">
        <f t="shared" si="252"/>
        <v>SFm&amp;2&amp;rDXHP&amp;New&amp;dxHP_equip__pkgTerm</v>
      </c>
      <c r="O982" s="3" t="s">
        <v>50</v>
      </c>
      <c r="P982" s="3">
        <v>2</v>
      </c>
      <c r="Q982" s="3" t="s">
        <v>57</v>
      </c>
      <c r="R982" s="3" t="s">
        <v>107</v>
      </c>
      <c r="S982" s="3" t="s">
        <v>10734</v>
      </c>
      <c r="T982" s="3" t="str">
        <f t="shared" si="258"/>
        <v>dxHP_equip__pkgTerm</v>
      </c>
      <c r="U982" s="3" t="str">
        <f t="shared" si="259"/>
        <v>dxHP_equip__pkgTerm</v>
      </c>
      <c r="V982" s="3" t="s">
        <v>105</v>
      </c>
      <c r="W982" s="3" t="s">
        <v>193</v>
      </c>
      <c r="X982" s="3" t="s">
        <v>105</v>
      </c>
      <c r="Y982" s="3" t="s">
        <v>193</v>
      </c>
      <c r="AA982" s="3" t="s">
        <v>194</v>
      </c>
    </row>
    <row r="983" spans="1:27" x14ac:dyDescent="0.35">
      <c r="A983" s="3" t="s">
        <v>10771</v>
      </c>
      <c r="B983" s="3" t="s">
        <v>10675</v>
      </c>
      <c r="C983" s="3" t="s">
        <v>10770</v>
      </c>
      <c r="D983" s="3" t="str">
        <f t="shared" si="226"/>
        <v>SWHC027-09 PTAC PTHP</v>
      </c>
      <c r="E983" s="3" t="str">
        <f t="shared" si="256"/>
        <v>SWHC027-09 PTAC PTHP_SFm_New</v>
      </c>
      <c r="F983" t="s">
        <v>204</v>
      </c>
      <c r="G983" t="str">
        <f t="shared" si="214"/>
        <v>RE-HV-PTHP-12.84EER-3.76COP</v>
      </c>
      <c r="H983" t="str">
        <f t="shared" si="257"/>
        <v>RE-HV-PTHP-10.70EER-3.13COP</v>
      </c>
      <c r="I983" t="str">
        <f t="shared" si="247"/>
        <v>RE-HV-PTHP-10.70EER-3.13COP</v>
      </c>
      <c r="J983" t="str">
        <f t="shared" si="248"/>
        <v>RE-HV-PTHP-12.84EER-3.76COP</v>
      </c>
      <c r="K983" t="s">
        <v>203</v>
      </c>
      <c r="L983" t="s">
        <v>203</v>
      </c>
      <c r="M983" t="s">
        <v>204</v>
      </c>
      <c r="N983" s="3" t="str">
        <f t="shared" ref="N983:N987" si="260">IF(S983="No", O983&amp;"&amp;"&amp;P983&amp;"&amp;"&amp;Q983&amp;"&amp;"&amp;R983&amp;"&amp;"&amp;T983,   O983&amp;"&amp;"&amp;P983&amp;"&amp;"&amp;Q983&amp;"&amp;"&amp;R983&amp;"&amp;"&amp;T983&amp;"&amp;"&amp;U983)</f>
        <v>SFm&amp;2&amp;rDXHP&amp;New&amp;dxHP_equip__pkgTerm</v>
      </c>
      <c r="O983" s="3" t="s">
        <v>50</v>
      </c>
      <c r="P983" s="3">
        <v>2</v>
      </c>
      <c r="Q983" s="3" t="s">
        <v>57</v>
      </c>
      <c r="R983" s="3" t="s">
        <v>107</v>
      </c>
      <c r="S983" s="3" t="s">
        <v>10734</v>
      </c>
      <c r="T983" s="3" t="str">
        <f t="shared" si="258"/>
        <v>dxHP_equip__pkgTerm</v>
      </c>
      <c r="U983" s="3" t="str">
        <f t="shared" si="259"/>
        <v>dxHP_equip__pkgTerm</v>
      </c>
      <c r="V983" s="3" t="s">
        <v>105</v>
      </c>
      <c r="W983" s="3" t="s">
        <v>193</v>
      </c>
      <c r="X983" s="3" t="s">
        <v>105</v>
      </c>
      <c r="Y983" s="3" t="s">
        <v>193</v>
      </c>
      <c r="AA983" s="3" t="s">
        <v>194</v>
      </c>
    </row>
    <row r="984" spans="1:27" x14ac:dyDescent="0.35">
      <c r="A984" s="3" t="s">
        <v>10771</v>
      </c>
      <c r="B984" s="3" t="s">
        <v>10675</v>
      </c>
      <c r="C984" s="3" t="s">
        <v>10770</v>
      </c>
      <c r="D984" s="3" t="str">
        <f t="shared" si="226"/>
        <v>SWHC027-09 PTAC PTHP</v>
      </c>
      <c r="E984" s="3" t="str">
        <f t="shared" si="256"/>
        <v>SWHC027-09 PTAC PTHP_SFm_New</v>
      </c>
      <c r="F984" t="s">
        <v>204</v>
      </c>
      <c r="G984" t="str">
        <f t="shared" si="214"/>
        <v>RE-HV-PTHP-12.84EER-3.76COP</v>
      </c>
      <c r="H984" t="str">
        <f t="shared" si="257"/>
        <v>RE-HV-PTHP-10.70EER-3.13COP</v>
      </c>
      <c r="I984" t="str">
        <f t="shared" si="247"/>
        <v>RE-HV-PTHP-10.70EER-3.13COP</v>
      </c>
      <c r="J984" t="str">
        <f t="shared" si="248"/>
        <v>RE-HV-PTHP-12.84EER-3.76COP</v>
      </c>
      <c r="K984" t="s">
        <v>203</v>
      </c>
      <c r="L984" t="s">
        <v>203</v>
      </c>
      <c r="M984" t="s">
        <v>204</v>
      </c>
      <c r="N984" s="3" t="str">
        <f t="shared" si="260"/>
        <v>SFm&amp;2&amp;rDXHP&amp;New&amp;dxHP_equip__pkgTerm</v>
      </c>
      <c r="O984" s="3" t="s">
        <v>50</v>
      </c>
      <c r="P984" s="3">
        <v>2</v>
      </c>
      <c r="Q984" s="3" t="s">
        <v>57</v>
      </c>
      <c r="R984" s="3" t="s">
        <v>107</v>
      </c>
      <c r="S984" s="3" t="s">
        <v>10734</v>
      </c>
      <c r="T984" s="3" t="str">
        <f t="shared" si="258"/>
        <v>dxHP_equip__pkgTerm</v>
      </c>
      <c r="U984" s="3" t="str">
        <f t="shared" si="259"/>
        <v>dxHP_equip__pkgTerm</v>
      </c>
      <c r="V984" s="3" t="s">
        <v>105</v>
      </c>
      <c r="W984" s="3" t="s">
        <v>193</v>
      </c>
      <c r="X984" s="3" t="s">
        <v>105</v>
      </c>
      <c r="Y984" s="3" t="s">
        <v>193</v>
      </c>
      <c r="AA984" s="3" t="s">
        <v>194</v>
      </c>
    </row>
    <row r="985" spans="1:27" x14ac:dyDescent="0.35">
      <c r="A985" s="3" t="s">
        <v>10771</v>
      </c>
      <c r="B985" s="3" t="s">
        <v>10675</v>
      </c>
      <c r="C985" s="3" t="s">
        <v>10770</v>
      </c>
      <c r="D985" s="3" t="str">
        <f t="shared" si="226"/>
        <v>SWHC027-09 PTAC PTHP</v>
      </c>
      <c r="E985" s="3" t="str">
        <f t="shared" si="256"/>
        <v>SWHC027-09 PTAC PTHP_SFm_New</v>
      </c>
      <c r="F985" t="s">
        <v>204</v>
      </c>
      <c r="G985" t="str">
        <f t="shared" si="214"/>
        <v>RE-HV-PTHP-12.84EER-3.76COP</v>
      </c>
      <c r="H985" t="str">
        <f t="shared" si="257"/>
        <v>RE-HV-PTHP-10.70EER-3.13COP</v>
      </c>
      <c r="I985" t="str">
        <f t="shared" si="247"/>
        <v>RE-HV-PTHP-10.70EER-3.13COP</v>
      </c>
      <c r="J985" t="str">
        <f t="shared" si="248"/>
        <v>RE-HV-PTHP-12.84EER-3.76COP</v>
      </c>
      <c r="K985" t="s">
        <v>203</v>
      </c>
      <c r="L985" t="s">
        <v>203</v>
      </c>
      <c r="M985" t="s">
        <v>204</v>
      </c>
      <c r="N985" s="3" t="str">
        <f t="shared" si="260"/>
        <v>SFm&amp;2&amp;rDXHP&amp;New&amp;dxHP_equip__pkgTerm</v>
      </c>
      <c r="O985" s="3" t="s">
        <v>50</v>
      </c>
      <c r="P985" s="3">
        <v>2</v>
      </c>
      <c r="Q985" s="3" t="s">
        <v>57</v>
      </c>
      <c r="R985" s="3" t="s">
        <v>107</v>
      </c>
      <c r="S985" s="3" t="s">
        <v>10734</v>
      </c>
      <c r="T985" s="3" t="str">
        <f t="shared" si="258"/>
        <v>dxHP_equip__pkgTerm</v>
      </c>
      <c r="U985" s="3" t="str">
        <f t="shared" si="259"/>
        <v>dxHP_equip__pkgTerm</v>
      </c>
      <c r="V985" s="3" t="s">
        <v>105</v>
      </c>
      <c r="W985" s="3" t="s">
        <v>193</v>
      </c>
      <c r="X985" s="3" t="s">
        <v>105</v>
      </c>
      <c r="Y985" s="3" t="s">
        <v>193</v>
      </c>
      <c r="AA985" s="3" t="s">
        <v>194</v>
      </c>
    </row>
    <row r="986" spans="1:27" x14ac:dyDescent="0.35">
      <c r="A986" s="3" t="s">
        <v>10771</v>
      </c>
      <c r="B986" s="3" t="s">
        <v>10675</v>
      </c>
      <c r="C986" s="3" t="s">
        <v>10770</v>
      </c>
      <c r="D986" s="3" t="str">
        <f t="shared" si="226"/>
        <v>SWHC027-09 PTAC PTHP</v>
      </c>
      <c r="E986" s="3" t="str">
        <f t="shared" si="256"/>
        <v>SWHC027-09 PTAC PTHP_SFm_New</v>
      </c>
      <c r="F986" t="s">
        <v>204</v>
      </c>
      <c r="G986" t="str">
        <f t="shared" si="214"/>
        <v>RE-HV-PTHP-12.84EER-3.76COP</v>
      </c>
      <c r="H986" t="str">
        <f t="shared" si="257"/>
        <v>RE-HV-PTHP-10.70EER-3.13COP</v>
      </c>
      <c r="I986" t="str">
        <f t="shared" si="247"/>
        <v>RE-HV-PTHP-10.70EER-3.13COP</v>
      </c>
      <c r="J986" t="str">
        <f t="shared" si="248"/>
        <v>RE-HV-PTHP-12.84EER-3.76COP</v>
      </c>
      <c r="K986" t="s">
        <v>203</v>
      </c>
      <c r="L986" t="s">
        <v>203</v>
      </c>
      <c r="M986" t="s">
        <v>204</v>
      </c>
      <c r="N986" s="3" t="str">
        <f t="shared" si="260"/>
        <v>SFm&amp;2&amp;rDXHP&amp;New&amp;dxHP_equip__pkgTerm</v>
      </c>
      <c r="O986" s="3" t="s">
        <v>50</v>
      </c>
      <c r="P986" s="3">
        <v>2</v>
      </c>
      <c r="Q986" s="3" t="s">
        <v>57</v>
      </c>
      <c r="R986" s="3" t="s">
        <v>107</v>
      </c>
      <c r="S986" s="3" t="s">
        <v>10734</v>
      </c>
      <c r="T986" s="3" t="str">
        <f t="shared" si="258"/>
        <v>dxHP_equip__pkgTerm</v>
      </c>
      <c r="U986" s="3" t="str">
        <f t="shared" si="259"/>
        <v>dxHP_equip__pkgTerm</v>
      </c>
      <c r="V986" s="3" t="s">
        <v>105</v>
      </c>
      <c r="W986" s="3" t="s">
        <v>193</v>
      </c>
      <c r="X986" s="3" t="s">
        <v>105</v>
      </c>
      <c r="Y986" s="3" t="s">
        <v>193</v>
      </c>
      <c r="AA986" s="3" t="s">
        <v>194</v>
      </c>
    </row>
    <row r="987" spans="1:27" x14ac:dyDescent="0.35">
      <c r="A987" s="3" t="s">
        <v>10771</v>
      </c>
      <c r="B987" s="3" t="s">
        <v>10675</v>
      </c>
      <c r="C987" s="3" t="s">
        <v>10770</v>
      </c>
      <c r="D987" s="3" t="str">
        <f t="shared" si="226"/>
        <v>SWHC027-09 PTAC PTHP</v>
      </c>
      <c r="E987" s="3" t="str">
        <f t="shared" si="256"/>
        <v>SWHC027-09 PTAC PTHP_SFm_New</v>
      </c>
      <c r="F987" t="s">
        <v>204</v>
      </c>
      <c r="G987" t="str">
        <f t="shared" si="214"/>
        <v>RE-HV-PTHP-12.84EER-3.76COP</v>
      </c>
      <c r="H987" t="str">
        <f t="shared" si="257"/>
        <v>RE-HV-PTHP-10.70EER-3.13COP</v>
      </c>
      <c r="I987" t="str">
        <f t="shared" si="247"/>
        <v>RE-HV-PTHP-10.70EER-3.13COP</v>
      </c>
      <c r="J987" t="str">
        <f t="shared" si="248"/>
        <v>RE-HV-PTHP-12.84EER-3.76COP</v>
      </c>
      <c r="K987" t="s">
        <v>203</v>
      </c>
      <c r="L987" t="s">
        <v>203</v>
      </c>
      <c r="M987" t="s">
        <v>204</v>
      </c>
      <c r="N987" s="3" t="str">
        <f t="shared" si="260"/>
        <v>SFm&amp;2&amp;rDXHP&amp;New&amp;dxHP_equip__pkgTerm</v>
      </c>
      <c r="O987" s="3" t="s">
        <v>50</v>
      </c>
      <c r="P987" s="3">
        <v>2</v>
      </c>
      <c r="Q987" s="3" t="s">
        <v>57</v>
      </c>
      <c r="R987" s="3" t="s">
        <v>107</v>
      </c>
      <c r="S987" s="3" t="s">
        <v>10734</v>
      </c>
      <c r="T987" s="3" t="str">
        <f t="shared" si="258"/>
        <v>dxHP_equip__pkgTerm</v>
      </c>
      <c r="U987" s="3" t="str">
        <f t="shared" si="259"/>
        <v>dxHP_equip__pkgTerm</v>
      </c>
      <c r="V987" s="3" t="s">
        <v>105</v>
      </c>
      <c r="W987" s="3" t="s">
        <v>193</v>
      </c>
      <c r="X987" s="3" t="s">
        <v>105</v>
      </c>
      <c r="Y987" s="3" t="s">
        <v>193</v>
      </c>
      <c r="AA987" s="3" t="s">
        <v>194</v>
      </c>
    </row>
    <row r="988" spans="1:27" x14ac:dyDescent="0.35">
      <c r="A988" s="54"/>
      <c r="B988" s="54"/>
      <c r="C988" s="54"/>
      <c r="D988" s="54"/>
      <c r="E988" s="54"/>
      <c r="N988" s="54"/>
      <c r="O988" s="54"/>
      <c r="P988" s="54"/>
      <c r="Q988" s="54"/>
      <c r="R988" s="54"/>
      <c r="S988" s="54"/>
      <c r="T988" s="54"/>
      <c r="U988" s="54"/>
      <c r="V988" s="54"/>
      <c r="W988" s="54"/>
      <c r="X988" s="54"/>
      <c r="Y988" s="54"/>
      <c r="Z988" s="54"/>
      <c r="AA988" s="54"/>
    </row>
    <row r="989" spans="1:27" x14ac:dyDescent="0.35">
      <c r="A989" s="54"/>
      <c r="B989" s="54"/>
      <c r="C989" s="54"/>
      <c r="D989" s="54"/>
      <c r="E989" s="54"/>
      <c r="N989" s="54"/>
      <c r="O989" s="54"/>
      <c r="P989" s="54"/>
      <c r="Q989" s="54"/>
      <c r="R989" s="54"/>
      <c r="S989" s="54"/>
      <c r="T989" s="54"/>
      <c r="U989" s="54"/>
      <c r="V989" s="54"/>
      <c r="W989" s="54"/>
      <c r="X989" s="54"/>
      <c r="Y989" s="54"/>
      <c r="Z989" s="54"/>
      <c r="AA989" s="54"/>
    </row>
    <row r="990" spans="1:27" x14ac:dyDescent="0.35">
      <c r="A990" s="54"/>
      <c r="B990" s="54"/>
      <c r="C990" s="54"/>
      <c r="D990" s="54"/>
      <c r="E990" s="54"/>
      <c r="N990" s="54"/>
      <c r="O990" s="54"/>
      <c r="P990" s="54"/>
      <c r="Q990" s="54"/>
      <c r="R990" s="54"/>
      <c r="S990" s="54"/>
      <c r="T990" s="54"/>
      <c r="U990" s="54"/>
      <c r="V990" s="54"/>
      <c r="W990" s="54"/>
      <c r="X990" s="54"/>
      <c r="Y990" s="54"/>
      <c r="Z990" s="54"/>
      <c r="AA990" s="54"/>
    </row>
    <row r="991" spans="1:27" x14ac:dyDescent="0.35">
      <c r="A991" s="54"/>
      <c r="B991" s="54"/>
      <c r="C991" s="54"/>
      <c r="D991" s="54"/>
      <c r="E991" s="54"/>
      <c r="N991" s="54"/>
      <c r="O991" s="54"/>
      <c r="P991" s="54"/>
      <c r="Q991" s="54"/>
      <c r="R991" s="54"/>
      <c r="S991" s="54"/>
      <c r="T991" s="54"/>
      <c r="U991" s="54"/>
      <c r="V991" s="54"/>
      <c r="W991" s="54"/>
      <c r="X991" s="54"/>
      <c r="Y991" s="54"/>
      <c r="Z991" s="54"/>
      <c r="AA991" s="54"/>
    </row>
    <row r="992" spans="1:27" x14ac:dyDescent="0.35">
      <c r="A992" s="54"/>
      <c r="B992" s="54"/>
      <c r="C992" s="54"/>
      <c r="D992" s="54"/>
      <c r="E992" s="54"/>
      <c r="N992" s="54"/>
      <c r="O992" s="54"/>
      <c r="P992" s="54"/>
      <c r="Q992" s="54"/>
      <c r="R992" s="54"/>
      <c r="S992" s="54"/>
      <c r="T992" s="54"/>
      <c r="U992" s="54"/>
      <c r="V992" s="54"/>
      <c r="W992" s="54"/>
      <c r="X992" s="54"/>
      <c r="Y992" s="54"/>
      <c r="Z992" s="54"/>
      <c r="AA992" s="54"/>
    </row>
    <row r="993" spans="1:27" x14ac:dyDescent="0.35">
      <c r="A993" s="54"/>
      <c r="B993" s="54"/>
      <c r="C993" s="54"/>
      <c r="D993" s="54"/>
      <c r="E993" s="54"/>
      <c r="N993" s="54"/>
      <c r="O993" s="54"/>
      <c r="P993" s="54"/>
      <c r="Q993" s="54"/>
      <c r="R993" s="54"/>
      <c r="S993" s="54"/>
      <c r="T993" s="54"/>
      <c r="U993" s="54"/>
      <c r="V993" s="54"/>
      <c r="W993" s="54"/>
      <c r="X993" s="54"/>
      <c r="Y993" s="54"/>
      <c r="Z993" s="54"/>
      <c r="AA993" s="54"/>
    </row>
    <row r="994" spans="1:27" x14ac:dyDescent="0.35">
      <c r="A994" s="54"/>
      <c r="B994" s="54"/>
      <c r="C994" s="54"/>
      <c r="D994" s="54"/>
      <c r="E994" s="54"/>
      <c r="N994" s="54"/>
      <c r="O994" s="54"/>
      <c r="P994" s="54"/>
      <c r="Q994" s="54"/>
      <c r="R994" s="54"/>
      <c r="S994" s="54"/>
      <c r="T994" s="54"/>
      <c r="U994" s="54"/>
      <c r="V994" s="54"/>
      <c r="W994" s="54"/>
      <c r="X994" s="54"/>
      <c r="Y994" s="54"/>
      <c r="Z994" s="54"/>
      <c r="AA994" s="54"/>
    </row>
    <row r="995" spans="1:27" x14ac:dyDescent="0.35">
      <c r="A995" s="54"/>
      <c r="B995" s="54"/>
      <c r="C995" s="54"/>
      <c r="D995" s="54"/>
      <c r="E995" s="54"/>
      <c r="N995" s="54"/>
      <c r="O995" s="54"/>
      <c r="P995" s="54"/>
      <c r="Q995" s="54"/>
      <c r="R995" s="54"/>
      <c r="S995" s="54"/>
      <c r="T995" s="54"/>
      <c r="U995" s="54"/>
      <c r="V995" s="54"/>
      <c r="W995" s="54"/>
      <c r="X995" s="54"/>
      <c r="Y995" s="54"/>
      <c r="Z995" s="54"/>
      <c r="AA995" s="54"/>
    </row>
    <row r="996" spans="1:27" x14ac:dyDescent="0.35">
      <c r="A996" s="54"/>
      <c r="B996" s="54"/>
      <c r="C996" s="54"/>
      <c r="D996" s="54"/>
      <c r="E996" s="54"/>
      <c r="N996" s="54"/>
      <c r="O996" s="54"/>
      <c r="P996" s="54"/>
      <c r="Q996" s="54"/>
      <c r="R996" s="54"/>
      <c r="S996" s="54"/>
      <c r="T996" s="54"/>
      <c r="U996" s="54"/>
      <c r="V996" s="54"/>
      <c r="W996" s="54"/>
      <c r="X996" s="54"/>
      <c r="Y996" s="54"/>
      <c r="Z996" s="54"/>
      <c r="AA996" s="54"/>
    </row>
    <row r="997" spans="1:27" x14ac:dyDescent="0.35">
      <c r="A997" s="54"/>
      <c r="B997" s="54"/>
      <c r="C997" s="54"/>
      <c r="D997" s="54"/>
      <c r="E997" s="54"/>
      <c r="N997" s="54"/>
      <c r="O997" s="54"/>
      <c r="P997" s="54"/>
      <c r="Q997" s="54"/>
      <c r="R997" s="54"/>
      <c r="S997" s="54"/>
      <c r="T997" s="54"/>
      <c r="U997" s="54"/>
      <c r="V997" s="54"/>
      <c r="W997" s="54"/>
      <c r="X997" s="54"/>
      <c r="Y997" s="54"/>
      <c r="Z997" s="54"/>
      <c r="AA997" s="54"/>
    </row>
    <row r="998" spans="1:27" x14ac:dyDescent="0.35">
      <c r="A998" s="54"/>
      <c r="B998" s="54"/>
      <c r="C998" s="54"/>
      <c r="D998" s="54"/>
      <c r="E998" s="54"/>
      <c r="N998" s="54"/>
      <c r="O998" s="54"/>
      <c r="P998" s="54"/>
      <c r="Q998" s="54"/>
      <c r="R998" s="54"/>
      <c r="S998" s="54"/>
      <c r="T998" s="54"/>
      <c r="U998" s="54"/>
      <c r="V998" s="54"/>
      <c r="W998" s="54"/>
      <c r="X998" s="54"/>
      <c r="Y998" s="54"/>
      <c r="Z998" s="54"/>
      <c r="AA998" s="54"/>
    </row>
    <row r="999" spans="1:27" x14ac:dyDescent="0.35">
      <c r="A999" s="54"/>
      <c r="B999" s="54"/>
      <c r="C999" s="54"/>
      <c r="D999" s="54"/>
      <c r="E999" s="54"/>
      <c r="N999" s="54"/>
      <c r="O999" s="54"/>
      <c r="P999" s="54"/>
      <c r="Q999" s="54"/>
      <c r="R999" s="54"/>
      <c r="S999" s="54"/>
      <c r="T999" s="54"/>
      <c r="U999" s="54"/>
      <c r="V999" s="54"/>
      <c r="W999" s="54"/>
      <c r="X999" s="54"/>
      <c r="Y999" s="54"/>
      <c r="Z999" s="54"/>
      <c r="AA999" s="54"/>
    </row>
    <row r="1000" spans="1:27" x14ac:dyDescent="0.35">
      <c r="A1000" s="54"/>
      <c r="B1000" s="54"/>
      <c r="C1000" s="54"/>
      <c r="D1000" s="54"/>
      <c r="E1000" s="54"/>
      <c r="N1000" s="54"/>
      <c r="O1000" s="54"/>
      <c r="P1000" s="54"/>
      <c r="Q1000" s="54"/>
      <c r="R1000" s="54"/>
      <c r="S1000" s="54"/>
      <c r="T1000" s="54"/>
      <c r="U1000" s="54"/>
      <c r="V1000" s="54"/>
      <c r="W1000" s="54"/>
      <c r="X1000" s="54"/>
      <c r="Y1000" s="54"/>
      <c r="Z1000" s="54"/>
      <c r="AA1000" s="54"/>
    </row>
    <row r="1001" spans="1:27" x14ac:dyDescent="0.35">
      <c r="A1001" s="54"/>
      <c r="B1001" s="54"/>
      <c r="C1001" s="54"/>
      <c r="D1001" s="54"/>
      <c r="E1001" s="54"/>
      <c r="N1001" s="54"/>
      <c r="O1001" s="54"/>
      <c r="P1001" s="54"/>
      <c r="Q1001" s="54"/>
      <c r="R1001" s="54"/>
      <c r="S1001" s="54"/>
      <c r="T1001" s="54"/>
      <c r="U1001" s="54"/>
      <c r="V1001" s="54"/>
      <c r="W1001" s="54"/>
      <c r="X1001" s="54"/>
      <c r="Y1001" s="54"/>
      <c r="Z1001" s="54"/>
      <c r="AA1001" s="54"/>
    </row>
    <row r="1002" spans="1:27" x14ac:dyDescent="0.35">
      <c r="A1002" s="54"/>
      <c r="B1002" s="54"/>
      <c r="C1002" s="54"/>
      <c r="D1002" s="54"/>
      <c r="E1002" s="54"/>
      <c r="N1002" s="54"/>
      <c r="O1002" s="54"/>
      <c r="P1002" s="54"/>
      <c r="Q1002" s="54"/>
      <c r="R1002" s="54"/>
      <c r="S1002" s="54"/>
      <c r="T1002" s="54"/>
      <c r="U1002" s="54"/>
      <c r="V1002" s="54"/>
      <c r="W1002" s="54"/>
      <c r="X1002" s="54"/>
      <c r="Y1002" s="54"/>
      <c r="Z1002" s="54"/>
      <c r="AA1002" s="54"/>
    </row>
    <row r="1003" spans="1:27" x14ac:dyDescent="0.35">
      <c r="A1003" s="54"/>
      <c r="B1003" s="54"/>
      <c r="C1003" s="54"/>
      <c r="D1003" s="54"/>
      <c r="E1003" s="54"/>
      <c r="N1003" s="54"/>
      <c r="O1003" s="54"/>
      <c r="P1003" s="54"/>
      <c r="Q1003" s="54"/>
      <c r="R1003" s="54"/>
      <c r="S1003" s="54"/>
      <c r="T1003" s="54"/>
      <c r="U1003" s="54"/>
      <c r="V1003" s="54"/>
      <c r="W1003" s="54"/>
      <c r="X1003" s="54"/>
      <c r="Y1003" s="54"/>
      <c r="Z1003" s="54"/>
      <c r="AA1003" s="54"/>
    </row>
    <row r="1004" spans="1:27" x14ac:dyDescent="0.35">
      <c r="A1004" s="54"/>
      <c r="B1004" s="54"/>
      <c r="C1004" s="54"/>
      <c r="D1004" s="54"/>
      <c r="E1004" s="54"/>
      <c r="N1004" s="54"/>
      <c r="O1004" s="54"/>
      <c r="P1004" s="54"/>
      <c r="Q1004" s="54"/>
      <c r="R1004" s="54"/>
      <c r="S1004" s="54"/>
      <c r="T1004" s="54"/>
      <c r="U1004" s="54"/>
      <c r="V1004" s="54"/>
      <c r="W1004" s="54"/>
      <c r="X1004" s="54"/>
      <c r="Y1004" s="54"/>
      <c r="Z1004" s="54"/>
      <c r="AA1004" s="54"/>
    </row>
    <row r="1005" spans="1:27" x14ac:dyDescent="0.35">
      <c r="A1005" s="54"/>
      <c r="B1005" s="54"/>
      <c r="C1005" s="54"/>
      <c r="D1005" s="54"/>
      <c r="E1005" s="54"/>
      <c r="N1005" s="54"/>
      <c r="O1005" s="54"/>
      <c r="P1005" s="54"/>
      <c r="Q1005" s="54"/>
      <c r="R1005" s="54"/>
      <c r="S1005" s="54"/>
      <c r="T1005" s="54"/>
      <c r="U1005" s="54"/>
      <c r="V1005" s="54"/>
      <c r="W1005" s="54"/>
      <c r="X1005" s="54"/>
      <c r="Y1005" s="54"/>
      <c r="Z1005" s="54"/>
      <c r="AA1005" s="54"/>
    </row>
    <row r="1006" spans="1:27" x14ac:dyDescent="0.35">
      <c r="A1006" s="54"/>
      <c r="B1006" s="54"/>
      <c r="C1006" s="54"/>
      <c r="D1006" s="54"/>
      <c r="E1006" s="54"/>
      <c r="N1006" s="54"/>
      <c r="O1006" s="54"/>
      <c r="P1006" s="54"/>
      <c r="Q1006" s="54"/>
      <c r="R1006" s="54"/>
      <c r="S1006" s="54"/>
      <c r="T1006" s="54"/>
      <c r="U1006" s="54"/>
      <c r="V1006" s="54"/>
      <c r="W1006" s="54"/>
      <c r="X1006" s="54"/>
      <c r="Y1006" s="54"/>
      <c r="Z1006" s="54"/>
      <c r="AA1006" s="54"/>
    </row>
    <row r="1007" spans="1:27" x14ac:dyDescent="0.35">
      <c r="A1007" s="54"/>
      <c r="B1007" s="54"/>
      <c r="C1007" s="54"/>
      <c r="D1007" s="54"/>
      <c r="E1007" s="54"/>
      <c r="N1007" s="54"/>
      <c r="O1007" s="54"/>
      <c r="P1007" s="54"/>
      <c r="Q1007" s="54"/>
      <c r="R1007" s="54"/>
      <c r="S1007" s="54"/>
      <c r="T1007" s="54"/>
      <c r="U1007" s="54"/>
      <c r="V1007" s="54"/>
      <c r="W1007" s="54"/>
      <c r="X1007" s="54"/>
      <c r="Y1007" s="54"/>
      <c r="Z1007" s="54"/>
      <c r="AA1007" s="54"/>
    </row>
    <row r="1008" spans="1:27" x14ac:dyDescent="0.35">
      <c r="A1008" s="54"/>
      <c r="B1008" s="54"/>
      <c r="C1008" s="54"/>
      <c r="D1008" s="54"/>
      <c r="E1008" s="54"/>
      <c r="N1008" s="54"/>
      <c r="O1008" s="54"/>
      <c r="P1008" s="54"/>
      <c r="Q1008" s="54"/>
      <c r="R1008" s="54"/>
      <c r="S1008" s="54"/>
      <c r="T1008" s="54"/>
      <c r="U1008" s="54"/>
      <c r="V1008" s="54"/>
      <c r="W1008" s="54"/>
      <c r="X1008" s="54"/>
      <c r="Y1008" s="54"/>
      <c r="Z1008" s="54"/>
      <c r="AA1008" s="54"/>
    </row>
    <row r="1009" spans="1:27" x14ac:dyDescent="0.35">
      <c r="A1009" s="54"/>
      <c r="B1009" s="54"/>
      <c r="C1009" s="54"/>
      <c r="D1009" s="54"/>
      <c r="E1009" s="54"/>
      <c r="N1009" s="54"/>
      <c r="O1009" s="54"/>
      <c r="P1009" s="54"/>
      <c r="Q1009" s="54"/>
      <c r="R1009" s="54"/>
      <c r="S1009" s="54"/>
      <c r="T1009" s="54"/>
      <c r="U1009" s="54"/>
      <c r="V1009" s="54"/>
      <c r="W1009" s="54"/>
      <c r="X1009" s="54"/>
      <c r="Y1009" s="54"/>
      <c r="Z1009" s="54"/>
      <c r="AA1009" s="54"/>
    </row>
    <row r="1010" spans="1:27" x14ac:dyDescent="0.35">
      <c r="A1010" s="54"/>
      <c r="B1010" s="54"/>
      <c r="C1010" s="54"/>
      <c r="D1010" s="54"/>
      <c r="E1010" s="54"/>
      <c r="N1010" s="54"/>
      <c r="O1010" s="54"/>
      <c r="P1010" s="54"/>
      <c r="Q1010" s="54"/>
      <c r="R1010" s="54"/>
      <c r="S1010" s="54"/>
      <c r="T1010" s="54"/>
      <c r="U1010" s="54"/>
      <c r="V1010" s="54"/>
      <c r="W1010" s="54"/>
      <c r="X1010" s="54"/>
      <c r="Y1010" s="54"/>
      <c r="Z1010" s="54"/>
      <c r="AA1010" s="54"/>
    </row>
    <row r="1011" spans="1:27" x14ac:dyDescent="0.35">
      <c r="A1011" s="54"/>
      <c r="B1011" s="54"/>
      <c r="C1011" s="54"/>
      <c r="D1011" s="54"/>
      <c r="E1011" s="54"/>
      <c r="N1011" s="54"/>
      <c r="O1011" s="54"/>
      <c r="P1011" s="54"/>
      <c r="Q1011" s="54"/>
      <c r="R1011" s="54"/>
      <c r="S1011" s="54"/>
      <c r="T1011" s="54"/>
      <c r="U1011" s="54"/>
      <c r="V1011" s="54"/>
      <c r="W1011" s="54"/>
      <c r="X1011" s="54"/>
      <c r="Y1011" s="54"/>
      <c r="Z1011" s="54"/>
      <c r="AA1011" s="54"/>
    </row>
    <row r="1012" spans="1:27" x14ac:dyDescent="0.35">
      <c r="A1012" s="54"/>
      <c r="B1012" s="54"/>
      <c r="C1012" s="54"/>
      <c r="D1012" s="54"/>
      <c r="E1012" s="54"/>
      <c r="N1012" s="54"/>
      <c r="O1012" s="54"/>
      <c r="P1012" s="54"/>
      <c r="Q1012" s="54"/>
      <c r="R1012" s="54"/>
      <c r="S1012" s="54"/>
      <c r="T1012" s="54"/>
      <c r="U1012" s="54"/>
      <c r="V1012" s="54"/>
      <c r="W1012" s="54"/>
      <c r="X1012" s="54"/>
      <c r="Y1012" s="54"/>
      <c r="Z1012" s="54"/>
      <c r="AA1012" s="54"/>
    </row>
    <row r="1013" spans="1:27" x14ac:dyDescent="0.35">
      <c r="A1013" s="54"/>
      <c r="B1013" s="54"/>
      <c r="C1013" s="54"/>
      <c r="D1013" s="54"/>
      <c r="E1013" s="54"/>
      <c r="N1013" s="54"/>
      <c r="O1013" s="54"/>
      <c r="P1013" s="54"/>
      <c r="Q1013" s="54"/>
      <c r="R1013" s="54"/>
      <c r="S1013" s="54"/>
      <c r="T1013" s="54"/>
      <c r="U1013" s="54"/>
      <c r="V1013" s="54"/>
      <c r="W1013" s="54"/>
      <c r="X1013" s="54"/>
      <c r="Y1013" s="54"/>
      <c r="Z1013" s="54"/>
      <c r="AA1013" s="54"/>
    </row>
    <row r="1014" spans="1:27" x14ac:dyDescent="0.35">
      <c r="A1014" s="54"/>
      <c r="B1014" s="54"/>
      <c r="C1014" s="54"/>
      <c r="D1014" s="54"/>
      <c r="E1014" s="54"/>
      <c r="N1014" s="54"/>
      <c r="O1014" s="54"/>
      <c r="P1014" s="54"/>
      <c r="Q1014" s="54"/>
      <c r="R1014" s="54"/>
      <c r="S1014" s="54"/>
      <c r="T1014" s="54"/>
      <c r="U1014" s="54"/>
      <c r="V1014" s="54"/>
      <c r="W1014" s="54"/>
      <c r="X1014" s="54"/>
      <c r="Y1014" s="54"/>
      <c r="Z1014" s="54"/>
      <c r="AA1014" s="54"/>
    </row>
    <row r="1015" spans="1:27" x14ac:dyDescent="0.35">
      <c r="A1015" s="54"/>
      <c r="B1015" s="54"/>
      <c r="C1015" s="54"/>
      <c r="D1015" s="54"/>
      <c r="E1015" s="54"/>
      <c r="N1015" s="54"/>
      <c r="O1015" s="54"/>
      <c r="P1015" s="54"/>
      <c r="Q1015" s="54"/>
      <c r="R1015" s="54"/>
      <c r="S1015" s="54"/>
      <c r="T1015" s="54"/>
      <c r="U1015" s="54"/>
      <c r="V1015" s="54"/>
      <c r="W1015" s="54"/>
      <c r="X1015" s="54"/>
      <c r="Y1015" s="54"/>
      <c r="Z1015" s="54"/>
      <c r="AA1015" s="54"/>
    </row>
    <row r="1016" spans="1:27" x14ac:dyDescent="0.35">
      <c r="A1016" s="54"/>
      <c r="B1016" s="54"/>
      <c r="C1016" s="54"/>
      <c r="D1016" s="54"/>
      <c r="E1016" s="54"/>
      <c r="N1016" s="54"/>
      <c r="O1016" s="54"/>
      <c r="P1016" s="54"/>
      <c r="Q1016" s="54"/>
      <c r="R1016" s="54"/>
      <c r="S1016" s="54"/>
      <c r="T1016" s="54"/>
      <c r="U1016" s="54"/>
      <c r="V1016" s="54"/>
      <c r="W1016" s="54"/>
      <c r="X1016" s="54"/>
      <c r="Y1016" s="54"/>
      <c r="Z1016" s="54"/>
      <c r="AA1016" s="54"/>
    </row>
    <row r="1017" spans="1:27" x14ac:dyDescent="0.35">
      <c r="A1017" s="54"/>
      <c r="B1017" s="54"/>
      <c r="C1017" s="54"/>
      <c r="D1017" s="54"/>
      <c r="E1017" s="54"/>
      <c r="N1017" s="54"/>
      <c r="O1017" s="54"/>
      <c r="P1017" s="54"/>
      <c r="Q1017" s="54"/>
      <c r="R1017" s="54"/>
      <c r="S1017" s="54"/>
      <c r="T1017" s="54"/>
      <c r="U1017" s="54"/>
      <c r="V1017" s="54"/>
      <c r="W1017" s="54"/>
      <c r="X1017" s="54"/>
      <c r="Y1017" s="54"/>
      <c r="Z1017" s="54"/>
      <c r="AA1017" s="54"/>
    </row>
    <row r="1018" spans="1:27" x14ac:dyDescent="0.35">
      <c r="A1018" s="54"/>
      <c r="B1018" s="54"/>
      <c r="C1018" s="54"/>
      <c r="D1018" s="54"/>
      <c r="E1018" s="54"/>
      <c r="N1018" s="54"/>
      <c r="O1018" s="54"/>
      <c r="P1018" s="54"/>
      <c r="Q1018" s="54"/>
      <c r="R1018" s="54"/>
      <c r="S1018" s="54"/>
      <c r="T1018" s="54"/>
      <c r="U1018" s="54"/>
      <c r="V1018" s="54"/>
      <c r="W1018" s="54"/>
      <c r="X1018" s="54"/>
      <c r="Y1018" s="54"/>
      <c r="Z1018" s="54"/>
      <c r="AA1018" s="54"/>
    </row>
    <row r="1019" spans="1:27" x14ac:dyDescent="0.35">
      <c r="A1019" s="54"/>
      <c r="B1019" s="54"/>
      <c r="C1019" s="54"/>
      <c r="D1019" s="54"/>
      <c r="E1019" s="54"/>
      <c r="N1019" s="54"/>
      <c r="O1019" s="54"/>
      <c r="P1019" s="54"/>
      <c r="Q1019" s="54"/>
      <c r="R1019" s="54"/>
      <c r="S1019" s="54"/>
      <c r="T1019" s="54"/>
      <c r="U1019" s="54"/>
      <c r="V1019" s="54"/>
      <c r="W1019" s="54"/>
      <c r="X1019" s="54"/>
      <c r="Y1019" s="54"/>
      <c r="Z1019" s="54"/>
      <c r="AA1019" s="54"/>
    </row>
    <row r="1020" spans="1:27" x14ac:dyDescent="0.35">
      <c r="A1020" s="54"/>
      <c r="B1020" s="54"/>
      <c r="C1020" s="54"/>
      <c r="D1020" s="54"/>
      <c r="E1020" s="54"/>
      <c r="N1020" s="54"/>
      <c r="O1020" s="54"/>
      <c r="P1020" s="54"/>
      <c r="Q1020" s="54"/>
      <c r="R1020" s="54"/>
      <c r="S1020" s="54"/>
      <c r="T1020" s="54"/>
      <c r="U1020" s="54"/>
      <c r="V1020" s="54"/>
      <c r="W1020" s="54"/>
      <c r="X1020" s="54"/>
      <c r="Y1020" s="54"/>
      <c r="Z1020" s="54"/>
      <c r="AA1020" s="54"/>
    </row>
    <row r="1021" spans="1:27" x14ac:dyDescent="0.35">
      <c r="A1021" s="54"/>
      <c r="B1021" s="54"/>
      <c r="C1021" s="54"/>
      <c r="D1021" s="54"/>
      <c r="E1021" s="54"/>
      <c r="N1021" s="54"/>
      <c r="O1021" s="54"/>
      <c r="P1021" s="54"/>
      <c r="Q1021" s="54"/>
      <c r="R1021" s="54"/>
      <c r="S1021" s="54"/>
      <c r="T1021" s="54"/>
      <c r="U1021" s="54"/>
      <c r="V1021" s="54"/>
      <c r="W1021" s="54"/>
      <c r="X1021" s="54"/>
      <c r="Y1021" s="54"/>
      <c r="Z1021" s="54"/>
      <c r="AA1021" s="54"/>
    </row>
    <row r="1022" spans="1:27" x14ac:dyDescent="0.35">
      <c r="A1022" s="54"/>
      <c r="B1022" s="54"/>
      <c r="C1022" s="54"/>
      <c r="D1022" s="54"/>
      <c r="E1022" s="54"/>
      <c r="N1022" s="54"/>
      <c r="O1022" s="54"/>
      <c r="P1022" s="54"/>
      <c r="Q1022" s="54"/>
      <c r="R1022" s="54"/>
      <c r="S1022" s="54"/>
      <c r="T1022" s="54"/>
      <c r="U1022" s="54"/>
      <c r="V1022" s="54"/>
      <c r="W1022" s="54"/>
      <c r="X1022" s="54"/>
      <c r="Y1022" s="54"/>
      <c r="Z1022" s="54"/>
      <c r="AA1022" s="54"/>
    </row>
    <row r="1023" spans="1:27" x14ac:dyDescent="0.35">
      <c r="A1023" s="54"/>
      <c r="B1023" s="54"/>
      <c r="C1023" s="54"/>
      <c r="D1023" s="54"/>
      <c r="E1023" s="54"/>
      <c r="N1023" s="54"/>
      <c r="O1023" s="54"/>
      <c r="P1023" s="54"/>
      <c r="Q1023" s="54"/>
      <c r="R1023" s="54"/>
      <c r="S1023" s="54"/>
      <c r="T1023" s="54"/>
      <c r="U1023" s="54"/>
      <c r="V1023" s="54"/>
      <c r="W1023" s="54"/>
      <c r="X1023" s="54"/>
      <c r="Y1023" s="54"/>
      <c r="Z1023" s="54"/>
      <c r="AA1023" s="54"/>
    </row>
    <row r="1024" spans="1:27" x14ac:dyDescent="0.35">
      <c r="A1024" s="54"/>
      <c r="B1024" s="54"/>
      <c r="C1024" s="54"/>
      <c r="D1024" s="54"/>
      <c r="E1024" s="54"/>
      <c r="N1024" s="54"/>
      <c r="O1024" s="54"/>
      <c r="P1024" s="54"/>
      <c r="Q1024" s="54"/>
      <c r="R1024" s="54"/>
      <c r="S1024" s="54"/>
      <c r="T1024" s="54"/>
      <c r="U1024" s="54"/>
      <c r="V1024" s="54"/>
      <c r="W1024" s="54"/>
      <c r="X1024" s="54"/>
      <c r="Y1024" s="54"/>
      <c r="Z1024" s="54"/>
      <c r="AA1024" s="54"/>
    </row>
    <row r="1025" spans="1:27" x14ac:dyDescent="0.35">
      <c r="A1025" s="54"/>
      <c r="B1025" s="54"/>
      <c r="C1025" s="54"/>
      <c r="D1025" s="54"/>
      <c r="E1025" s="54"/>
      <c r="N1025" s="54"/>
      <c r="O1025" s="54"/>
      <c r="P1025" s="54"/>
      <c r="Q1025" s="54"/>
      <c r="R1025" s="54"/>
      <c r="S1025" s="54"/>
      <c r="T1025" s="54"/>
      <c r="U1025" s="54"/>
      <c r="V1025" s="54"/>
      <c r="W1025" s="54"/>
      <c r="X1025" s="54"/>
      <c r="Y1025" s="54"/>
      <c r="Z1025" s="54"/>
      <c r="AA1025" s="54"/>
    </row>
    <row r="1026" spans="1:27" x14ac:dyDescent="0.35">
      <c r="A1026" s="54"/>
      <c r="B1026" s="54"/>
      <c r="C1026" s="54"/>
      <c r="D1026" s="54"/>
      <c r="E1026" s="54"/>
      <c r="N1026" s="54"/>
      <c r="O1026" s="54"/>
      <c r="P1026" s="54"/>
      <c r="Q1026" s="54"/>
      <c r="R1026" s="54"/>
      <c r="S1026" s="54"/>
      <c r="T1026" s="54"/>
      <c r="U1026" s="54"/>
      <c r="V1026" s="54"/>
      <c r="W1026" s="54"/>
      <c r="X1026" s="54"/>
      <c r="Y1026" s="54"/>
      <c r="Z1026" s="54"/>
      <c r="AA1026" s="54"/>
    </row>
    <row r="1027" spans="1:27" x14ac:dyDescent="0.35">
      <c r="A1027" s="54"/>
      <c r="B1027" s="54"/>
      <c r="C1027" s="54"/>
      <c r="D1027" s="54"/>
      <c r="E1027" s="54"/>
      <c r="N1027" s="54"/>
      <c r="O1027" s="54"/>
      <c r="P1027" s="54"/>
      <c r="Q1027" s="54"/>
      <c r="R1027" s="54"/>
      <c r="S1027" s="54"/>
      <c r="T1027" s="54"/>
      <c r="U1027" s="54"/>
      <c r="V1027" s="54"/>
      <c r="W1027" s="54"/>
      <c r="X1027" s="54"/>
      <c r="Y1027" s="54"/>
      <c r="Z1027" s="54"/>
      <c r="AA1027" s="54"/>
    </row>
    <row r="1028" spans="1:27" x14ac:dyDescent="0.35">
      <c r="A1028" s="54"/>
      <c r="B1028" s="54"/>
      <c r="C1028" s="54"/>
      <c r="D1028" s="54"/>
      <c r="E1028" s="54"/>
      <c r="N1028" s="54"/>
      <c r="O1028" s="54"/>
      <c r="P1028" s="54"/>
      <c r="Q1028" s="54"/>
      <c r="R1028" s="54"/>
      <c r="S1028" s="54"/>
      <c r="T1028" s="54"/>
      <c r="U1028" s="54"/>
      <c r="V1028" s="54"/>
      <c r="W1028" s="54"/>
      <c r="X1028" s="54"/>
      <c r="Y1028" s="54"/>
      <c r="Z1028" s="54"/>
      <c r="AA1028" s="54"/>
    </row>
    <row r="1029" spans="1:27" x14ac:dyDescent="0.35">
      <c r="A1029" s="54"/>
      <c r="B1029" s="54"/>
      <c r="C1029" s="54"/>
      <c r="D1029" s="54"/>
      <c r="E1029" s="54"/>
      <c r="N1029" s="54"/>
      <c r="O1029" s="54"/>
      <c r="P1029" s="54"/>
      <c r="Q1029" s="54"/>
      <c r="R1029" s="54"/>
      <c r="S1029" s="54"/>
      <c r="T1029" s="54"/>
      <c r="U1029" s="54"/>
      <c r="V1029" s="54"/>
      <c r="W1029" s="54"/>
      <c r="X1029" s="54"/>
      <c r="Y1029" s="54"/>
      <c r="Z1029" s="54"/>
      <c r="AA1029" s="54"/>
    </row>
    <row r="1030" spans="1:27" x14ac:dyDescent="0.35">
      <c r="A1030" s="54"/>
      <c r="B1030" s="54"/>
      <c r="C1030" s="54"/>
      <c r="D1030" s="54"/>
      <c r="E1030" s="54"/>
      <c r="N1030" s="54"/>
      <c r="O1030" s="54"/>
      <c r="P1030" s="54"/>
      <c r="Q1030" s="54"/>
      <c r="R1030" s="54"/>
      <c r="S1030" s="54"/>
      <c r="T1030" s="54"/>
      <c r="U1030" s="54"/>
      <c r="V1030" s="54"/>
      <c r="W1030" s="54"/>
      <c r="X1030" s="54"/>
      <c r="Y1030" s="54"/>
      <c r="Z1030" s="54"/>
      <c r="AA1030" s="54"/>
    </row>
    <row r="1031" spans="1:27" x14ac:dyDescent="0.35">
      <c r="A1031" s="54"/>
      <c r="B1031" s="54"/>
      <c r="C1031" s="54"/>
      <c r="D1031" s="54"/>
      <c r="E1031" s="54"/>
      <c r="N1031" s="54"/>
      <c r="O1031" s="54"/>
      <c r="P1031" s="54"/>
      <c r="Q1031" s="54"/>
      <c r="R1031" s="54"/>
      <c r="S1031" s="54"/>
      <c r="T1031" s="54"/>
      <c r="U1031" s="54"/>
      <c r="V1031" s="54"/>
      <c r="W1031" s="54"/>
      <c r="X1031" s="54"/>
      <c r="Y1031" s="54"/>
      <c r="Z1031" s="54"/>
      <c r="AA1031" s="54"/>
    </row>
    <row r="1032" spans="1:27" x14ac:dyDescent="0.35">
      <c r="A1032" s="54"/>
      <c r="B1032" s="54"/>
      <c r="C1032" s="54"/>
      <c r="D1032" s="54"/>
      <c r="E1032" s="54"/>
      <c r="N1032" s="54"/>
      <c r="O1032" s="54"/>
      <c r="P1032" s="54"/>
      <c r="Q1032" s="54"/>
      <c r="R1032" s="54"/>
      <c r="S1032" s="54"/>
      <c r="T1032" s="54"/>
      <c r="U1032" s="54"/>
      <c r="V1032" s="54"/>
      <c r="W1032" s="54"/>
      <c r="X1032" s="54"/>
      <c r="Y1032" s="54"/>
      <c r="Z1032" s="54"/>
      <c r="AA1032" s="54"/>
    </row>
    <row r="1033" spans="1:27" x14ac:dyDescent="0.35">
      <c r="A1033" s="54"/>
      <c r="B1033" s="54"/>
      <c r="C1033" s="54"/>
      <c r="D1033" s="54"/>
      <c r="E1033" s="54"/>
      <c r="N1033" s="54"/>
      <c r="O1033" s="54"/>
      <c r="P1033" s="54"/>
      <c r="Q1033" s="54"/>
      <c r="R1033" s="54"/>
      <c r="S1033" s="54"/>
      <c r="T1033" s="54"/>
      <c r="U1033" s="54"/>
      <c r="V1033" s="54"/>
      <c r="W1033" s="54"/>
      <c r="X1033" s="54"/>
      <c r="Y1033" s="54"/>
      <c r="Z1033" s="54"/>
      <c r="AA1033" s="54"/>
    </row>
    <row r="1034" spans="1:27" x14ac:dyDescent="0.35">
      <c r="A1034" s="54"/>
      <c r="B1034" s="54"/>
      <c r="C1034" s="54"/>
      <c r="D1034" s="54"/>
      <c r="E1034" s="54"/>
      <c r="N1034" s="54"/>
      <c r="O1034" s="54"/>
      <c r="P1034" s="54"/>
      <c r="Q1034" s="54"/>
      <c r="R1034" s="54"/>
      <c r="S1034" s="54"/>
      <c r="T1034" s="54"/>
      <c r="U1034" s="54"/>
      <c r="V1034" s="54"/>
      <c r="W1034" s="54"/>
      <c r="X1034" s="54"/>
      <c r="Y1034" s="54"/>
      <c r="Z1034" s="54"/>
      <c r="AA1034" s="54"/>
    </row>
    <row r="1035" spans="1:27" x14ac:dyDescent="0.35">
      <c r="A1035" s="54"/>
      <c r="B1035" s="54"/>
      <c r="C1035" s="54"/>
      <c r="D1035" s="54"/>
      <c r="E1035" s="54"/>
      <c r="N1035" s="54"/>
      <c r="O1035" s="54"/>
      <c r="P1035" s="54"/>
      <c r="Q1035" s="54"/>
      <c r="R1035" s="54"/>
      <c r="S1035" s="54"/>
      <c r="T1035" s="54"/>
      <c r="U1035" s="54"/>
      <c r="V1035" s="54"/>
      <c r="W1035" s="54"/>
      <c r="X1035" s="54"/>
      <c r="Y1035" s="54"/>
      <c r="Z1035" s="54"/>
      <c r="AA1035" s="54"/>
    </row>
    <row r="1036" spans="1:27" x14ac:dyDescent="0.35">
      <c r="A1036" s="54"/>
      <c r="B1036" s="54"/>
      <c r="C1036" s="54"/>
      <c r="D1036" s="54"/>
      <c r="E1036" s="54"/>
      <c r="N1036" s="54"/>
      <c r="O1036" s="54"/>
      <c r="P1036" s="54"/>
      <c r="Q1036" s="54"/>
      <c r="R1036" s="54"/>
      <c r="S1036" s="54"/>
      <c r="T1036" s="54"/>
      <c r="U1036" s="54"/>
      <c r="V1036" s="54"/>
      <c r="W1036" s="54"/>
      <c r="X1036" s="54"/>
      <c r="Y1036" s="54"/>
      <c r="Z1036" s="54"/>
      <c r="AA1036" s="54"/>
    </row>
    <row r="1037" spans="1:27" x14ac:dyDescent="0.35">
      <c r="A1037" s="54"/>
      <c r="B1037" s="54"/>
      <c r="C1037" s="54"/>
      <c r="D1037" s="54"/>
      <c r="E1037" s="54"/>
      <c r="N1037" s="54"/>
      <c r="O1037" s="54"/>
      <c r="P1037" s="54"/>
      <c r="Q1037" s="54"/>
      <c r="R1037" s="54"/>
      <c r="S1037" s="54"/>
      <c r="T1037" s="54"/>
      <c r="U1037" s="54"/>
      <c r="V1037" s="54"/>
      <c r="W1037" s="54"/>
      <c r="X1037" s="54"/>
      <c r="Y1037" s="54"/>
      <c r="Z1037" s="54"/>
      <c r="AA1037" s="54"/>
    </row>
    <row r="1038" spans="1:27" x14ac:dyDescent="0.35">
      <c r="A1038" s="54"/>
      <c r="B1038" s="54"/>
      <c r="C1038" s="54"/>
      <c r="D1038" s="54"/>
      <c r="E1038" s="54"/>
      <c r="N1038" s="54"/>
      <c r="O1038" s="54"/>
      <c r="P1038" s="54"/>
      <c r="Q1038" s="54"/>
      <c r="R1038" s="54"/>
      <c r="S1038" s="54"/>
      <c r="T1038" s="54"/>
      <c r="U1038" s="54"/>
      <c r="V1038" s="54"/>
      <c r="W1038" s="54"/>
      <c r="X1038" s="54"/>
      <c r="Y1038" s="54"/>
      <c r="Z1038" s="54"/>
      <c r="AA1038" s="54"/>
    </row>
    <row r="1039" spans="1:27" x14ac:dyDescent="0.35">
      <c r="A1039" s="54"/>
      <c r="B1039" s="54"/>
      <c r="C1039" s="54"/>
      <c r="D1039" s="54"/>
      <c r="E1039" s="54"/>
      <c r="N1039" s="54"/>
      <c r="O1039" s="54"/>
      <c r="P1039" s="54"/>
      <c r="Q1039" s="54"/>
      <c r="R1039" s="54"/>
      <c r="S1039" s="54"/>
      <c r="T1039" s="54"/>
      <c r="U1039" s="54"/>
      <c r="V1039" s="54"/>
      <c r="W1039" s="54"/>
      <c r="X1039" s="54"/>
      <c r="Y1039" s="54"/>
      <c r="Z1039" s="54"/>
      <c r="AA1039" s="54"/>
    </row>
    <row r="1040" spans="1:27" x14ac:dyDescent="0.35">
      <c r="A1040" s="54"/>
      <c r="B1040" s="54"/>
      <c r="C1040" s="54"/>
      <c r="D1040" s="54"/>
      <c r="E1040" s="54"/>
      <c r="N1040" s="54"/>
      <c r="O1040" s="54"/>
      <c r="P1040" s="54"/>
      <c r="Q1040" s="54"/>
      <c r="R1040" s="54"/>
      <c r="S1040" s="54"/>
      <c r="T1040" s="54"/>
      <c r="U1040" s="54"/>
      <c r="V1040" s="54"/>
      <c r="W1040" s="54"/>
      <c r="X1040" s="54"/>
      <c r="Y1040" s="54"/>
      <c r="Z1040" s="54"/>
      <c r="AA1040" s="54"/>
    </row>
    <row r="1041" spans="1:27" x14ac:dyDescent="0.35">
      <c r="A1041" s="54"/>
      <c r="B1041" s="54"/>
      <c r="C1041" s="54"/>
      <c r="D1041" s="54"/>
      <c r="E1041" s="54"/>
      <c r="N1041" s="54"/>
      <c r="O1041" s="54"/>
      <c r="P1041" s="54"/>
      <c r="Q1041" s="54"/>
      <c r="R1041" s="54"/>
      <c r="S1041" s="54"/>
      <c r="T1041" s="54"/>
      <c r="U1041" s="54"/>
      <c r="V1041" s="54"/>
      <c r="W1041" s="54"/>
      <c r="X1041" s="54"/>
      <c r="Y1041" s="54"/>
      <c r="Z1041" s="54"/>
      <c r="AA1041" s="54"/>
    </row>
    <row r="1042" spans="1:27" x14ac:dyDescent="0.35">
      <c r="A1042" s="54"/>
      <c r="B1042" s="54"/>
      <c r="C1042" s="54"/>
      <c r="D1042" s="54"/>
      <c r="E1042" s="54"/>
      <c r="N1042" s="54"/>
      <c r="O1042" s="54"/>
      <c r="P1042" s="54"/>
      <c r="Q1042" s="54"/>
      <c r="R1042" s="54"/>
      <c r="S1042" s="54"/>
      <c r="T1042" s="54"/>
      <c r="U1042" s="54"/>
      <c r="V1042" s="54"/>
      <c r="W1042" s="54"/>
      <c r="X1042" s="54"/>
      <c r="Y1042" s="54"/>
      <c r="Z1042" s="54"/>
      <c r="AA1042" s="54"/>
    </row>
    <row r="1043" spans="1:27" x14ac:dyDescent="0.35">
      <c r="A1043" s="54"/>
      <c r="B1043" s="54"/>
      <c r="C1043" s="54"/>
      <c r="D1043" s="54"/>
      <c r="E1043" s="54"/>
      <c r="N1043" s="54"/>
      <c r="O1043" s="54"/>
      <c r="P1043" s="54"/>
      <c r="Q1043" s="54"/>
      <c r="R1043" s="54"/>
      <c r="S1043" s="54"/>
      <c r="T1043" s="54"/>
      <c r="U1043" s="54"/>
      <c r="V1043" s="54"/>
      <c r="W1043" s="54"/>
      <c r="X1043" s="54"/>
      <c r="Y1043" s="54"/>
      <c r="Z1043" s="54"/>
      <c r="AA1043" s="54"/>
    </row>
    <row r="1044" spans="1:27" x14ac:dyDescent="0.35">
      <c r="A1044" s="54"/>
      <c r="B1044" s="54"/>
      <c r="C1044" s="54"/>
      <c r="D1044" s="54"/>
      <c r="E1044" s="54"/>
      <c r="N1044" s="54"/>
      <c r="O1044" s="54"/>
      <c r="P1044" s="54"/>
      <c r="Q1044" s="54"/>
      <c r="R1044" s="54"/>
      <c r="S1044" s="54"/>
      <c r="T1044" s="54"/>
      <c r="U1044" s="54"/>
      <c r="V1044" s="54"/>
      <c r="W1044" s="54"/>
      <c r="X1044" s="54"/>
      <c r="Y1044" s="54"/>
      <c r="Z1044" s="54"/>
      <c r="AA1044" s="54"/>
    </row>
    <row r="1045" spans="1:27" x14ac:dyDescent="0.35">
      <c r="A1045" s="54"/>
      <c r="B1045" s="54"/>
      <c r="C1045" s="54"/>
      <c r="D1045" s="54"/>
      <c r="E1045" s="54"/>
      <c r="N1045" s="54"/>
      <c r="O1045" s="54"/>
      <c r="P1045" s="54"/>
      <c r="Q1045" s="54"/>
      <c r="R1045" s="54"/>
      <c r="S1045" s="54"/>
      <c r="T1045" s="54"/>
      <c r="U1045" s="54"/>
      <c r="V1045" s="54"/>
      <c r="W1045" s="54"/>
      <c r="X1045" s="54"/>
      <c r="Y1045" s="54"/>
      <c r="Z1045" s="54"/>
      <c r="AA1045" s="54"/>
    </row>
    <row r="1046" spans="1:27" x14ac:dyDescent="0.35">
      <c r="A1046" s="54"/>
      <c r="B1046" s="54"/>
      <c r="C1046" s="54"/>
      <c r="D1046" s="54"/>
      <c r="E1046" s="54"/>
      <c r="N1046" s="54"/>
      <c r="O1046" s="54"/>
      <c r="P1046" s="54"/>
      <c r="Q1046" s="54"/>
      <c r="R1046" s="54"/>
      <c r="S1046" s="54"/>
      <c r="T1046" s="54"/>
      <c r="U1046" s="54"/>
      <c r="V1046" s="54"/>
      <c r="W1046" s="54"/>
      <c r="X1046" s="54"/>
      <c r="Y1046" s="54"/>
      <c r="Z1046" s="54"/>
      <c r="AA1046" s="54"/>
    </row>
    <row r="1047" spans="1:27" x14ac:dyDescent="0.35">
      <c r="A1047" s="54"/>
      <c r="B1047" s="54"/>
      <c r="C1047" s="54"/>
      <c r="D1047" s="54"/>
      <c r="E1047" s="54"/>
      <c r="N1047" s="54"/>
      <c r="O1047" s="54"/>
      <c r="P1047" s="54"/>
      <c r="Q1047" s="54"/>
      <c r="R1047" s="54"/>
      <c r="S1047" s="54"/>
      <c r="T1047" s="54"/>
      <c r="U1047" s="54"/>
      <c r="V1047" s="54"/>
      <c r="W1047" s="54"/>
      <c r="X1047" s="54"/>
      <c r="Y1047" s="54"/>
      <c r="Z1047" s="54"/>
      <c r="AA1047" s="54"/>
    </row>
    <row r="1048" spans="1:27" x14ac:dyDescent="0.35">
      <c r="A1048" s="54"/>
      <c r="B1048" s="54"/>
      <c r="C1048" s="54"/>
      <c r="D1048" s="54"/>
      <c r="E1048" s="54"/>
      <c r="N1048" s="54"/>
      <c r="O1048" s="54"/>
      <c r="P1048" s="54"/>
      <c r="Q1048" s="54"/>
      <c r="R1048" s="54"/>
      <c r="S1048" s="54"/>
      <c r="T1048" s="54"/>
      <c r="U1048" s="54"/>
      <c r="V1048" s="54"/>
      <c r="W1048" s="54"/>
      <c r="X1048" s="54"/>
      <c r="Y1048" s="54"/>
      <c r="Z1048" s="54"/>
      <c r="AA1048" s="54"/>
    </row>
    <row r="1049" spans="1:27" x14ac:dyDescent="0.35">
      <c r="A1049" s="54"/>
      <c r="B1049" s="54"/>
      <c r="C1049" s="54"/>
      <c r="D1049" s="54"/>
      <c r="E1049" s="54"/>
      <c r="N1049" s="54"/>
      <c r="O1049" s="54"/>
      <c r="P1049" s="54"/>
      <c r="Q1049" s="54"/>
      <c r="R1049" s="54"/>
      <c r="S1049" s="54"/>
      <c r="T1049" s="54"/>
      <c r="U1049" s="54"/>
      <c r="V1049" s="54"/>
      <c r="W1049" s="54"/>
      <c r="X1049" s="54"/>
      <c r="Y1049" s="54"/>
      <c r="Z1049" s="54"/>
      <c r="AA1049" s="54"/>
    </row>
    <row r="1050" spans="1:27" x14ac:dyDescent="0.35">
      <c r="A1050" s="54"/>
      <c r="B1050" s="54"/>
      <c r="C1050" s="54"/>
      <c r="D1050" s="54"/>
      <c r="E1050" s="54"/>
      <c r="N1050" s="54"/>
      <c r="O1050" s="54"/>
      <c r="P1050" s="54"/>
      <c r="Q1050" s="54"/>
      <c r="R1050" s="54"/>
      <c r="S1050" s="54"/>
      <c r="T1050" s="54"/>
      <c r="U1050" s="54"/>
      <c r="V1050" s="54"/>
      <c r="W1050" s="54"/>
      <c r="X1050" s="54"/>
      <c r="Y1050" s="54"/>
      <c r="Z1050" s="54"/>
      <c r="AA1050" s="54"/>
    </row>
    <row r="1051" spans="1:27" x14ac:dyDescent="0.35">
      <c r="A1051" s="54"/>
      <c r="B1051" s="54"/>
      <c r="C1051" s="54"/>
      <c r="D1051" s="54"/>
      <c r="E1051" s="54"/>
      <c r="N1051" s="54"/>
      <c r="O1051" s="54"/>
      <c r="P1051" s="54"/>
      <c r="Q1051" s="54"/>
      <c r="R1051" s="54"/>
      <c r="S1051" s="54"/>
      <c r="T1051" s="54"/>
      <c r="U1051" s="54"/>
      <c r="V1051" s="54"/>
      <c r="W1051" s="54"/>
      <c r="X1051" s="54"/>
      <c r="Y1051" s="54"/>
      <c r="Z1051" s="54"/>
      <c r="AA1051" s="54"/>
    </row>
    <row r="1052" spans="1:27" x14ac:dyDescent="0.35">
      <c r="A1052" s="54"/>
      <c r="B1052" s="54"/>
      <c r="C1052" s="54"/>
      <c r="D1052" s="54"/>
      <c r="E1052" s="54"/>
      <c r="N1052" s="54"/>
      <c r="O1052" s="54"/>
      <c r="P1052" s="54"/>
      <c r="Q1052" s="54"/>
      <c r="R1052" s="54"/>
      <c r="S1052" s="54"/>
      <c r="T1052" s="54"/>
      <c r="U1052" s="54"/>
      <c r="V1052" s="54"/>
      <c r="W1052" s="54"/>
      <c r="X1052" s="54"/>
      <c r="Y1052" s="54"/>
      <c r="Z1052" s="54"/>
      <c r="AA1052" s="54"/>
    </row>
    <row r="1053" spans="1:27" x14ac:dyDescent="0.35">
      <c r="A1053" s="54"/>
      <c r="B1053" s="54"/>
      <c r="C1053" s="54"/>
      <c r="D1053" s="54"/>
      <c r="E1053" s="54"/>
      <c r="N1053" s="54"/>
      <c r="O1053" s="54"/>
      <c r="P1053" s="54"/>
      <c r="Q1053" s="54"/>
      <c r="R1053" s="54"/>
      <c r="S1053" s="54"/>
      <c r="T1053" s="54"/>
      <c r="U1053" s="54"/>
      <c r="V1053" s="54"/>
      <c r="W1053" s="54"/>
      <c r="X1053" s="54"/>
      <c r="Y1053" s="54"/>
      <c r="Z1053" s="54"/>
      <c r="AA1053" s="54"/>
    </row>
    <row r="1054" spans="1:27" x14ac:dyDescent="0.35">
      <c r="A1054" s="54"/>
      <c r="B1054" s="54"/>
      <c r="C1054" s="54"/>
      <c r="D1054" s="54"/>
      <c r="E1054" s="54"/>
      <c r="N1054" s="54"/>
      <c r="O1054" s="54"/>
      <c r="P1054" s="54"/>
      <c r="Q1054" s="54"/>
      <c r="R1054" s="54"/>
      <c r="S1054" s="54"/>
      <c r="T1054" s="54"/>
      <c r="U1054" s="54"/>
      <c r="V1054" s="54"/>
      <c r="W1054" s="54"/>
      <c r="X1054" s="54"/>
      <c r="Y1054" s="54"/>
      <c r="Z1054" s="54"/>
      <c r="AA1054" s="54"/>
    </row>
    <row r="1055" spans="1:27" x14ac:dyDescent="0.35">
      <c r="A1055" s="54"/>
      <c r="B1055" s="54"/>
      <c r="C1055" s="54"/>
      <c r="D1055" s="54"/>
      <c r="E1055" s="54"/>
      <c r="N1055" s="54"/>
      <c r="O1055" s="54"/>
      <c r="P1055" s="54"/>
      <c r="Q1055" s="54"/>
      <c r="R1055" s="54"/>
      <c r="S1055" s="54"/>
      <c r="T1055" s="54"/>
      <c r="U1055" s="54"/>
      <c r="V1055" s="54"/>
      <c r="W1055" s="54"/>
      <c r="X1055" s="54"/>
      <c r="Y1055" s="54"/>
      <c r="Z1055" s="54"/>
      <c r="AA1055" s="54"/>
    </row>
    <row r="1056" spans="1:27" x14ac:dyDescent="0.35">
      <c r="A1056" s="54"/>
      <c r="B1056" s="54"/>
      <c r="C1056" s="54"/>
      <c r="D1056" s="54"/>
      <c r="E1056" s="54"/>
      <c r="N1056" s="54"/>
      <c r="O1056" s="54"/>
      <c r="P1056" s="54"/>
      <c r="Q1056" s="54"/>
      <c r="R1056" s="54"/>
      <c r="S1056" s="54"/>
      <c r="T1056" s="54"/>
      <c r="U1056" s="54"/>
      <c r="V1056" s="54"/>
      <c r="W1056" s="54"/>
      <c r="X1056" s="54"/>
      <c r="Y1056" s="54"/>
      <c r="Z1056" s="54"/>
      <c r="AA1056" s="54"/>
    </row>
    <row r="1057" spans="1:27" x14ac:dyDescent="0.35">
      <c r="A1057" s="54"/>
      <c r="B1057" s="54"/>
      <c r="C1057" s="54"/>
      <c r="D1057" s="54"/>
      <c r="E1057" s="54"/>
      <c r="N1057" s="54"/>
      <c r="O1057" s="54"/>
      <c r="P1057" s="54"/>
      <c r="Q1057" s="54"/>
      <c r="R1057" s="54"/>
      <c r="S1057" s="54"/>
      <c r="T1057" s="54"/>
      <c r="U1057" s="54"/>
      <c r="V1057" s="54"/>
      <c r="W1057" s="54"/>
      <c r="X1057" s="54"/>
      <c r="Y1057" s="54"/>
      <c r="Z1057" s="54"/>
      <c r="AA1057" s="54"/>
    </row>
    <row r="1058" spans="1:27" x14ac:dyDescent="0.35">
      <c r="A1058" s="54"/>
      <c r="B1058" s="54"/>
      <c r="C1058" s="54"/>
      <c r="D1058" s="54"/>
      <c r="E1058" s="54"/>
      <c r="N1058" s="54"/>
      <c r="O1058" s="54"/>
      <c r="P1058" s="54"/>
      <c r="Q1058" s="54"/>
      <c r="R1058" s="54"/>
      <c r="S1058" s="54"/>
      <c r="T1058" s="54"/>
      <c r="U1058" s="54"/>
      <c r="V1058" s="54"/>
      <c r="W1058" s="54"/>
      <c r="X1058" s="54"/>
      <c r="Y1058" s="54"/>
      <c r="Z1058" s="54"/>
      <c r="AA1058" s="54"/>
    </row>
    <row r="1059" spans="1:27" x14ac:dyDescent="0.35">
      <c r="A1059" s="54"/>
      <c r="B1059" s="54"/>
      <c r="C1059" s="54"/>
      <c r="D1059" s="54"/>
      <c r="E1059" s="54"/>
      <c r="N1059" s="54"/>
      <c r="O1059" s="54"/>
      <c r="P1059" s="54"/>
      <c r="Q1059" s="54"/>
      <c r="R1059" s="54"/>
      <c r="S1059" s="54"/>
      <c r="T1059" s="54"/>
      <c r="U1059" s="54"/>
      <c r="V1059" s="54"/>
      <c r="W1059" s="54"/>
      <c r="X1059" s="54"/>
      <c r="Y1059" s="54"/>
      <c r="Z1059" s="54"/>
      <c r="AA1059" s="54"/>
    </row>
    <row r="1060" spans="1:27" x14ac:dyDescent="0.35">
      <c r="A1060" s="54"/>
      <c r="B1060" s="54"/>
      <c r="C1060" s="54"/>
      <c r="D1060" s="54"/>
      <c r="E1060" s="54"/>
      <c r="N1060" s="54"/>
      <c r="O1060" s="54"/>
      <c r="P1060" s="54"/>
      <c r="Q1060" s="54"/>
      <c r="R1060" s="54"/>
      <c r="S1060" s="54"/>
      <c r="T1060" s="54"/>
      <c r="U1060" s="54"/>
      <c r="V1060" s="54"/>
      <c r="W1060" s="54"/>
      <c r="X1060" s="54"/>
      <c r="Y1060" s="54"/>
      <c r="Z1060" s="54"/>
      <c r="AA1060" s="54"/>
    </row>
    <row r="1061" spans="1:27" x14ac:dyDescent="0.35">
      <c r="A1061" s="54"/>
      <c r="B1061" s="54"/>
      <c r="C1061" s="54"/>
      <c r="D1061" s="54"/>
      <c r="E1061" s="54"/>
      <c r="N1061" s="54"/>
      <c r="O1061" s="54"/>
      <c r="P1061" s="54"/>
      <c r="Q1061" s="54"/>
      <c r="R1061" s="54"/>
      <c r="S1061" s="54"/>
      <c r="T1061" s="54"/>
      <c r="U1061" s="54"/>
      <c r="V1061" s="54"/>
      <c r="W1061" s="54"/>
      <c r="X1061" s="54"/>
      <c r="Y1061" s="54"/>
      <c r="Z1061" s="54"/>
      <c r="AA1061" s="54"/>
    </row>
    <row r="1062" spans="1:27" x14ac:dyDescent="0.35">
      <c r="A1062" s="54"/>
      <c r="B1062" s="54"/>
      <c r="C1062" s="54"/>
      <c r="D1062" s="54"/>
      <c r="E1062" s="54"/>
      <c r="N1062" s="54"/>
      <c r="O1062" s="54"/>
      <c r="P1062" s="54"/>
      <c r="Q1062" s="54"/>
      <c r="R1062" s="54"/>
      <c r="S1062" s="54"/>
      <c r="T1062" s="54"/>
      <c r="U1062" s="54"/>
      <c r="V1062" s="54"/>
      <c r="W1062" s="54"/>
      <c r="X1062" s="54"/>
      <c r="Y1062" s="54"/>
      <c r="Z1062" s="54"/>
      <c r="AA1062" s="54"/>
    </row>
    <row r="1063" spans="1:27" x14ac:dyDescent="0.35">
      <c r="A1063" s="54"/>
      <c r="B1063" s="54"/>
      <c r="C1063" s="54"/>
      <c r="D1063" s="54"/>
      <c r="E1063" s="54"/>
      <c r="N1063" s="54"/>
      <c r="O1063" s="54"/>
      <c r="P1063" s="54"/>
      <c r="Q1063" s="54"/>
      <c r="R1063" s="54"/>
      <c r="S1063" s="54"/>
      <c r="T1063" s="54"/>
      <c r="U1063" s="54"/>
      <c r="V1063" s="54"/>
      <c r="W1063" s="54"/>
      <c r="X1063" s="54"/>
      <c r="Y1063" s="54"/>
      <c r="Z1063" s="54"/>
      <c r="AA1063" s="54"/>
    </row>
    <row r="1064" spans="1:27" x14ac:dyDescent="0.35">
      <c r="A1064" s="54"/>
      <c r="B1064" s="54"/>
      <c r="C1064" s="54"/>
      <c r="D1064" s="54"/>
      <c r="E1064" s="54"/>
      <c r="N1064" s="54"/>
      <c r="O1064" s="54"/>
      <c r="P1064" s="54"/>
      <c r="Q1064" s="54"/>
      <c r="R1064" s="54"/>
      <c r="S1064" s="54"/>
      <c r="T1064" s="54"/>
      <c r="U1064" s="54"/>
      <c r="V1064" s="54"/>
      <c r="W1064" s="54"/>
      <c r="X1064" s="54"/>
      <c r="Y1064" s="54"/>
      <c r="Z1064" s="54"/>
      <c r="AA1064" s="54"/>
    </row>
    <row r="1065" spans="1:27" x14ac:dyDescent="0.35">
      <c r="A1065" s="54"/>
      <c r="B1065" s="54"/>
      <c r="C1065" s="54"/>
      <c r="D1065" s="54"/>
      <c r="E1065" s="54"/>
      <c r="N1065" s="54"/>
      <c r="O1065" s="54"/>
      <c r="P1065" s="54"/>
      <c r="Q1065" s="54"/>
      <c r="R1065" s="54"/>
      <c r="S1065" s="54"/>
      <c r="T1065" s="54"/>
      <c r="U1065" s="54"/>
      <c r="V1065" s="54"/>
      <c r="W1065" s="54"/>
      <c r="X1065" s="54"/>
      <c r="Y1065" s="54"/>
      <c r="Z1065" s="54"/>
      <c r="AA1065" s="54"/>
    </row>
    <row r="1066" spans="1:27" x14ac:dyDescent="0.35">
      <c r="A1066" s="54"/>
      <c r="B1066" s="54"/>
      <c r="C1066" s="54"/>
      <c r="D1066" s="54"/>
      <c r="E1066" s="54"/>
      <c r="N1066" s="54"/>
      <c r="O1066" s="54"/>
      <c r="P1066" s="54"/>
      <c r="Q1066" s="54"/>
      <c r="R1066" s="54"/>
      <c r="S1066" s="54"/>
      <c r="T1066" s="54"/>
      <c r="U1066" s="54"/>
      <c r="V1066" s="54"/>
      <c r="W1066" s="54"/>
      <c r="X1066" s="54"/>
      <c r="Y1066" s="54"/>
      <c r="Z1066" s="54"/>
      <c r="AA1066" s="54"/>
    </row>
    <row r="1067" spans="1:27" x14ac:dyDescent="0.35">
      <c r="A1067" s="54"/>
      <c r="B1067" s="54"/>
      <c r="C1067" s="54"/>
      <c r="D1067" s="54"/>
      <c r="E1067" s="54"/>
      <c r="N1067" s="54"/>
      <c r="O1067" s="54"/>
      <c r="P1067" s="54"/>
      <c r="Q1067" s="54"/>
      <c r="R1067" s="54"/>
      <c r="S1067" s="54"/>
      <c r="T1067" s="54"/>
      <c r="U1067" s="54"/>
      <c r="V1067" s="54"/>
      <c r="W1067" s="54"/>
      <c r="X1067" s="54"/>
      <c r="Y1067" s="54"/>
      <c r="Z1067" s="54"/>
      <c r="AA1067" s="54"/>
    </row>
    <row r="1068" spans="1:27" x14ac:dyDescent="0.35">
      <c r="A1068" s="54"/>
      <c r="B1068" s="54"/>
      <c r="C1068" s="54"/>
      <c r="D1068" s="54"/>
      <c r="E1068" s="54"/>
      <c r="N1068" s="54"/>
      <c r="O1068" s="54"/>
      <c r="P1068" s="54"/>
      <c r="Q1068" s="54"/>
      <c r="R1068" s="54"/>
      <c r="S1068" s="54"/>
      <c r="T1068" s="54"/>
      <c r="U1068" s="54"/>
      <c r="V1068" s="54"/>
      <c r="W1068" s="54"/>
      <c r="X1068" s="54"/>
      <c r="Y1068" s="54"/>
      <c r="Z1068" s="54"/>
      <c r="AA1068" s="54"/>
    </row>
    <row r="1069" spans="1:27" x14ac:dyDescent="0.35">
      <c r="A1069" s="54"/>
      <c r="B1069" s="54"/>
      <c r="C1069" s="54"/>
      <c r="D1069" s="54"/>
      <c r="E1069" s="54"/>
      <c r="N1069" s="54"/>
      <c r="O1069" s="54"/>
      <c r="P1069" s="54"/>
      <c r="Q1069" s="54"/>
      <c r="R1069" s="54"/>
      <c r="S1069" s="54"/>
      <c r="T1069" s="54"/>
      <c r="U1069" s="54"/>
      <c r="V1069" s="54"/>
      <c r="W1069" s="54"/>
      <c r="X1069" s="54"/>
      <c r="Y1069" s="54"/>
      <c r="Z1069" s="54"/>
      <c r="AA1069" s="54"/>
    </row>
    <row r="1070" spans="1:27" x14ac:dyDescent="0.35">
      <c r="A1070" s="54"/>
      <c r="B1070" s="54"/>
      <c r="C1070" s="54"/>
      <c r="D1070" s="54"/>
      <c r="E1070" s="54"/>
      <c r="N1070" s="54"/>
      <c r="O1070" s="54"/>
      <c r="P1070" s="54"/>
      <c r="Q1070" s="54"/>
      <c r="R1070" s="54"/>
      <c r="S1070" s="54"/>
      <c r="T1070" s="54"/>
      <c r="U1070" s="54"/>
      <c r="V1070" s="54"/>
      <c r="W1070" s="54"/>
      <c r="X1070" s="54"/>
      <c r="Y1070" s="54"/>
      <c r="Z1070" s="54"/>
      <c r="AA1070" s="54"/>
    </row>
    <row r="1071" spans="1:27" x14ac:dyDescent="0.35">
      <c r="A1071" s="54"/>
      <c r="B1071" s="54"/>
      <c r="C1071" s="54"/>
      <c r="D1071" s="54"/>
      <c r="E1071" s="54"/>
      <c r="N1071" s="54"/>
      <c r="O1071" s="54"/>
      <c r="P1071" s="54"/>
      <c r="Q1071" s="54"/>
      <c r="R1071" s="54"/>
      <c r="S1071" s="54"/>
      <c r="T1071" s="54"/>
      <c r="U1071" s="54"/>
      <c r="V1071" s="54"/>
      <c r="W1071" s="54"/>
      <c r="X1071" s="54"/>
      <c r="Y1071" s="54"/>
      <c r="Z1071" s="54"/>
      <c r="AA1071" s="54"/>
    </row>
    <row r="1072" spans="1:27" x14ac:dyDescent="0.35">
      <c r="A1072" s="54"/>
      <c r="B1072" s="54"/>
      <c r="C1072" s="54"/>
      <c r="D1072" s="54"/>
      <c r="E1072" s="54"/>
      <c r="N1072" s="54"/>
      <c r="O1072" s="54"/>
      <c r="P1072" s="54"/>
      <c r="Q1072" s="54"/>
      <c r="R1072" s="54"/>
      <c r="S1072" s="54"/>
      <c r="T1072" s="54"/>
      <c r="U1072" s="54"/>
      <c r="V1072" s="54"/>
      <c r="W1072" s="54"/>
      <c r="X1072" s="54"/>
      <c r="Y1072" s="54"/>
      <c r="Z1072" s="54"/>
      <c r="AA1072" s="54"/>
    </row>
    <row r="1073" spans="1:27" x14ac:dyDescent="0.35">
      <c r="A1073" s="54"/>
      <c r="B1073" s="54"/>
      <c r="C1073" s="54"/>
      <c r="D1073" s="54"/>
      <c r="E1073" s="54"/>
      <c r="N1073" s="54"/>
      <c r="O1073" s="54"/>
      <c r="P1073" s="54"/>
      <c r="Q1073" s="54"/>
      <c r="R1073" s="54"/>
      <c r="S1073" s="54"/>
      <c r="T1073" s="54"/>
      <c r="U1073" s="54"/>
      <c r="V1073" s="54"/>
      <c r="W1073" s="54"/>
      <c r="X1073" s="54"/>
      <c r="Y1073" s="54"/>
      <c r="Z1073" s="54"/>
      <c r="AA1073" s="54"/>
    </row>
    <row r="1074" spans="1:27" x14ac:dyDescent="0.35">
      <c r="A1074" s="54"/>
      <c r="B1074" s="54"/>
      <c r="C1074" s="54"/>
      <c r="D1074" s="54"/>
      <c r="E1074" s="54"/>
      <c r="N1074" s="54"/>
      <c r="O1074" s="54"/>
      <c r="P1074" s="54"/>
      <c r="Q1074" s="54"/>
      <c r="R1074" s="54"/>
      <c r="S1074" s="54"/>
      <c r="T1074" s="54"/>
      <c r="U1074" s="54"/>
      <c r="V1074" s="54"/>
      <c r="W1074" s="54"/>
      <c r="X1074" s="54"/>
      <c r="Y1074" s="54"/>
      <c r="Z1074" s="54"/>
      <c r="AA1074" s="54"/>
    </row>
    <row r="1075" spans="1:27" x14ac:dyDescent="0.35">
      <c r="A1075" s="54"/>
      <c r="B1075" s="54"/>
      <c r="C1075" s="54"/>
      <c r="D1075" s="54"/>
      <c r="E1075" s="54"/>
      <c r="N1075" s="54"/>
      <c r="O1075" s="54"/>
      <c r="P1075" s="54"/>
      <c r="Q1075" s="54"/>
      <c r="R1075" s="54"/>
      <c r="S1075" s="54"/>
      <c r="T1075" s="54"/>
      <c r="U1075" s="54"/>
      <c r="V1075" s="54"/>
      <c r="W1075" s="54"/>
      <c r="X1075" s="54"/>
      <c r="Y1075" s="54"/>
      <c r="Z1075" s="54"/>
      <c r="AA1075" s="54"/>
    </row>
    <row r="1076" spans="1:27" x14ac:dyDescent="0.35">
      <c r="A1076" s="54"/>
      <c r="B1076" s="54"/>
      <c r="C1076" s="54"/>
      <c r="D1076" s="54"/>
      <c r="E1076" s="54"/>
      <c r="N1076" s="54"/>
      <c r="O1076" s="54"/>
      <c r="P1076" s="54"/>
      <c r="Q1076" s="54"/>
      <c r="R1076" s="54"/>
      <c r="S1076" s="54"/>
      <c r="T1076" s="54"/>
      <c r="U1076" s="54"/>
      <c r="V1076" s="54"/>
      <c r="W1076" s="54"/>
      <c r="X1076" s="54"/>
      <c r="Y1076" s="54"/>
      <c r="Z1076" s="54"/>
      <c r="AA1076" s="54"/>
    </row>
    <row r="1077" spans="1:27" x14ac:dyDescent="0.35">
      <c r="A1077" s="54"/>
      <c r="B1077" s="54"/>
      <c r="C1077" s="54"/>
      <c r="D1077" s="54"/>
      <c r="E1077" s="54"/>
      <c r="N1077" s="54"/>
      <c r="O1077" s="54"/>
      <c r="P1077" s="54"/>
      <c r="Q1077" s="54"/>
      <c r="R1077" s="54"/>
      <c r="S1077" s="54"/>
      <c r="T1077" s="54"/>
      <c r="U1077" s="54"/>
      <c r="V1077" s="54"/>
      <c r="W1077" s="54"/>
      <c r="X1077" s="54"/>
      <c r="Y1077" s="54"/>
      <c r="Z1077" s="54"/>
      <c r="AA1077" s="54"/>
    </row>
    <row r="1078" spans="1:27" x14ac:dyDescent="0.35">
      <c r="A1078" s="54"/>
      <c r="B1078" s="54"/>
      <c r="C1078" s="54"/>
      <c r="D1078" s="54"/>
      <c r="E1078" s="54"/>
      <c r="N1078" s="54"/>
      <c r="O1078" s="54"/>
      <c r="P1078" s="54"/>
      <c r="Q1078" s="54"/>
      <c r="R1078" s="54"/>
      <c r="S1078" s="54"/>
      <c r="T1078" s="54"/>
      <c r="U1078" s="54"/>
      <c r="V1078" s="54"/>
      <c r="W1078" s="54"/>
      <c r="X1078" s="54"/>
      <c r="Y1078" s="54"/>
      <c r="Z1078" s="54"/>
      <c r="AA1078" s="54"/>
    </row>
    <row r="1079" spans="1:27" x14ac:dyDescent="0.35">
      <c r="A1079" s="54"/>
      <c r="B1079" s="54"/>
      <c r="C1079" s="54"/>
      <c r="D1079" s="54"/>
      <c r="E1079" s="54"/>
      <c r="N1079" s="54"/>
      <c r="O1079" s="54"/>
      <c r="P1079" s="54"/>
      <c r="Q1079" s="54"/>
      <c r="R1079" s="54"/>
      <c r="S1079" s="54"/>
      <c r="T1079" s="54"/>
      <c r="U1079" s="54"/>
      <c r="V1079" s="54"/>
      <c r="W1079" s="54"/>
      <c r="X1079" s="54"/>
      <c r="Y1079" s="54"/>
      <c r="Z1079" s="54"/>
      <c r="AA1079" s="54"/>
    </row>
    <row r="1080" spans="1:27" x14ac:dyDescent="0.35">
      <c r="A1080" s="54"/>
      <c r="B1080" s="54"/>
      <c r="C1080" s="54"/>
      <c r="D1080" s="54"/>
      <c r="E1080" s="54"/>
      <c r="N1080" s="54"/>
      <c r="O1080" s="54"/>
      <c r="P1080" s="54"/>
      <c r="Q1080" s="54"/>
      <c r="R1080" s="54"/>
      <c r="S1080" s="54"/>
      <c r="T1080" s="54"/>
      <c r="U1080" s="54"/>
      <c r="V1080" s="54"/>
      <c r="W1080" s="54"/>
      <c r="X1080" s="54"/>
      <c r="Y1080" s="54"/>
      <c r="Z1080" s="54"/>
      <c r="AA1080" s="54"/>
    </row>
    <row r="1081" spans="1:27" x14ac:dyDescent="0.35">
      <c r="A1081" s="54"/>
      <c r="B1081" s="54"/>
      <c r="C1081" s="54"/>
      <c r="D1081" s="54"/>
      <c r="E1081" s="54"/>
      <c r="N1081" s="54"/>
      <c r="O1081" s="54"/>
      <c r="P1081" s="54"/>
      <c r="Q1081" s="54"/>
      <c r="R1081" s="54"/>
      <c r="S1081" s="54"/>
      <c r="T1081" s="54"/>
      <c r="U1081" s="54"/>
      <c r="V1081" s="54"/>
      <c r="W1081" s="54"/>
      <c r="X1081" s="54"/>
      <c r="Y1081" s="54"/>
      <c r="Z1081" s="54"/>
      <c r="AA1081" s="54"/>
    </row>
    <row r="1082" spans="1:27" x14ac:dyDescent="0.35">
      <c r="A1082" s="54"/>
      <c r="B1082" s="54"/>
      <c r="C1082" s="54"/>
      <c r="D1082" s="54"/>
      <c r="E1082" s="54"/>
      <c r="N1082" s="54"/>
      <c r="O1082" s="54"/>
      <c r="P1082" s="54"/>
      <c r="Q1082" s="54"/>
      <c r="R1082" s="54"/>
      <c r="S1082" s="54"/>
      <c r="T1082" s="54"/>
      <c r="U1082" s="54"/>
      <c r="V1082" s="54"/>
      <c r="W1082" s="54"/>
      <c r="X1082" s="54"/>
      <c r="Y1082" s="54"/>
      <c r="Z1082" s="54"/>
      <c r="AA1082" s="54"/>
    </row>
    <row r="1083" spans="1:27" x14ac:dyDescent="0.35">
      <c r="A1083" s="54"/>
      <c r="B1083" s="54"/>
      <c r="C1083" s="54"/>
      <c r="D1083" s="54"/>
      <c r="E1083" s="54"/>
      <c r="N1083" s="54"/>
      <c r="O1083" s="54"/>
      <c r="P1083" s="54"/>
      <c r="Q1083" s="54"/>
      <c r="R1083" s="54"/>
      <c r="S1083" s="54"/>
      <c r="T1083" s="54"/>
      <c r="U1083" s="54"/>
      <c r="V1083" s="54"/>
      <c r="W1083" s="54"/>
      <c r="X1083" s="54"/>
      <c r="Y1083" s="54"/>
      <c r="Z1083" s="54"/>
      <c r="AA1083" s="54"/>
    </row>
  </sheetData>
  <autoFilter ref="A5:AG1083" xr:uid="{00000000-0009-0000-0000-000001000000}">
    <filterColumn colId="0">
      <filters>
        <filter val="Package Terminal ACHP"/>
      </filters>
    </filterColumn>
    <filterColumn colId="1">
      <filters>
        <filter val="Com"/>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453125" bestFit="1" customWidth="1"/>
    <col min="2" max="2" width="15" bestFit="1" customWidth="1"/>
    <col min="3" max="3" width="21.1796875" bestFit="1" customWidth="1"/>
    <col min="4" max="4" width="44.54296875" bestFit="1" customWidth="1"/>
    <col min="5" max="28" width="8.453125" customWidth="1"/>
  </cols>
  <sheetData>
    <row r="1" spans="1:28" ht="39" customHeight="1" thickBot="1" x14ac:dyDescent="0.4">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35">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1796875" customWidth="1"/>
    <col min="4" max="4" width="21.1796875" bestFit="1" customWidth="1"/>
    <col min="5" max="18" width="34.54296875" bestFit="1" customWidth="1"/>
    <col min="19" max="19" width="11" bestFit="1" customWidth="1"/>
    <col min="20" max="134" width="46.54296875" bestFit="1" customWidth="1"/>
    <col min="135" max="138" width="11" bestFit="1" customWidth="1"/>
    <col min="139" max="269" width="46.54296875" bestFit="1" customWidth="1"/>
    <col min="270" max="270" width="31.54296875" bestFit="1" customWidth="1"/>
    <col min="271" max="271" width="32.1796875" bestFit="1" customWidth="1"/>
    <col min="272" max="402" width="46.54296875" bestFit="1" customWidth="1"/>
    <col min="403" max="404" width="31.54296875" bestFit="1" customWidth="1"/>
    <col min="405" max="405" width="32.1796875" bestFit="1" customWidth="1"/>
  </cols>
  <sheetData>
    <row r="2" spans="1:4" x14ac:dyDescent="0.35">
      <c r="A2" s="33" t="s">
        <v>21</v>
      </c>
      <c r="B2" t="s">
        <v>10765</v>
      </c>
    </row>
    <row r="4" spans="1:4" x14ac:dyDescent="0.35">
      <c r="A4" s="33" t="s">
        <v>29</v>
      </c>
      <c r="B4" s="33" t="s">
        <v>26</v>
      </c>
      <c r="C4" s="33" t="s">
        <v>27</v>
      </c>
      <c r="D4" s="33" t="s">
        <v>28</v>
      </c>
    </row>
    <row r="5" spans="1:4" x14ac:dyDescent="0.35">
      <c r="A5" t="s">
        <v>339</v>
      </c>
    </row>
    <row r="6" spans="1:4" x14ac:dyDescent="0.35">
      <c r="A6" t="s">
        <v>344</v>
      </c>
    </row>
    <row r="7" spans="1:4" x14ac:dyDescent="0.35">
      <c r="A7" t="s">
        <v>345</v>
      </c>
    </row>
    <row r="8" spans="1:4" x14ac:dyDescent="0.35">
      <c r="A8" t="s">
        <v>346</v>
      </c>
    </row>
    <row r="9" spans="1:4" x14ac:dyDescent="0.35">
      <c r="A9" t="s">
        <v>347</v>
      </c>
    </row>
    <row r="10" spans="1:4" x14ac:dyDescent="0.35">
      <c r="A10" t="s">
        <v>348</v>
      </c>
    </row>
    <row r="11" spans="1:4" x14ac:dyDescent="0.35">
      <c r="A11" t="s">
        <v>349</v>
      </c>
    </row>
    <row r="12" spans="1:4" x14ac:dyDescent="0.35">
      <c r="A12" t="s">
        <v>350</v>
      </c>
    </row>
    <row r="13" spans="1:4" x14ac:dyDescent="0.35">
      <c r="A13" t="s">
        <v>351</v>
      </c>
    </row>
    <row r="14" spans="1:4" x14ac:dyDescent="0.35">
      <c r="A14" t="s">
        <v>352</v>
      </c>
    </row>
    <row r="15" spans="1:4" x14ac:dyDescent="0.35">
      <c r="A15" t="s">
        <v>353</v>
      </c>
    </row>
    <row r="16" spans="1:4" x14ac:dyDescent="0.35">
      <c r="A16" t="s">
        <v>354</v>
      </c>
    </row>
    <row r="17" spans="1:1" x14ac:dyDescent="0.35">
      <c r="A17" t="s">
        <v>355</v>
      </c>
    </row>
    <row r="18" spans="1:1" x14ac:dyDescent="0.35">
      <c r="A18" t="s">
        <v>356</v>
      </c>
    </row>
    <row r="19" spans="1:1" x14ac:dyDescent="0.35">
      <c r="A19" t="s">
        <v>357</v>
      </c>
    </row>
    <row r="20" spans="1:1" x14ac:dyDescent="0.35">
      <c r="A20" t="s">
        <v>358</v>
      </c>
    </row>
    <row r="21" spans="1:1" x14ac:dyDescent="0.35">
      <c r="A21" t="s">
        <v>359</v>
      </c>
    </row>
    <row r="22" spans="1:1" x14ac:dyDescent="0.35">
      <c r="A22" t="s">
        <v>360</v>
      </c>
    </row>
    <row r="23" spans="1:1" x14ac:dyDescent="0.35">
      <c r="A23" t="s">
        <v>361</v>
      </c>
    </row>
    <row r="24" spans="1:1" x14ac:dyDescent="0.35">
      <c r="A24" t="s">
        <v>362</v>
      </c>
    </row>
    <row r="25" spans="1:1" x14ac:dyDescent="0.35">
      <c r="A25" t="s">
        <v>363</v>
      </c>
    </row>
    <row r="26" spans="1:1" x14ac:dyDescent="0.35">
      <c r="A26" t="s">
        <v>364</v>
      </c>
    </row>
    <row r="27" spans="1:1" x14ac:dyDescent="0.35">
      <c r="A27" t="s">
        <v>365</v>
      </c>
    </row>
    <row r="28" spans="1:1" x14ac:dyDescent="0.35">
      <c r="A28" t="s">
        <v>366</v>
      </c>
    </row>
    <row r="29" spans="1:1" x14ac:dyDescent="0.35">
      <c r="A29" t="s">
        <v>367</v>
      </c>
    </row>
    <row r="30" spans="1:1" x14ac:dyDescent="0.35">
      <c r="A30" t="s">
        <v>368</v>
      </c>
    </row>
    <row r="31" spans="1:1" x14ac:dyDescent="0.35">
      <c r="A31" t="s">
        <v>369</v>
      </c>
    </row>
    <row r="32" spans="1:1" x14ac:dyDescent="0.35">
      <c r="A32" t="s">
        <v>370</v>
      </c>
    </row>
    <row r="33" spans="1:1" x14ac:dyDescent="0.35">
      <c r="A33" t="s">
        <v>371</v>
      </c>
    </row>
    <row r="34" spans="1:1" x14ac:dyDescent="0.35">
      <c r="A34" t="s">
        <v>372</v>
      </c>
    </row>
    <row r="35" spans="1:1" x14ac:dyDescent="0.35">
      <c r="A35" t="s">
        <v>373</v>
      </c>
    </row>
    <row r="36" spans="1:1" x14ac:dyDescent="0.35">
      <c r="A36" t="s">
        <v>374</v>
      </c>
    </row>
    <row r="37" spans="1:1" x14ac:dyDescent="0.35">
      <c r="A37" t="s">
        <v>375</v>
      </c>
    </row>
    <row r="38" spans="1:1" x14ac:dyDescent="0.35">
      <c r="A38" t="s">
        <v>376</v>
      </c>
    </row>
    <row r="39" spans="1:1" x14ac:dyDescent="0.35">
      <c r="A39" t="s">
        <v>377</v>
      </c>
    </row>
    <row r="40" spans="1:1" x14ac:dyDescent="0.35">
      <c r="A40" t="s">
        <v>378</v>
      </c>
    </row>
    <row r="41" spans="1:1" x14ac:dyDescent="0.35">
      <c r="A41" t="s">
        <v>379</v>
      </c>
    </row>
    <row r="42" spans="1:1" x14ac:dyDescent="0.35">
      <c r="A42" t="s">
        <v>380</v>
      </c>
    </row>
    <row r="43" spans="1:1" x14ac:dyDescent="0.35">
      <c r="A43" t="s">
        <v>381</v>
      </c>
    </row>
    <row r="44" spans="1:1" x14ac:dyDescent="0.35">
      <c r="A44" t="s">
        <v>382</v>
      </c>
    </row>
    <row r="45" spans="1:1" x14ac:dyDescent="0.35">
      <c r="A45" t="s">
        <v>383</v>
      </c>
    </row>
    <row r="46" spans="1:1" x14ac:dyDescent="0.35">
      <c r="A46" t="s">
        <v>384</v>
      </c>
    </row>
    <row r="47" spans="1:1" x14ac:dyDescent="0.35">
      <c r="A47" t="s">
        <v>385</v>
      </c>
    </row>
    <row r="48" spans="1:1" x14ac:dyDescent="0.35">
      <c r="A48" t="s">
        <v>386</v>
      </c>
    </row>
    <row r="49" spans="1:1" x14ac:dyDescent="0.35">
      <c r="A49" t="s">
        <v>387</v>
      </c>
    </row>
    <row r="50" spans="1:1" x14ac:dyDescent="0.35">
      <c r="A50" t="s">
        <v>388</v>
      </c>
    </row>
    <row r="51" spans="1:1" x14ac:dyDescent="0.35">
      <c r="A51" t="s">
        <v>389</v>
      </c>
    </row>
    <row r="52" spans="1:1" x14ac:dyDescent="0.35">
      <c r="A52" t="s">
        <v>390</v>
      </c>
    </row>
    <row r="53" spans="1:1" x14ac:dyDescent="0.35">
      <c r="A53" t="s">
        <v>391</v>
      </c>
    </row>
    <row r="54" spans="1:1" x14ac:dyDescent="0.35">
      <c r="A54" t="s">
        <v>392</v>
      </c>
    </row>
    <row r="55" spans="1:1" x14ac:dyDescent="0.35">
      <c r="A55" t="s">
        <v>393</v>
      </c>
    </row>
    <row r="56" spans="1:1" x14ac:dyDescent="0.35">
      <c r="A56" s="40" t="s">
        <v>394</v>
      </c>
    </row>
    <row r="57" spans="1:1" x14ac:dyDescent="0.35">
      <c r="A57" t="s">
        <v>395</v>
      </c>
    </row>
    <row r="58" spans="1:1" x14ac:dyDescent="0.35">
      <c r="A58" t="s">
        <v>396</v>
      </c>
    </row>
    <row r="59" spans="1:1" x14ac:dyDescent="0.35">
      <c r="A59" t="s">
        <v>397</v>
      </c>
    </row>
    <row r="60" spans="1:1" x14ac:dyDescent="0.35">
      <c r="A60" t="s">
        <v>398</v>
      </c>
    </row>
    <row r="61" spans="1:1" x14ac:dyDescent="0.35">
      <c r="A61" t="s">
        <v>399</v>
      </c>
    </row>
    <row r="62" spans="1:1" x14ac:dyDescent="0.35">
      <c r="A62" s="40" t="s">
        <v>400</v>
      </c>
    </row>
    <row r="63" spans="1:1" x14ac:dyDescent="0.35">
      <c r="A63" t="s">
        <v>401</v>
      </c>
    </row>
    <row r="64" spans="1:1" x14ac:dyDescent="0.35">
      <c r="A64" t="s">
        <v>402</v>
      </c>
    </row>
    <row r="65" spans="1:1" x14ac:dyDescent="0.35">
      <c r="A65" t="s">
        <v>403</v>
      </c>
    </row>
    <row r="66" spans="1:1" x14ac:dyDescent="0.35">
      <c r="A66" t="s">
        <v>404</v>
      </c>
    </row>
    <row r="67" spans="1:1" x14ac:dyDescent="0.35">
      <c r="A67" t="s">
        <v>405</v>
      </c>
    </row>
    <row r="68" spans="1:1" x14ac:dyDescent="0.35">
      <c r="A68" t="s">
        <v>406</v>
      </c>
    </row>
    <row r="69" spans="1:1" x14ac:dyDescent="0.35">
      <c r="A69" t="s">
        <v>407</v>
      </c>
    </row>
    <row r="70" spans="1:1" x14ac:dyDescent="0.35">
      <c r="A70" t="s">
        <v>408</v>
      </c>
    </row>
    <row r="71" spans="1:1" x14ac:dyDescent="0.35">
      <c r="A71" t="s">
        <v>409</v>
      </c>
    </row>
    <row r="72" spans="1:1" x14ac:dyDescent="0.35">
      <c r="A72" t="s">
        <v>410</v>
      </c>
    </row>
    <row r="73" spans="1:1" x14ac:dyDescent="0.35">
      <c r="A73" t="s">
        <v>411</v>
      </c>
    </row>
    <row r="74" spans="1:1" x14ac:dyDescent="0.35">
      <c r="A74" t="s">
        <v>412</v>
      </c>
    </row>
    <row r="75" spans="1:1" x14ac:dyDescent="0.35">
      <c r="A75" t="s">
        <v>413</v>
      </c>
    </row>
    <row r="76" spans="1:1" x14ac:dyDescent="0.35">
      <c r="A76" t="s">
        <v>414</v>
      </c>
    </row>
    <row r="77" spans="1:1" x14ac:dyDescent="0.35">
      <c r="A77" t="s">
        <v>415</v>
      </c>
    </row>
    <row r="78" spans="1:1" x14ac:dyDescent="0.35">
      <c r="A78" t="s">
        <v>416</v>
      </c>
    </row>
    <row r="79" spans="1:1" x14ac:dyDescent="0.35">
      <c r="A79" t="s">
        <v>417</v>
      </c>
    </row>
    <row r="80" spans="1:1" x14ac:dyDescent="0.35">
      <c r="A80" t="s">
        <v>418</v>
      </c>
    </row>
    <row r="81" spans="1:1" x14ac:dyDescent="0.35">
      <c r="A81" t="s">
        <v>419</v>
      </c>
    </row>
    <row r="82" spans="1:1" x14ac:dyDescent="0.35">
      <c r="A82" t="s">
        <v>420</v>
      </c>
    </row>
    <row r="83" spans="1:1" x14ac:dyDescent="0.35">
      <c r="A83" t="s">
        <v>421</v>
      </c>
    </row>
    <row r="84" spans="1:1" x14ac:dyDescent="0.35">
      <c r="A84" t="s">
        <v>422</v>
      </c>
    </row>
    <row r="85" spans="1:1" x14ac:dyDescent="0.35">
      <c r="A85" t="s">
        <v>423</v>
      </c>
    </row>
    <row r="86" spans="1:1" x14ac:dyDescent="0.35">
      <c r="A86" t="s">
        <v>424</v>
      </c>
    </row>
    <row r="87" spans="1:1" x14ac:dyDescent="0.35">
      <c r="A87" t="s">
        <v>425</v>
      </c>
    </row>
    <row r="88" spans="1:1" x14ac:dyDescent="0.35">
      <c r="A88" t="s">
        <v>426</v>
      </c>
    </row>
    <row r="89" spans="1:1" x14ac:dyDescent="0.35">
      <c r="A89" t="s">
        <v>427</v>
      </c>
    </row>
    <row r="90" spans="1:1" x14ac:dyDescent="0.35">
      <c r="A90" t="s">
        <v>428</v>
      </c>
    </row>
    <row r="91" spans="1:1" x14ac:dyDescent="0.35">
      <c r="A91" t="s">
        <v>429</v>
      </c>
    </row>
    <row r="92" spans="1:1" x14ac:dyDescent="0.35">
      <c r="A92" t="s">
        <v>430</v>
      </c>
    </row>
    <row r="93" spans="1:1" x14ac:dyDescent="0.35">
      <c r="A93" t="s">
        <v>431</v>
      </c>
    </row>
    <row r="94" spans="1:1" x14ac:dyDescent="0.35">
      <c r="A94" t="s">
        <v>432</v>
      </c>
    </row>
    <row r="95" spans="1:1" x14ac:dyDescent="0.35">
      <c r="A95" t="s">
        <v>433</v>
      </c>
    </row>
    <row r="96" spans="1:1" x14ac:dyDescent="0.35">
      <c r="A96" t="s">
        <v>434</v>
      </c>
    </row>
    <row r="97" spans="1:1" x14ac:dyDescent="0.35">
      <c r="A97" t="s">
        <v>435</v>
      </c>
    </row>
    <row r="98" spans="1:1" x14ac:dyDescent="0.35">
      <c r="A98" t="s">
        <v>436</v>
      </c>
    </row>
    <row r="99" spans="1:1" x14ac:dyDescent="0.35">
      <c r="A99" t="s">
        <v>437</v>
      </c>
    </row>
    <row r="100" spans="1:1" x14ac:dyDescent="0.35">
      <c r="A100" t="s">
        <v>438</v>
      </c>
    </row>
    <row r="101" spans="1:1" x14ac:dyDescent="0.35">
      <c r="A101" t="s">
        <v>439</v>
      </c>
    </row>
    <row r="102" spans="1:1" x14ac:dyDescent="0.35">
      <c r="A102" t="s">
        <v>440</v>
      </c>
    </row>
    <row r="103" spans="1:1" x14ac:dyDescent="0.35">
      <c r="A103" t="s">
        <v>441</v>
      </c>
    </row>
    <row r="104" spans="1:1" x14ac:dyDescent="0.35">
      <c r="A104" t="s">
        <v>442</v>
      </c>
    </row>
    <row r="105" spans="1:1" x14ac:dyDescent="0.35">
      <c r="A105" t="s">
        <v>443</v>
      </c>
    </row>
    <row r="106" spans="1:1" x14ac:dyDescent="0.35">
      <c r="A106" t="s">
        <v>444</v>
      </c>
    </row>
    <row r="107" spans="1:1" x14ac:dyDescent="0.35">
      <c r="A107" t="s">
        <v>445</v>
      </c>
    </row>
    <row r="108" spans="1:1" x14ac:dyDescent="0.35">
      <c r="A108" t="s">
        <v>446</v>
      </c>
    </row>
    <row r="109" spans="1:1" x14ac:dyDescent="0.35">
      <c r="A109" t="s">
        <v>447</v>
      </c>
    </row>
    <row r="110" spans="1:1" x14ac:dyDescent="0.35">
      <c r="A110" t="s">
        <v>448</v>
      </c>
    </row>
    <row r="111" spans="1:1" x14ac:dyDescent="0.35">
      <c r="A111" t="s">
        <v>449</v>
      </c>
    </row>
    <row r="112" spans="1:1" x14ac:dyDescent="0.35">
      <c r="A112" t="s">
        <v>450</v>
      </c>
    </row>
    <row r="113" spans="1:1" x14ac:dyDescent="0.35">
      <c r="A113" s="51" t="s">
        <v>451</v>
      </c>
    </row>
    <row r="114" spans="1:1" x14ac:dyDescent="0.35">
      <c r="A114" s="51" t="s">
        <v>452</v>
      </c>
    </row>
    <row r="115" spans="1:1" x14ac:dyDescent="0.35">
      <c r="A115" s="51" t="s">
        <v>453</v>
      </c>
    </row>
    <row r="116" spans="1:1" x14ac:dyDescent="0.35">
      <c r="A116" s="51" t="s">
        <v>454</v>
      </c>
    </row>
    <row r="117" spans="1:1" x14ac:dyDescent="0.35">
      <c r="A117" s="51" t="s">
        <v>455</v>
      </c>
    </row>
    <row r="118" spans="1:1" x14ac:dyDescent="0.35">
      <c r="A118" s="51" t="s">
        <v>456</v>
      </c>
    </row>
    <row r="119" spans="1:1" x14ac:dyDescent="0.35">
      <c r="A119" s="51" t="s">
        <v>457</v>
      </c>
    </row>
    <row r="120" spans="1:1" x14ac:dyDescent="0.35">
      <c r="A120" s="51" t="s">
        <v>458</v>
      </c>
    </row>
    <row r="121" spans="1:1" x14ac:dyDescent="0.35">
      <c r="A121" s="51" t="s">
        <v>459</v>
      </c>
    </row>
    <row r="122" spans="1:1" x14ac:dyDescent="0.35">
      <c r="A122" s="51" t="s">
        <v>460</v>
      </c>
    </row>
    <row r="123" spans="1:1" x14ac:dyDescent="0.35">
      <c r="A123" s="51" t="s">
        <v>461</v>
      </c>
    </row>
    <row r="124" spans="1:1" x14ac:dyDescent="0.35">
      <c r="A124" s="51" t="s">
        <v>462</v>
      </c>
    </row>
    <row r="125" spans="1:1" x14ac:dyDescent="0.35">
      <c r="A125" t="s">
        <v>316</v>
      </c>
    </row>
    <row r="126" spans="1:1" x14ac:dyDescent="0.35">
      <c r="A126" t="s">
        <v>317</v>
      </c>
    </row>
    <row r="127" spans="1:1" x14ac:dyDescent="0.35">
      <c r="A127" t="s">
        <v>318</v>
      </c>
    </row>
    <row r="128" spans="1:1" x14ac:dyDescent="0.35">
      <c r="A128" s="51" t="s">
        <v>319</v>
      </c>
    </row>
    <row r="129" spans="1:1" x14ac:dyDescent="0.35">
      <c r="A129" s="51" t="s">
        <v>320</v>
      </c>
    </row>
    <row r="130" spans="1:1" x14ac:dyDescent="0.35">
      <c r="A130" s="51" t="s">
        <v>321</v>
      </c>
    </row>
    <row r="131" spans="1:1" x14ac:dyDescent="0.35">
      <c r="A131" s="51" t="s">
        <v>322</v>
      </c>
    </row>
    <row r="132" spans="1:1" x14ac:dyDescent="0.35">
      <c r="A132" s="51" t="s">
        <v>323</v>
      </c>
    </row>
    <row r="133" spans="1:1" x14ac:dyDescent="0.35">
      <c r="A133" s="51" t="s">
        <v>324</v>
      </c>
    </row>
    <row r="134" spans="1:1" x14ac:dyDescent="0.35">
      <c r="A134" s="51" t="s">
        <v>325</v>
      </c>
    </row>
    <row r="135" spans="1:1" x14ac:dyDescent="0.35">
      <c r="A135" s="51" t="s">
        <v>326</v>
      </c>
    </row>
    <row r="136" spans="1:1" x14ac:dyDescent="0.35">
      <c r="A136" s="51" t="s">
        <v>327</v>
      </c>
    </row>
    <row r="137" spans="1:1" x14ac:dyDescent="0.35">
      <c r="A137" s="51" t="s">
        <v>328</v>
      </c>
    </row>
    <row r="138" spans="1:1" x14ac:dyDescent="0.35">
      <c r="A138" s="51" t="s">
        <v>329</v>
      </c>
    </row>
    <row r="139" spans="1:1" x14ac:dyDescent="0.35">
      <c r="A139" s="51" t="s">
        <v>330</v>
      </c>
    </row>
    <row r="140" spans="1:1" x14ac:dyDescent="0.35">
      <c r="A140" t="s">
        <v>331</v>
      </c>
    </row>
    <row r="141" spans="1:1" x14ac:dyDescent="0.35">
      <c r="A141" t="s">
        <v>463</v>
      </c>
    </row>
    <row r="142" spans="1:1" x14ac:dyDescent="0.35">
      <c r="A142" t="s">
        <v>464</v>
      </c>
    </row>
    <row r="143" spans="1:1" x14ac:dyDescent="0.35">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54296875" bestFit="1" customWidth="1"/>
    <col min="2" max="2" width="12.1796875" bestFit="1" customWidth="1"/>
    <col min="3" max="3" width="44.453125" customWidth="1"/>
    <col min="4" max="4" width="31" customWidth="1"/>
    <col min="5" max="5" width="22.1796875" customWidth="1"/>
    <col min="6" max="6" width="165.1796875" bestFit="1" customWidth="1"/>
    <col min="11" max="11" width="19" bestFit="1" customWidth="1"/>
  </cols>
  <sheetData>
    <row r="1" spans="1:12" x14ac:dyDescent="0.35">
      <c r="A1" s="39" t="s">
        <v>333</v>
      </c>
      <c r="B1" t="s">
        <v>334</v>
      </c>
      <c r="C1" t="s">
        <v>335</v>
      </c>
      <c r="D1" t="s">
        <v>336</v>
      </c>
      <c r="E1" t="s">
        <v>337</v>
      </c>
      <c r="F1" t="s">
        <v>338</v>
      </c>
    </row>
    <row r="2" spans="1:12" hidden="1" x14ac:dyDescent="0.35">
      <c r="A2" s="34" t="s">
        <v>339</v>
      </c>
      <c r="B2">
        <f>LEN(A2)</f>
        <v>35</v>
      </c>
      <c r="C2" t="s">
        <v>340</v>
      </c>
      <c r="D2" t="s">
        <v>110</v>
      </c>
      <c r="E2" t="s">
        <v>341</v>
      </c>
      <c r="K2" s="2" t="s">
        <v>342</v>
      </c>
      <c r="L2" s="2" t="s">
        <v>343</v>
      </c>
    </row>
    <row r="3" spans="1:12" hidden="1" x14ac:dyDescent="0.35">
      <c r="A3" s="34" t="s">
        <v>344</v>
      </c>
      <c r="B3">
        <f t="shared" ref="B3:B66" si="0">LEN(A3)</f>
        <v>35</v>
      </c>
      <c r="K3" t="s">
        <v>79</v>
      </c>
      <c r="L3">
        <f>LEN(K3)</f>
        <v>18</v>
      </c>
    </row>
    <row r="4" spans="1:12" hidden="1" x14ac:dyDescent="0.35">
      <c r="A4" s="34" t="s">
        <v>345</v>
      </c>
      <c r="B4">
        <f t="shared" si="0"/>
        <v>35</v>
      </c>
      <c r="K4" t="s">
        <v>95</v>
      </c>
      <c r="L4">
        <f t="shared" ref="L4:L10" si="1">LEN(K4)</f>
        <v>19</v>
      </c>
    </row>
    <row r="5" spans="1:12" hidden="1" x14ac:dyDescent="0.35">
      <c r="A5" s="34" t="s">
        <v>346</v>
      </c>
      <c r="B5">
        <f t="shared" si="0"/>
        <v>35</v>
      </c>
      <c r="K5" t="s">
        <v>100</v>
      </c>
      <c r="L5">
        <f t="shared" si="1"/>
        <v>18</v>
      </c>
    </row>
    <row r="6" spans="1:12" hidden="1" x14ac:dyDescent="0.35">
      <c r="A6" s="34" t="s">
        <v>347</v>
      </c>
      <c r="B6">
        <f t="shared" si="0"/>
        <v>35</v>
      </c>
      <c r="K6" t="s">
        <v>131</v>
      </c>
      <c r="L6">
        <f t="shared" si="1"/>
        <v>7</v>
      </c>
    </row>
    <row r="7" spans="1:12" hidden="1" x14ac:dyDescent="0.35">
      <c r="A7" s="34" t="s">
        <v>348</v>
      </c>
      <c r="B7">
        <f t="shared" si="0"/>
        <v>35</v>
      </c>
      <c r="K7" t="s">
        <v>144</v>
      </c>
      <c r="L7">
        <f t="shared" si="1"/>
        <v>20</v>
      </c>
    </row>
    <row r="8" spans="1:12" hidden="1" x14ac:dyDescent="0.35">
      <c r="A8" s="34" t="s">
        <v>349</v>
      </c>
      <c r="B8">
        <f t="shared" si="0"/>
        <v>35</v>
      </c>
      <c r="K8" t="s">
        <v>159</v>
      </c>
      <c r="L8">
        <f t="shared" si="1"/>
        <v>15</v>
      </c>
    </row>
    <row r="9" spans="1:12" hidden="1" x14ac:dyDescent="0.35">
      <c r="A9" s="34" t="s">
        <v>350</v>
      </c>
      <c r="B9">
        <f t="shared" si="0"/>
        <v>35</v>
      </c>
      <c r="K9" t="s">
        <v>189</v>
      </c>
      <c r="L9">
        <f t="shared" si="1"/>
        <v>11</v>
      </c>
    </row>
    <row r="10" spans="1:12" hidden="1" x14ac:dyDescent="0.35">
      <c r="A10" s="34" t="s">
        <v>351</v>
      </c>
      <c r="B10">
        <f t="shared" si="0"/>
        <v>35</v>
      </c>
      <c r="K10" t="s">
        <v>0</v>
      </c>
      <c r="L10">
        <f t="shared" si="1"/>
        <v>16</v>
      </c>
    </row>
    <row r="11" spans="1:12" hidden="1" x14ac:dyDescent="0.35">
      <c r="A11" s="34" t="s">
        <v>352</v>
      </c>
      <c r="B11">
        <f t="shared" si="0"/>
        <v>35</v>
      </c>
    </row>
    <row r="12" spans="1:12" hidden="1" x14ac:dyDescent="0.35">
      <c r="A12" s="34" t="s">
        <v>353</v>
      </c>
      <c r="B12">
        <f t="shared" si="0"/>
        <v>35</v>
      </c>
    </row>
    <row r="13" spans="1:12" hidden="1" x14ac:dyDescent="0.35">
      <c r="A13" s="34" t="s">
        <v>354</v>
      </c>
      <c r="B13">
        <f t="shared" si="0"/>
        <v>35</v>
      </c>
    </row>
    <row r="14" spans="1:12" hidden="1" x14ac:dyDescent="0.35">
      <c r="A14" s="34" t="s">
        <v>355</v>
      </c>
      <c r="B14">
        <f t="shared" si="0"/>
        <v>37</v>
      </c>
    </row>
    <row r="15" spans="1:12" hidden="1" x14ac:dyDescent="0.35">
      <c r="A15" s="34" t="s">
        <v>356</v>
      </c>
      <c r="B15">
        <f t="shared" si="0"/>
        <v>37</v>
      </c>
    </row>
    <row r="16" spans="1:12" hidden="1" x14ac:dyDescent="0.35">
      <c r="A16" s="34" t="s">
        <v>357</v>
      </c>
      <c r="B16">
        <f t="shared" si="0"/>
        <v>37</v>
      </c>
    </row>
    <row r="17" spans="1:2" hidden="1" x14ac:dyDescent="0.35">
      <c r="A17" s="34" t="s">
        <v>358</v>
      </c>
      <c r="B17">
        <f t="shared" si="0"/>
        <v>37</v>
      </c>
    </row>
    <row r="18" spans="1:2" hidden="1" x14ac:dyDescent="0.35">
      <c r="A18" s="34" t="s">
        <v>359</v>
      </c>
      <c r="B18">
        <f t="shared" si="0"/>
        <v>37</v>
      </c>
    </row>
    <row r="19" spans="1:2" hidden="1" x14ac:dyDescent="0.35">
      <c r="A19" s="34" t="s">
        <v>360</v>
      </c>
      <c r="B19">
        <f t="shared" si="0"/>
        <v>37</v>
      </c>
    </row>
    <row r="20" spans="1:2" hidden="1" x14ac:dyDescent="0.35">
      <c r="A20" s="34" t="s">
        <v>361</v>
      </c>
      <c r="B20">
        <f t="shared" si="0"/>
        <v>37</v>
      </c>
    </row>
    <row r="21" spans="1:2" hidden="1" x14ac:dyDescent="0.35">
      <c r="A21" s="34" t="s">
        <v>362</v>
      </c>
      <c r="B21">
        <f t="shared" si="0"/>
        <v>37</v>
      </c>
    </row>
    <row r="22" spans="1:2" hidden="1" x14ac:dyDescent="0.35">
      <c r="A22" s="34" t="s">
        <v>363</v>
      </c>
      <c r="B22">
        <f t="shared" si="0"/>
        <v>37</v>
      </c>
    </row>
    <row r="23" spans="1:2" hidden="1" x14ac:dyDescent="0.35">
      <c r="A23" s="34" t="s">
        <v>364</v>
      </c>
      <c r="B23">
        <f t="shared" si="0"/>
        <v>37</v>
      </c>
    </row>
    <row r="24" spans="1:2" hidden="1" x14ac:dyDescent="0.35">
      <c r="A24" s="34" t="s">
        <v>365</v>
      </c>
      <c r="B24">
        <f t="shared" si="0"/>
        <v>37</v>
      </c>
    </row>
    <row r="25" spans="1:2" hidden="1" x14ac:dyDescent="0.35">
      <c r="A25" s="34" t="s">
        <v>366</v>
      </c>
      <c r="B25">
        <f t="shared" si="0"/>
        <v>37</v>
      </c>
    </row>
    <row r="26" spans="1:2" hidden="1" x14ac:dyDescent="0.35">
      <c r="A26" s="34" t="s">
        <v>367</v>
      </c>
      <c r="B26">
        <f t="shared" si="0"/>
        <v>37</v>
      </c>
    </row>
    <row r="27" spans="1:2" hidden="1" x14ac:dyDescent="0.35">
      <c r="A27" s="34" t="s">
        <v>368</v>
      </c>
      <c r="B27">
        <f t="shared" si="0"/>
        <v>37</v>
      </c>
    </row>
    <row r="28" spans="1:2" hidden="1" x14ac:dyDescent="0.35">
      <c r="A28" s="34" t="s">
        <v>369</v>
      </c>
      <c r="B28">
        <f t="shared" si="0"/>
        <v>37</v>
      </c>
    </row>
    <row r="29" spans="1:2" hidden="1" x14ac:dyDescent="0.35">
      <c r="A29" s="34" t="s">
        <v>370</v>
      </c>
      <c r="B29">
        <f t="shared" si="0"/>
        <v>37</v>
      </c>
    </row>
    <row r="30" spans="1:2" hidden="1" x14ac:dyDescent="0.35">
      <c r="A30" s="34" t="s">
        <v>371</v>
      </c>
      <c r="B30">
        <f t="shared" si="0"/>
        <v>35</v>
      </c>
    </row>
    <row r="31" spans="1:2" hidden="1" x14ac:dyDescent="0.35">
      <c r="A31" s="34" t="s">
        <v>372</v>
      </c>
      <c r="B31">
        <f t="shared" si="0"/>
        <v>35</v>
      </c>
    </row>
    <row r="32" spans="1:2" hidden="1" x14ac:dyDescent="0.35">
      <c r="A32" s="34" t="s">
        <v>373</v>
      </c>
      <c r="B32">
        <f t="shared" si="0"/>
        <v>35</v>
      </c>
    </row>
    <row r="33" spans="1:2" hidden="1" x14ac:dyDescent="0.35">
      <c r="A33" s="34" t="s">
        <v>374</v>
      </c>
      <c r="B33">
        <f t="shared" si="0"/>
        <v>35</v>
      </c>
    </row>
    <row r="34" spans="1:2" hidden="1" x14ac:dyDescent="0.35">
      <c r="A34" s="34" t="s">
        <v>375</v>
      </c>
      <c r="B34">
        <f t="shared" si="0"/>
        <v>35</v>
      </c>
    </row>
    <row r="35" spans="1:2" hidden="1" x14ac:dyDescent="0.35">
      <c r="A35" s="34" t="s">
        <v>376</v>
      </c>
      <c r="B35">
        <f t="shared" si="0"/>
        <v>35</v>
      </c>
    </row>
    <row r="36" spans="1:2" hidden="1" x14ac:dyDescent="0.35">
      <c r="A36" s="34" t="s">
        <v>377</v>
      </c>
      <c r="B36">
        <f t="shared" si="0"/>
        <v>35</v>
      </c>
    </row>
    <row r="37" spans="1:2" hidden="1" x14ac:dyDescent="0.35">
      <c r="A37" s="34" t="s">
        <v>378</v>
      </c>
      <c r="B37">
        <f t="shared" si="0"/>
        <v>35</v>
      </c>
    </row>
    <row r="38" spans="1:2" hidden="1" x14ac:dyDescent="0.35">
      <c r="A38" s="34" t="s">
        <v>379</v>
      </c>
      <c r="B38">
        <f t="shared" si="0"/>
        <v>35</v>
      </c>
    </row>
    <row r="39" spans="1:2" hidden="1" x14ac:dyDescent="0.35">
      <c r="A39" s="34" t="s">
        <v>380</v>
      </c>
      <c r="B39">
        <f t="shared" si="0"/>
        <v>35</v>
      </c>
    </row>
    <row r="40" spans="1:2" hidden="1" x14ac:dyDescent="0.35">
      <c r="A40" s="34" t="s">
        <v>381</v>
      </c>
      <c r="B40">
        <f t="shared" si="0"/>
        <v>35</v>
      </c>
    </row>
    <row r="41" spans="1:2" hidden="1" x14ac:dyDescent="0.35">
      <c r="A41" s="34" t="s">
        <v>382</v>
      </c>
      <c r="B41">
        <f t="shared" si="0"/>
        <v>35</v>
      </c>
    </row>
    <row r="42" spans="1:2" hidden="1" x14ac:dyDescent="0.35">
      <c r="A42" s="34" t="s">
        <v>383</v>
      </c>
      <c r="B42">
        <f t="shared" si="0"/>
        <v>35</v>
      </c>
    </row>
    <row r="43" spans="1:2" hidden="1" x14ac:dyDescent="0.35">
      <c r="A43" s="34" t="s">
        <v>384</v>
      </c>
      <c r="B43">
        <f t="shared" si="0"/>
        <v>35</v>
      </c>
    </row>
    <row r="44" spans="1:2" hidden="1" x14ac:dyDescent="0.35">
      <c r="A44" s="34" t="s">
        <v>385</v>
      </c>
      <c r="B44">
        <f t="shared" si="0"/>
        <v>35</v>
      </c>
    </row>
    <row r="45" spans="1:2" hidden="1" x14ac:dyDescent="0.35">
      <c r="A45" s="34" t="s">
        <v>386</v>
      </c>
      <c r="B45">
        <f t="shared" si="0"/>
        <v>35</v>
      </c>
    </row>
    <row r="46" spans="1:2" hidden="1" x14ac:dyDescent="0.35">
      <c r="A46" s="34" t="s">
        <v>387</v>
      </c>
      <c r="B46">
        <f t="shared" si="0"/>
        <v>39</v>
      </c>
    </row>
    <row r="47" spans="1:2" hidden="1" x14ac:dyDescent="0.35">
      <c r="A47" s="34" t="s">
        <v>388</v>
      </c>
      <c r="B47">
        <f t="shared" si="0"/>
        <v>39</v>
      </c>
    </row>
    <row r="48" spans="1:2" hidden="1" x14ac:dyDescent="0.35">
      <c r="A48" s="34" t="s">
        <v>389</v>
      </c>
      <c r="B48">
        <f t="shared" si="0"/>
        <v>39</v>
      </c>
    </row>
    <row r="49" spans="1:6" hidden="1" x14ac:dyDescent="0.35">
      <c r="A49" s="34" t="s">
        <v>390</v>
      </c>
      <c r="B49">
        <f t="shared" si="0"/>
        <v>39</v>
      </c>
    </row>
    <row r="50" spans="1:6" hidden="1" x14ac:dyDescent="0.35">
      <c r="A50" s="34" t="s">
        <v>391</v>
      </c>
      <c r="B50">
        <f t="shared" si="0"/>
        <v>41</v>
      </c>
    </row>
    <row r="51" spans="1:6" hidden="1" x14ac:dyDescent="0.35">
      <c r="A51" s="34" t="s">
        <v>392</v>
      </c>
      <c r="B51">
        <f t="shared" si="0"/>
        <v>41</v>
      </c>
    </row>
    <row r="52" spans="1:6" hidden="1" x14ac:dyDescent="0.35">
      <c r="A52" s="34" t="s">
        <v>393</v>
      </c>
      <c r="B52">
        <f t="shared" si="0"/>
        <v>41</v>
      </c>
    </row>
    <row r="53" spans="1:6" hidden="1" x14ac:dyDescent="0.35">
      <c r="A53" s="34" t="s">
        <v>394</v>
      </c>
      <c r="B53">
        <f t="shared" si="0"/>
        <v>41</v>
      </c>
    </row>
    <row r="54" spans="1:6" hidden="1" x14ac:dyDescent="0.35">
      <c r="A54" s="34" t="s">
        <v>395</v>
      </c>
      <c r="B54">
        <f t="shared" si="0"/>
        <v>42</v>
      </c>
    </row>
    <row r="55" spans="1:6" hidden="1" x14ac:dyDescent="0.35">
      <c r="A55" s="34" t="s">
        <v>396</v>
      </c>
      <c r="B55">
        <f t="shared" si="0"/>
        <v>42</v>
      </c>
    </row>
    <row r="56" spans="1:6" x14ac:dyDescent="0.35">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35">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35">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35">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35">
      <c r="A60" s="34" t="s">
        <v>401</v>
      </c>
      <c r="B60">
        <f t="shared" si="0"/>
        <v>38</v>
      </c>
    </row>
    <row r="61" spans="1:6" hidden="1" x14ac:dyDescent="0.35">
      <c r="A61" s="34" t="s">
        <v>402</v>
      </c>
      <c r="B61">
        <f t="shared" si="0"/>
        <v>38</v>
      </c>
    </row>
    <row r="62" spans="1:6" hidden="1" x14ac:dyDescent="0.35">
      <c r="A62" s="34" t="s">
        <v>403</v>
      </c>
      <c r="B62">
        <f t="shared" si="0"/>
        <v>38</v>
      </c>
    </row>
    <row r="63" spans="1:6" hidden="1" x14ac:dyDescent="0.35">
      <c r="A63" s="34" t="s">
        <v>404</v>
      </c>
      <c r="B63">
        <f t="shared" si="0"/>
        <v>38</v>
      </c>
    </row>
    <row r="64" spans="1:6" hidden="1" x14ac:dyDescent="0.35">
      <c r="A64" s="34" t="s">
        <v>405</v>
      </c>
      <c r="B64">
        <f t="shared" si="0"/>
        <v>38</v>
      </c>
    </row>
    <row r="65" spans="1:2" hidden="1" x14ac:dyDescent="0.35">
      <c r="A65" s="34" t="s">
        <v>406</v>
      </c>
      <c r="B65">
        <f t="shared" si="0"/>
        <v>38</v>
      </c>
    </row>
    <row r="66" spans="1:2" hidden="1" x14ac:dyDescent="0.35">
      <c r="A66" s="34" t="s">
        <v>407</v>
      </c>
      <c r="B66">
        <f t="shared" si="0"/>
        <v>38</v>
      </c>
    </row>
    <row r="67" spans="1:2" hidden="1" x14ac:dyDescent="0.35">
      <c r="A67" s="34" t="s">
        <v>408</v>
      </c>
      <c r="B67">
        <f t="shared" ref="B67:B130" si="4">LEN(A67)</f>
        <v>38</v>
      </c>
    </row>
    <row r="68" spans="1:2" hidden="1" x14ac:dyDescent="0.35">
      <c r="A68" s="34" t="s">
        <v>409</v>
      </c>
      <c r="B68">
        <f t="shared" si="4"/>
        <v>39</v>
      </c>
    </row>
    <row r="69" spans="1:2" hidden="1" x14ac:dyDescent="0.35">
      <c r="A69" s="34" t="s">
        <v>410</v>
      </c>
      <c r="B69">
        <f t="shared" si="4"/>
        <v>39</v>
      </c>
    </row>
    <row r="70" spans="1:2" hidden="1" x14ac:dyDescent="0.35">
      <c r="A70" s="34" t="s">
        <v>411</v>
      </c>
      <c r="B70">
        <f t="shared" si="4"/>
        <v>39</v>
      </c>
    </row>
    <row r="71" spans="1:2" hidden="1" x14ac:dyDescent="0.35">
      <c r="A71" s="34" t="s">
        <v>412</v>
      </c>
      <c r="B71">
        <f t="shared" si="4"/>
        <v>39</v>
      </c>
    </row>
    <row r="72" spans="1:2" hidden="1" x14ac:dyDescent="0.35">
      <c r="A72" s="34" t="s">
        <v>413</v>
      </c>
      <c r="B72">
        <f t="shared" si="4"/>
        <v>39</v>
      </c>
    </row>
    <row r="73" spans="1:2" hidden="1" x14ac:dyDescent="0.35">
      <c r="A73" s="34" t="s">
        <v>414</v>
      </c>
      <c r="B73">
        <f t="shared" si="4"/>
        <v>39</v>
      </c>
    </row>
    <row r="74" spans="1:2" hidden="1" x14ac:dyDescent="0.35">
      <c r="A74" s="34" t="s">
        <v>415</v>
      </c>
      <c r="B74">
        <f t="shared" si="4"/>
        <v>39</v>
      </c>
    </row>
    <row r="75" spans="1:2" hidden="1" x14ac:dyDescent="0.35">
      <c r="A75" s="34" t="s">
        <v>416</v>
      </c>
      <c r="B75">
        <f t="shared" si="4"/>
        <v>39</v>
      </c>
    </row>
    <row r="76" spans="1:2" hidden="1" x14ac:dyDescent="0.35">
      <c r="A76" s="34" t="s">
        <v>417</v>
      </c>
      <c r="B76">
        <f t="shared" si="4"/>
        <v>37</v>
      </c>
    </row>
    <row r="77" spans="1:2" hidden="1" x14ac:dyDescent="0.35">
      <c r="A77" s="34" t="s">
        <v>418</v>
      </c>
      <c r="B77">
        <f t="shared" si="4"/>
        <v>37</v>
      </c>
    </row>
    <row r="78" spans="1:2" hidden="1" x14ac:dyDescent="0.35">
      <c r="A78" s="34" t="s">
        <v>419</v>
      </c>
      <c r="B78">
        <f t="shared" si="4"/>
        <v>37</v>
      </c>
    </row>
    <row r="79" spans="1:2" hidden="1" x14ac:dyDescent="0.35">
      <c r="A79" s="34" t="s">
        <v>420</v>
      </c>
      <c r="B79">
        <f t="shared" si="4"/>
        <v>37</v>
      </c>
    </row>
    <row r="80" spans="1:2" hidden="1" x14ac:dyDescent="0.35">
      <c r="A80" s="34" t="s">
        <v>421</v>
      </c>
      <c r="B80">
        <f t="shared" si="4"/>
        <v>38</v>
      </c>
    </row>
    <row r="81" spans="1:2" hidden="1" x14ac:dyDescent="0.35">
      <c r="A81" s="34" t="s">
        <v>422</v>
      </c>
      <c r="B81">
        <f t="shared" si="4"/>
        <v>38</v>
      </c>
    </row>
    <row r="82" spans="1:2" hidden="1" x14ac:dyDescent="0.35">
      <c r="A82" s="34" t="s">
        <v>423</v>
      </c>
      <c r="B82">
        <f t="shared" si="4"/>
        <v>38</v>
      </c>
    </row>
    <row r="83" spans="1:2" hidden="1" x14ac:dyDescent="0.35">
      <c r="A83" s="34" t="s">
        <v>424</v>
      </c>
      <c r="B83">
        <f t="shared" si="4"/>
        <v>38</v>
      </c>
    </row>
    <row r="84" spans="1:2" hidden="1" x14ac:dyDescent="0.35">
      <c r="A84" s="34" t="s">
        <v>425</v>
      </c>
      <c r="B84">
        <f t="shared" si="4"/>
        <v>37</v>
      </c>
    </row>
    <row r="85" spans="1:2" hidden="1" x14ac:dyDescent="0.35">
      <c r="A85" s="34" t="s">
        <v>426</v>
      </c>
      <c r="B85">
        <f t="shared" si="4"/>
        <v>37</v>
      </c>
    </row>
    <row r="86" spans="1:2" hidden="1" x14ac:dyDescent="0.35">
      <c r="A86" s="34" t="s">
        <v>427</v>
      </c>
      <c r="B86">
        <f t="shared" si="4"/>
        <v>37</v>
      </c>
    </row>
    <row r="87" spans="1:2" hidden="1" x14ac:dyDescent="0.35">
      <c r="A87" s="34" t="s">
        <v>428</v>
      </c>
      <c r="B87">
        <f t="shared" si="4"/>
        <v>37</v>
      </c>
    </row>
    <row r="88" spans="1:2" hidden="1" x14ac:dyDescent="0.35">
      <c r="A88" s="34" t="s">
        <v>429</v>
      </c>
      <c r="B88">
        <f t="shared" si="4"/>
        <v>38</v>
      </c>
    </row>
    <row r="89" spans="1:2" hidden="1" x14ac:dyDescent="0.35">
      <c r="A89" s="34" t="s">
        <v>430</v>
      </c>
      <c r="B89">
        <f t="shared" si="4"/>
        <v>38</v>
      </c>
    </row>
    <row r="90" spans="1:2" hidden="1" x14ac:dyDescent="0.35">
      <c r="A90" s="34" t="s">
        <v>431</v>
      </c>
      <c r="B90">
        <f t="shared" si="4"/>
        <v>38</v>
      </c>
    </row>
    <row r="91" spans="1:2" hidden="1" x14ac:dyDescent="0.35">
      <c r="A91" s="34" t="s">
        <v>432</v>
      </c>
      <c r="B91">
        <f t="shared" si="4"/>
        <v>38</v>
      </c>
    </row>
    <row r="92" spans="1:2" hidden="1" x14ac:dyDescent="0.35">
      <c r="A92" s="34" t="s">
        <v>433</v>
      </c>
      <c r="B92">
        <f t="shared" si="4"/>
        <v>37</v>
      </c>
    </row>
    <row r="93" spans="1:2" hidden="1" x14ac:dyDescent="0.35">
      <c r="A93" s="34" t="s">
        <v>434</v>
      </c>
      <c r="B93">
        <f t="shared" si="4"/>
        <v>37</v>
      </c>
    </row>
    <row r="94" spans="1:2" hidden="1" x14ac:dyDescent="0.35">
      <c r="A94" s="34" t="s">
        <v>435</v>
      </c>
      <c r="B94">
        <f t="shared" si="4"/>
        <v>37</v>
      </c>
    </row>
    <row r="95" spans="1:2" hidden="1" x14ac:dyDescent="0.35">
      <c r="A95" s="34" t="s">
        <v>436</v>
      </c>
      <c r="B95">
        <f t="shared" si="4"/>
        <v>37</v>
      </c>
    </row>
    <row r="96" spans="1:2" hidden="1" x14ac:dyDescent="0.35">
      <c r="A96" s="34" t="s">
        <v>437</v>
      </c>
      <c r="B96">
        <f t="shared" si="4"/>
        <v>38</v>
      </c>
    </row>
    <row r="97" spans="1:2" hidden="1" x14ac:dyDescent="0.35">
      <c r="A97" s="34" t="s">
        <v>438</v>
      </c>
      <c r="B97">
        <f t="shared" si="4"/>
        <v>38</v>
      </c>
    </row>
    <row r="98" spans="1:2" hidden="1" x14ac:dyDescent="0.35">
      <c r="A98" s="34" t="s">
        <v>439</v>
      </c>
      <c r="B98">
        <f t="shared" si="4"/>
        <v>38</v>
      </c>
    </row>
    <row r="99" spans="1:2" hidden="1" x14ac:dyDescent="0.35">
      <c r="A99" s="34" t="s">
        <v>440</v>
      </c>
      <c r="B99">
        <f t="shared" si="4"/>
        <v>38</v>
      </c>
    </row>
    <row r="100" spans="1:2" hidden="1" x14ac:dyDescent="0.35">
      <c r="A100" s="34" t="s">
        <v>441</v>
      </c>
      <c r="B100">
        <f t="shared" si="4"/>
        <v>37</v>
      </c>
    </row>
    <row r="101" spans="1:2" hidden="1" x14ac:dyDescent="0.35">
      <c r="A101" s="34" t="s">
        <v>442</v>
      </c>
      <c r="B101">
        <f t="shared" si="4"/>
        <v>37</v>
      </c>
    </row>
    <row r="102" spans="1:2" hidden="1" x14ac:dyDescent="0.35">
      <c r="A102" s="34" t="s">
        <v>443</v>
      </c>
      <c r="B102">
        <f t="shared" si="4"/>
        <v>37</v>
      </c>
    </row>
    <row r="103" spans="1:2" hidden="1" x14ac:dyDescent="0.35">
      <c r="A103" s="34" t="s">
        <v>444</v>
      </c>
      <c r="B103">
        <f t="shared" si="4"/>
        <v>37</v>
      </c>
    </row>
    <row r="104" spans="1:2" hidden="1" x14ac:dyDescent="0.35">
      <c r="A104" s="34" t="s">
        <v>445</v>
      </c>
      <c r="B104">
        <f t="shared" si="4"/>
        <v>38</v>
      </c>
    </row>
    <row r="105" spans="1:2" hidden="1" x14ac:dyDescent="0.35">
      <c r="A105" s="34" t="s">
        <v>446</v>
      </c>
      <c r="B105">
        <f t="shared" si="4"/>
        <v>38</v>
      </c>
    </row>
    <row r="106" spans="1:2" hidden="1" x14ac:dyDescent="0.35">
      <c r="A106" s="34" t="s">
        <v>447</v>
      </c>
      <c r="B106">
        <f t="shared" si="4"/>
        <v>38</v>
      </c>
    </row>
    <row r="107" spans="1:2" hidden="1" x14ac:dyDescent="0.35">
      <c r="A107" s="34" t="s">
        <v>448</v>
      </c>
      <c r="B107">
        <f t="shared" si="4"/>
        <v>38</v>
      </c>
    </row>
    <row r="108" spans="1:2" hidden="1" x14ac:dyDescent="0.35">
      <c r="A108" s="34" t="s">
        <v>449</v>
      </c>
      <c r="B108">
        <f t="shared" si="4"/>
        <v>29</v>
      </c>
    </row>
    <row r="109" spans="1:2" hidden="1" x14ac:dyDescent="0.35">
      <c r="A109" s="34" t="s">
        <v>450</v>
      </c>
      <c r="B109">
        <f t="shared" si="4"/>
        <v>29</v>
      </c>
    </row>
    <row r="110" spans="1:2" hidden="1" x14ac:dyDescent="0.35">
      <c r="A110" s="34" t="s">
        <v>451</v>
      </c>
      <c r="B110">
        <f t="shared" si="4"/>
        <v>34</v>
      </c>
    </row>
    <row r="111" spans="1:2" hidden="1" x14ac:dyDescent="0.35">
      <c r="A111" s="34" t="s">
        <v>452</v>
      </c>
      <c r="B111">
        <f t="shared" si="4"/>
        <v>34</v>
      </c>
    </row>
    <row r="112" spans="1:2" hidden="1" x14ac:dyDescent="0.35">
      <c r="A112" s="34" t="s">
        <v>453</v>
      </c>
      <c r="B112">
        <f t="shared" si="4"/>
        <v>34</v>
      </c>
    </row>
    <row r="113" spans="1:2" hidden="1" x14ac:dyDescent="0.35">
      <c r="A113" s="34" t="s">
        <v>454</v>
      </c>
      <c r="B113">
        <f t="shared" si="4"/>
        <v>35</v>
      </c>
    </row>
    <row r="114" spans="1:2" hidden="1" x14ac:dyDescent="0.35">
      <c r="A114" s="34" t="s">
        <v>455</v>
      </c>
      <c r="B114">
        <f t="shared" si="4"/>
        <v>35</v>
      </c>
    </row>
    <row r="115" spans="1:2" hidden="1" x14ac:dyDescent="0.35">
      <c r="A115" s="34" t="s">
        <v>456</v>
      </c>
      <c r="B115">
        <f t="shared" si="4"/>
        <v>35</v>
      </c>
    </row>
    <row r="116" spans="1:2" hidden="1" x14ac:dyDescent="0.35">
      <c r="A116" s="34" t="s">
        <v>457</v>
      </c>
      <c r="B116">
        <f t="shared" si="4"/>
        <v>34</v>
      </c>
    </row>
    <row r="117" spans="1:2" hidden="1" x14ac:dyDescent="0.35">
      <c r="A117" s="34" t="s">
        <v>458</v>
      </c>
      <c r="B117">
        <f t="shared" si="4"/>
        <v>34</v>
      </c>
    </row>
    <row r="118" spans="1:2" hidden="1" x14ac:dyDescent="0.35">
      <c r="A118" s="34" t="s">
        <v>459</v>
      </c>
      <c r="B118">
        <f t="shared" si="4"/>
        <v>34</v>
      </c>
    </row>
    <row r="119" spans="1:2" hidden="1" x14ac:dyDescent="0.35">
      <c r="A119" s="34" t="s">
        <v>460</v>
      </c>
      <c r="B119">
        <f t="shared" si="4"/>
        <v>35</v>
      </c>
    </row>
    <row r="120" spans="1:2" hidden="1" x14ac:dyDescent="0.35">
      <c r="A120" s="34" t="s">
        <v>461</v>
      </c>
      <c r="B120">
        <f t="shared" si="4"/>
        <v>35</v>
      </c>
    </row>
    <row r="121" spans="1:2" hidden="1" x14ac:dyDescent="0.35">
      <c r="A121" s="34" t="s">
        <v>462</v>
      </c>
      <c r="B121">
        <f t="shared" si="4"/>
        <v>35</v>
      </c>
    </row>
    <row r="122" spans="1:2" hidden="1" x14ac:dyDescent="0.35">
      <c r="A122" s="34" t="s">
        <v>316</v>
      </c>
      <c r="B122">
        <f t="shared" si="4"/>
        <v>25</v>
      </c>
    </row>
    <row r="123" spans="1:2" hidden="1" x14ac:dyDescent="0.35">
      <c r="A123" s="34" t="s">
        <v>317</v>
      </c>
      <c r="B123">
        <f t="shared" si="4"/>
        <v>25</v>
      </c>
    </row>
    <row r="124" spans="1:2" hidden="1" x14ac:dyDescent="0.35">
      <c r="A124" s="34" t="s">
        <v>318</v>
      </c>
      <c r="B124">
        <f t="shared" si="4"/>
        <v>25</v>
      </c>
    </row>
    <row r="125" spans="1:2" hidden="1" x14ac:dyDescent="0.35">
      <c r="A125" s="34" t="s">
        <v>319</v>
      </c>
      <c r="B125">
        <f t="shared" si="4"/>
        <v>25</v>
      </c>
    </row>
    <row r="126" spans="1:2" hidden="1" x14ac:dyDescent="0.35">
      <c r="A126" s="34" t="s">
        <v>320</v>
      </c>
      <c r="B126">
        <f t="shared" si="4"/>
        <v>26</v>
      </c>
    </row>
    <row r="127" spans="1:2" hidden="1" x14ac:dyDescent="0.35">
      <c r="A127" s="34" t="s">
        <v>321</v>
      </c>
      <c r="B127">
        <f t="shared" si="4"/>
        <v>26</v>
      </c>
    </row>
    <row r="128" spans="1:2" hidden="1" x14ac:dyDescent="0.35">
      <c r="A128" s="34" t="s">
        <v>322</v>
      </c>
      <c r="B128">
        <f t="shared" si="4"/>
        <v>26</v>
      </c>
    </row>
    <row r="129" spans="1:2" hidden="1" x14ac:dyDescent="0.35">
      <c r="A129" s="34" t="s">
        <v>323</v>
      </c>
      <c r="B129">
        <f t="shared" si="4"/>
        <v>26</v>
      </c>
    </row>
    <row r="130" spans="1:2" hidden="1" x14ac:dyDescent="0.35">
      <c r="A130" s="34" t="s">
        <v>324</v>
      </c>
      <c r="B130">
        <f t="shared" si="4"/>
        <v>25</v>
      </c>
    </row>
    <row r="131" spans="1:2" hidden="1" x14ac:dyDescent="0.35">
      <c r="A131" s="34" t="s">
        <v>325</v>
      </c>
      <c r="B131">
        <f t="shared" ref="B131:B139" si="5">LEN(A131)</f>
        <v>25</v>
      </c>
    </row>
    <row r="132" spans="1:2" hidden="1" x14ac:dyDescent="0.35">
      <c r="A132" s="34" t="s">
        <v>326</v>
      </c>
      <c r="B132">
        <f t="shared" si="5"/>
        <v>25</v>
      </c>
    </row>
    <row r="133" spans="1:2" hidden="1" x14ac:dyDescent="0.35">
      <c r="A133" s="34" t="s">
        <v>327</v>
      </c>
      <c r="B133">
        <f t="shared" si="5"/>
        <v>25</v>
      </c>
    </row>
    <row r="134" spans="1:2" hidden="1" x14ac:dyDescent="0.35">
      <c r="A134" s="34" t="s">
        <v>328</v>
      </c>
      <c r="B134">
        <f t="shared" si="5"/>
        <v>26</v>
      </c>
    </row>
    <row r="135" spans="1:2" hidden="1" x14ac:dyDescent="0.35">
      <c r="A135" s="34" t="s">
        <v>329</v>
      </c>
      <c r="B135">
        <f t="shared" si="5"/>
        <v>26</v>
      </c>
    </row>
    <row r="136" spans="1:2" hidden="1" x14ac:dyDescent="0.35">
      <c r="A136" s="34" t="s">
        <v>330</v>
      </c>
      <c r="B136">
        <f t="shared" si="5"/>
        <v>26</v>
      </c>
    </row>
    <row r="137" spans="1:2" hidden="1" x14ac:dyDescent="0.35">
      <c r="A137" s="34" t="s">
        <v>331</v>
      </c>
      <c r="B137">
        <f t="shared" si="5"/>
        <v>26</v>
      </c>
    </row>
    <row r="138" spans="1:2" hidden="1" x14ac:dyDescent="0.35">
      <c r="A138" s="34" t="s">
        <v>463</v>
      </c>
      <c r="B138">
        <f t="shared" si="5"/>
        <v>42</v>
      </c>
    </row>
    <row r="139" spans="1:2" hidden="1" x14ac:dyDescent="0.35">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465</v>
      </c>
    </row>
    <row r="2" spans="1:1" x14ac:dyDescent="0.35">
      <c r="A2" t="s">
        <v>466</v>
      </c>
    </row>
    <row r="3" spans="1:1" x14ac:dyDescent="0.35">
      <c r="A3" t="s">
        <v>467</v>
      </c>
    </row>
    <row r="6" spans="1:1" x14ac:dyDescent="0.35">
      <c r="A6" t="s">
        <v>45</v>
      </c>
    </row>
    <row r="7" spans="1:1" x14ac:dyDescent="0.35">
      <c r="A7" t="s">
        <v>131</v>
      </c>
    </row>
    <row r="8" spans="1:1" x14ac:dyDescent="0.35">
      <c r="A8" t="s">
        <v>468</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54296875" customWidth="1"/>
    <col min="2" max="2" width="36.1796875" customWidth="1"/>
  </cols>
  <sheetData>
    <row r="3" spans="1:1" x14ac:dyDescent="0.35">
      <c r="A3" t="s">
        <v>469</v>
      </c>
    </row>
    <row r="5" spans="1:1" x14ac:dyDescent="0.35">
      <c r="A5" t="s">
        <v>470</v>
      </c>
    </row>
    <row r="7" spans="1:1" x14ac:dyDescent="0.35">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81640625" bestFit="1" customWidth="1"/>
  </cols>
  <sheetData>
    <row r="1" spans="1:2" x14ac:dyDescent="0.35">
      <c r="A1" s="17" t="s">
        <v>472</v>
      </c>
      <c r="B1" s="2" t="s">
        <v>473</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453125" style="9" bestFit="1" customWidth="1"/>
    <col min="2" max="2" width="10.1796875" style="9" bestFit="1" customWidth="1"/>
    <col min="3" max="3" width="22.81640625" style="6" bestFit="1" customWidth="1"/>
    <col min="4" max="4" width="12.453125" style="9" bestFit="1" customWidth="1"/>
    <col min="5" max="5" width="8.81640625" style="9" bestFit="1" customWidth="1"/>
    <col min="6" max="6" width="11.81640625" style="6" bestFit="1" customWidth="1"/>
    <col min="7" max="7" width="6.453125" style="9" bestFit="1" customWidth="1"/>
    <col min="8" max="8" width="34.54296875" style="6" bestFit="1" customWidth="1"/>
    <col min="9" max="9" width="9.81640625" style="9" bestFit="1" customWidth="1"/>
    <col min="10" max="10" width="9.453125" style="9" bestFit="1" customWidth="1"/>
    <col min="11" max="11" width="20.1796875" style="9" customWidth="1"/>
    <col min="12" max="12" width="8.453125" style="10" bestFit="1" customWidth="1"/>
    <col min="13" max="13" width="8.81640625" style="10" bestFit="1" customWidth="1"/>
    <col min="14" max="14" width="12.54296875" style="10" bestFit="1" customWidth="1"/>
    <col min="15" max="15" width="12.1796875" style="10" bestFit="1" customWidth="1"/>
    <col min="16" max="16" width="8.54296875" style="11" bestFit="1" customWidth="1"/>
    <col min="17" max="17" width="9.54296875" style="11" bestFit="1" customWidth="1"/>
    <col min="18" max="19" width="9.54296875" style="10" bestFit="1" customWidth="1"/>
    <col min="20" max="20" width="10.54296875" style="10" bestFit="1" customWidth="1"/>
    <col min="21" max="21" width="8.54296875" style="11" bestFit="1" customWidth="1"/>
    <col min="22" max="22" width="10.54296875" style="12" bestFit="1" customWidth="1"/>
    <col min="23" max="23" width="8.1796875" style="11" bestFit="1" customWidth="1"/>
    <col min="24" max="24" width="44.453125" style="12" bestFit="1" customWidth="1"/>
    <col min="25" max="25" width="14.453125" style="10" bestFit="1" customWidth="1"/>
    <col min="26" max="26" width="18.54296875" style="12" bestFit="1" customWidth="1"/>
    <col min="27" max="16384" width="7.54296875" style="9"/>
  </cols>
  <sheetData>
    <row r="1" spans="1:26" s="6" customFormat="1" x14ac:dyDescent="0.35">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0" hidden="1" x14ac:dyDescent="0.35">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0" hidden="1" x14ac:dyDescent="0.35">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0" hidden="1" x14ac:dyDescent="0.35">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0" hidden="1" x14ac:dyDescent="0.35">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0" hidden="1" x14ac:dyDescent="0.35">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0" hidden="1" x14ac:dyDescent="0.35">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0" hidden="1" x14ac:dyDescent="0.35">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30" hidden="1" x14ac:dyDescent="0.35">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0" hidden="1" x14ac:dyDescent="0.35">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0" hidden="1" x14ac:dyDescent="0.35">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0" hidden="1" x14ac:dyDescent="0.35">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0" hidden="1" x14ac:dyDescent="0.35">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0" hidden="1" x14ac:dyDescent="0.35">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0" hidden="1" x14ac:dyDescent="0.35">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0" hidden="1" x14ac:dyDescent="0.35">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0" hidden="1" x14ac:dyDescent="0.35">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0" hidden="1" x14ac:dyDescent="0.35">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0" hidden="1" x14ac:dyDescent="0.35">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0" hidden="1" x14ac:dyDescent="0.35">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0" hidden="1" x14ac:dyDescent="0.35">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0" hidden="1" x14ac:dyDescent="0.35">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0" hidden="1" x14ac:dyDescent="0.35">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0" hidden="1" x14ac:dyDescent="0.35">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0" hidden="1" x14ac:dyDescent="0.35">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0" hidden="1" x14ac:dyDescent="0.35">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0" hidden="1" x14ac:dyDescent="0.35">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0" hidden="1" x14ac:dyDescent="0.35">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20" hidden="1" x14ac:dyDescent="0.35">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0" hidden="1" x14ac:dyDescent="0.35">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0" hidden="1" x14ac:dyDescent="0.35">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0" hidden="1" x14ac:dyDescent="0.35">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0" hidden="1" x14ac:dyDescent="0.35">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0" hidden="1" x14ac:dyDescent="0.35">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0" hidden="1" x14ac:dyDescent="0.35">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0" hidden="1" x14ac:dyDescent="0.35">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0" hidden="1" x14ac:dyDescent="0.35">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0" hidden="1" x14ac:dyDescent="0.35">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0" hidden="1" x14ac:dyDescent="0.35">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0" hidden="1" x14ac:dyDescent="0.35">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0" hidden="1" x14ac:dyDescent="0.35">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0" hidden="1" x14ac:dyDescent="0.35">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0" hidden="1" x14ac:dyDescent="0.35">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0" hidden="1" x14ac:dyDescent="0.35">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0" hidden="1" x14ac:dyDescent="0.35">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0" hidden="1" x14ac:dyDescent="0.35">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0" hidden="1" x14ac:dyDescent="0.35">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0" hidden="1" x14ac:dyDescent="0.35">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0" hidden="1" x14ac:dyDescent="0.35">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0" hidden="1" x14ac:dyDescent="0.35">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0" hidden="1" x14ac:dyDescent="0.35">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0" hidden="1" x14ac:dyDescent="0.35">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0" hidden="1" x14ac:dyDescent="0.35">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0" hidden="1" x14ac:dyDescent="0.35">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0" hidden="1" x14ac:dyDescent="0.35">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0" hidden="1" x14ac:dyDescent="0.35">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0" hidden="1" x14ac:dyDescent="0.35">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0" hidden="1" x14ac:dyDescent="0.35">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0" hidden="1" x14ac:dyDescent="0.35">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0" hidden="1" x14ac:dyDescent="0.35">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0" hidden="1" x14ac:dyDescent="0.35">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0" hidden="1" x14ac:dyDescent="0.35">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0" hidden="1" x14ac:dyDescent="0.35">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0" hidden="1" x14ac:dyDescent="0.35">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0" hidden="1" x14ac:dyDescent="0.35">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0" hidden="1" x14ac:dyDescent="0.35">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0" hidden="1" x14ac:dyDescent="0.35">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0" hidden="1" x14ac:dyDescent="0.35">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0" hidden="1" x14ac:dyDescent="0.35">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20" hidden="1" x14ac:dyDescent="0.35">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0" hidden="1" x14ac:dyDescent="0.35">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0" hidden="1" x14ac:dyDescent="0.35">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0" hidden="1" x14ac:dyDescent="0.35">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0" hidden="1" x14ac:dyDescent="0.35">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0" hidden="1" x14ac:dyDescent="0.35">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0" hidden="1" x14ac:dyDescent="0.35">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0" hidden="1" x14ac:dyDescent="0.35">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0" hidden="1" x14ac:dyDescent="0.35">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0" hidden="1" x14ac:dyDescent="0.35">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0" x14ac:dyDescent="0.35">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0" hidden="1" x14ac:dyDescent="0.35">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0" hidden="1" x14ac:dyDescent="0.35">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0" hidden="1" x14ac:dyDescent="0.35">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0" hidden="1" x14ac:dyDescent="0.35">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0" hidden="1" x14ac:dyDescent="0.35">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0" hidden="1" x14ac:dyDescent="0.35">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0" hidden="1" x14ac:dyDescent="0.35">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0" hidden="1" x14ac:dyDescent="0.35">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0" hidden="1" x14ac:dyDescent="0.35">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0" hidden="1" x14ac:dyDescent="0.35">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0" hidden="1" x14ac:dyDescent="0.35">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0" x14ac:dyDescent="0.35">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0" hidden="1" x14ac:dyDescent="0.35">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0" hidden="1" x14ac:dyDescent="0.35">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0" hidden="1" x14ac:dyDescent="0.35">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0" hidden="1" x14ac:dyDescent="0.35">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0" hidden="1" x14ac:dyDescent="0.35">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0" hidden="1" x14ac:dyDescent="0.35">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0" hidden="1" x14ac:dyDescent="0.35">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0" hidden="1" x14ac:dyDescent="0.35">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0" hidden="1" x14ac:dyDescent="0.35">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0" hidden="1" x14ac:dyDescent="0.35">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0" hidden="1" x14ac:dyDescent="0.35">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0" hidden="1" x14ac:dyDescent="0.35">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0" hidden="1" x14ac:dyDescent="0.35">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0" hidden="1" x14ac:dyDescent="0.35">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0" hidden="1" x14ac:dyDescent="0.35">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0" hidden="1" x14ac:dyDescent="0.35">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0" hidden="1" x14ac:dyDescent="0.35">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0" hidden="1" x14ac:dyDescent="0.35">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0" hidden="1" x14ac:dyDescent="0.35">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0" hidden="1" x14ac:dyDescent="0.35">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0" hidden="1" x14ac:dyDescent="0.35">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0" hidden="1" x14ac:dyDescent="0.35">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0" hidden="1" x14ac:dyDescent="0.35">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0" hidden="1" x14ac:dyDescent="0.35">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0" hidden="1" x14ac:dyDescent="0.35">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0" hidden="1" x14ac:dyDescent="0.35">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0" hidden="1" x14ac:dyDescent="0.35">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0" hidden="1" x14ac:dyDescent="0.35">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0" hidden="1" x14ac:dyDescent="0.35">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0" hidden="1" x14ac:dyDescent="0.35">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0" hidden="1" x14ac:dyDescent="0.35">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0" hidden="1" x14ac:dyDescent="0.35">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0" hidden="1" x14ac:dyDescent="0.35">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0" hidden="1" x14ac:dyDescent="0.35">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0" hidden="1" x14ac:dyDescent="0.35">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0" hidden="1" x14ac:dyDescent="0.35">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20.149999999999999" hidden="1" customHeight="1" x14ac:dyDescent="0.35">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0" hidden="1" x14ac:dyDescent="0.35">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0" hidden="1" x14ac:dyDescent="0.35">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0" hidden="1" x14ac:dyDescent="0.35">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0" hidden="1" x14ac:dyDescent="0.35">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0" hidden="1" x14ac:dyDescent="0.35">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0" hidden="1" x14ac:dyDescent="0.35">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0" hidden="1" x14ac:dyDescent="0.35">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20" hidden="1" x14ac:dyDescent="0.35">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0" hidden="1" x14ac:dyDescent="0.35">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0" hidden="1" x14ac:dyDescent="0.35">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0" hidden="1" x14ac:dyDescent="0.35">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0" hidden="1" x14ac:dyDescent="0.35">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0" hidden="1" x14ac:dyDescent="0.35">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0" hidden="1" x14ac:dyDescent="0.35">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0" hidden="1" x14ac:dyDescent="0.35">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0" hidden="1" x14ac:dyDescent="0.35">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0" hidden="1" x14ac:dyDescent="0.35">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0" hidden="1" x14ac:dyDescent="0.35">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0" hidden="1" x14ac:dyDescent="0.35">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0" hidden="1" x14ac:dyDescent="0.35">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0" hidden="1" x14ac:dyDescent="0.35">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0" hidden="1" x14ac:dyDescent="0.35">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0" hidden="1" x14ac:dyDescent="0.35">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0" hidden="1" x14ac:dyDescent="0.35">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0" hidden="1" x14ac:dyDescent="0.35">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0" hidden="1" x14ac:dyDescent="0.35">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0" x14ac:dyDescent="0.35">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0" x14ac:dyDescent="0.35">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0" x14ac:dyDescent="0.35">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0" x14ac:dyDescent="0.35">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0" x14ac:dyDescent="0.35">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0" x14ac:dyDescent="0.35">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0" hidden="1" x14ac:dyDescent="0.35">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0" hidden="1" x14ac:dyDescent="0.35">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0" hidden="1" x14ac:dyDescent="0.35">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0" hidden="1" x14ac:dyDescent="0.35">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0" hidden="1" x14ac:dyDescent="0.35">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0" hidden="1" x14ac:dyDescent="0.35">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0" hidden="1" x14ac:dyDescent="0.35">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0" hidden="1" x14ac:dyDescent="0.35">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0" hidden="1" x14ac:dyDescent="0.35">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0" hidden="1" x14ac:dyDescent="0.35">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0" hidden="1" x14ac:dyDescent="0.35">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0" hidden="1" x14ac:dyDescent="0.35">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0" hidden="1" x14ac:dyDescent="0.35">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0" hidden="1" x14ac:dyDescent="0.35">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0" hidden="1" x14ac:dyDescent="0.35">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0" hidden="1" x14ac:dyDescent="0.35">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0" hidden="1" x14ac:dyDescent="0.35">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0" hidden="1" x14ac:dyDescent="0.35">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0" hidden="1" x14ac:dyDescent="0.35">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0" hidden="1" x14ac:dyDescent="0.35">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0" hidden="1" x14ac:dyDescent="0.35">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0" hidden="1" x14ac:dyDescent="0.35">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0" hidden="1" x14ac:dyDescent="0.35">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0" hidden="1" x14ac:dyDescent="0.35">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0" hidden="1" x14ac:dyDescent="0.35">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0" hidden="1" x14ac:dyDescent="0.35">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0" hidden="1" x14ac:dyDescent="0.35">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0" hidden="1" x14ac:dyDescent="0.35">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0" hidden="1" x14ac:dyDescent="0.35">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0" hidden="1" x14ac:dyDescent="0.35">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0" hidden="1" x14ac:dyDescent="0.35">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0" hidden="1" x14ac:dyDescent="0.35">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0" hidden="1" x14ac:dyDescent="0.35">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0" hidden="1" x14ac:dyDescent="0.35">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0" hidden="1" x14ac:dyDescent="0.35">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0" hidden="1" x14ac:dyDescent="0.35">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0" hidden="1" x14ac:dyDescent="0.35">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0" hidden="1" x14ac:dyDescent="0.35">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0" hidden="1" x14ac:dyDescent="0.35">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0" hidden="1" x14ac:dyDescent="0.35">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0" hidden="1" x14ac:dyDescent="0.35">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0" hidden="1" x14ac:dyDescent="0.35">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0" hidden="1" x14ac:dyDescent="0.35">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0" hidden="1" x14ac:dyDescent="0.35">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0" hidden="1" x14ac:dyDescent="0.35">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0" hidden="1" x14ac:dyDescent="0.35">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0" hidden="1" x14ac:dyDescent="0.35">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0" hidden="1" x14ac:dyDescent="0.35">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0" hidden="1" x14ac:dyDescent="0.35">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0" hidden="1" x14ac:dyDescent="0.35">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0" hidden="1" x14ac:dyDescent="0.35">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0" hidden="1" x14ac:dyDescent="0.35">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0" hidden="1" x14ac:dyDescent="0.35">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0" hidden="1" x14ac:dyDescent="0.35">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0" hidden="1" x14ac:dyDescent="0.35">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0" hidden="1" x14ac:dyDescent="0.35">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0" hidden="1" x14ac:dyDescent="0.35">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0" hidden="1" x14ac:dyDescent="0.35">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0" hidden="1" x14ac:dyDescent="0.35">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0" hidden="1" x14ac:dyDescent="0.35">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0" hidden="1" x14ac:dyDescent="0.35">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0" hidden="1" x14ac:dyDescent="0.35">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0" hidden="1" x14ac:dyDescent="0.35">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0" hidden="1" x14ac:dyDescent="0.35">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0" hidden="1" x14ac:dyDescent="0.35">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0" hidden="1" x14ac:dyDescent="0.35">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0" hidden="1" x14ac:dyDescent="0.35">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0" hidden="1" x14ac:dyDescent="0.35">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0" hidden="1" x14ac:dyDescent="0.35">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0" hidden="1" x14ac:dyDescent="0.35">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0" hidden="1" x14ac:dyDescent="0.35">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0" hidden="1" x14ac:dyDescent="0.35">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1640625" defaultRowHeight="10" x14ac:dyDescent="0.35"/>
  <cols>
    <col min="1" max="1" width="8.453125" style="13" bestFit="1" customWidth="1"/>
    <col min="2" max="2" width="43.54296875" style="13" bestFit="1" customWidth="1"/>
    <col min="3" max="3" width="12.54296875" style="13" bestFit="1" customWidth="1"/>
    <col min="4" max="4" width="19" style="13" bestFit="1" customWidth="1"/>
    <col min="5" max="5" width="43.54296875" style="13" bestFit="1" customWidth="1"/>
    <col min="6" max="6" width="8.81640625" style="13" bestFit="1" customWidth="1"/>
    <col min="7" max="7" width="12.453125" style="13" bestFit="1" customWidth="1"/>
    <col min="8" max="8" width="10.453125" style="16" bestFit="1" customWidth="1"/>
    <col min="9" max="9" width="36.54296875" style="13" bestFit="1" customWidth="1"/>
    <col min="10" max="10" width="20" style="13" bestFit="1" customWidth="1"/>
    <col min="11" max="11" width="10.453125" style="16" bestFit="1" customWidth="1"/>
    <col min="12" max="12" width="43.54296875" style="13" bestFit="1" customWidth="1"/>
    <col min="13" max="13" width="20" style="13" bestFit="1" customWidth="1"/>
    <col min="14" max="14" width="11.1796875" style="13" bestFit="1" customWidth="1"/>
    <col min="15" max="15" width="11.453125" style="13" bestFit="1" customWidth="1"/>
    <col min="16" max="16" width="10.453125" style="16" bestFit="1" customWidth="1"/>
    <col min="17" max="17" width="11.453125" style="16" bestFit="1" customWidth="1"/>
    <col min="18" max="18" width="4.54296875" style="13" bestFit="1" customWidth="1"/>
    <col min="19" max="16384" width="8.81640625" style="13"/>
  </cols>
  <sheetData>
    <row r="1" spans="1:18" x14ac:dyDescent="0.35">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0" x14ac:dyDescent="0.35">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0" x14ac:dyDescent="0.35">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0" x14ac:dyDescent="0.35">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0" x14ac:dyDescent="0.35">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0" x14ac:dyDescent="0.35">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0" x14ac:dyDescent="0.35">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0" x14ac:dyDescent="0.35">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0" x14ac:dyDescent="0.35">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0" x14ac:dyDescent="0.35">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0" x14ac:dyDescent="0.35">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0" x14ac:dyDescent="0.35">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0" x14ac:dyDescent="0.35">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0" x14ac:dyDescent="0.35">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0" x14ac:dyDescent="0.35">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0" x14ac:dyDescent="0.35">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0" x14ac:dyDescent="0.35">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0" x14ac:dyDescent="0.35">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0" x14ac:dyDescent="0.35">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0" x14ac:dyDescent="0.35">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0" x14ac:dyDescent="0.35">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0" x14ac:dyDescent="0.35">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0" x14ac:dyDescent="0.35">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0" x14ac:dyDescent="0.35">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0" x14ac:dyDescent="0.35">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0" x14ac:dyDescent="0.35">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0" x14ac:dyDescent="0.35">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0" x14ac:dyDescent="0.35">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0" x14ac:dyDescent="0.35">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0" x14ac:dyDescent="0.35">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0" x14ac:dyDescent="0.35">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0" x14ac:dyDescent="0.35">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0" x14ac:dyDescent="0.35">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0" x14ac:dyDescent="0.35">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0" x14ac:dyDescent="0.35">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0" x14ac:dyDescent="0.35">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0" x14ac:dyDescent="0.35">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0" x14ac:dyDescent="0.35">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0" x14ac:dyDescent="0.35">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0" x14ac:dyDescent="0.35">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0" x14ac:dyDescent="0.35">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0" x14ac:dyDescent="0.35">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0" x14ac:dyDescent="0.35">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0" x14ac:dyDescent="0.35">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0" x14ac:dyDescent="0.35">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0" x14ac:dyDescent="0.35">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0" x14ac:dyDescent="0.35">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0" x14ac:dyDescent="0.35">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0" x14ac:dyDescent="0.35">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0" x14ac:dyDescent="0.35">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0" x14ac:dyDescent="0.35">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0" x14ac:dyDescent="0.35">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0" x14ac:dyDescent="0.35">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0" x14ac:dyDescent="0.35">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0" x14ac:dyDescent="0.35">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0" x14ac:dyDescent="0.35">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0" x14ac:dyDescent="0.35">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0" x14ac:dyDescent="0.35">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0" x14ac:dyDescent="0.35">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0" x14ac:dyDescent="0.35">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0" x14ac:dyDescent="0.35">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0" x14ac:dyDescent="0.35">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0" x14ac:dyDescent="0.35">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0" x14ac:dyDescent="0.35">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0" x14ac:dyDescent="0.35">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0" x14ac:dyDescent="0.35">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0" x14ac:dyDescent="0.35">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0" x14ac:dyDescent="0.35">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0" x14ac:dyDescent="0.35">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0" x14ac:dyDescent="0.35">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0" x14ac:dyDescent="0.35">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35">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35">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35">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35">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35">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35">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35">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35">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35">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35">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35">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35">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35">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35">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35">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35">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35">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35">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0" x14ac:dyDescent="0.35">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0" x14ac:dyDescent="0.35">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0" x14ac:dyDescent="0.35">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0" x14ac:dyDescent="0.35">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0" x14ac:dyDescent="0.35">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0" x14ac:dyDescent="0.35">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0" x14ac:dyDescent="0.35">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0" x14ac:dyDescent="0.35">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0" x14ac:dyDescent="0.35">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0" x14ac:dyDescent="0.35">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0" x14ac:dyDescent="0.35">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0" x14ac:dyDescent="0.35">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0" x14ac:dyDescent="0.35">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0" x14ac:dyDescent="0.35">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0" x14ac:dyDescent="0.35">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0" x14ac:dyDescent="0.35">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0" x14ac:dyDescent="0.35">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0" x14ac:dyDescent="0.35">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0" x14ac:dyDescent="0.35">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0" x14ac:dyDescent="0.35">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0" x14ac:dyDescent="0.35">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0" x14ac:dyDescent="0.35">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0" x14ac:dyDescent="0.35">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0" x14ac:dyDescent="0.35">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0" x14ac:dyDescent="0.35">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0" x14ac:dyDescent="0.35">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0" x14ac:dyDescent="0.35">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0" x14ac:dyDescent="0.35">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0" x14ac:dyDescent="0.35">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0" x14ac:dyDescent="0.35">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0" x14ac:dyDescent="0.35">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0" x14ac:dyDescent="0.35">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0" x14ac:dyDescent="0.35">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0" x14ac:dyDescent="0.35">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0" x14ac:dyDescent="0.35">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0" x14ac:dyDescent="0.35">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40" x14ac:dyDescent="0.35">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40" x14ac:dyDescent="0.35">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0" x14ac:dyDescent="0.35">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0" x14ac:dyDescent="0.35">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40" x14ac:dyDescent="0.35">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40" x14ac:dyDescent="0.35">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0" x14ac:dyDescent="0.35">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0" x14ac:dyDescent="0.35">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0" x14ac:dyDescent="0.35">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0" x14ac:dyDescent="0.35">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0" x14ac:dyDescent="0.35">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0" x14ac:dyDescent="0.35">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35">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35">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35">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35">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35">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35">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35">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35">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35">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35">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35">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35">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35">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35">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35">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35">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35">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35">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35">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35">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35">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35">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35">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35">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35">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35">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35">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35">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35">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35">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35">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35">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35">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35">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35">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35">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35">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35">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35">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35">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35">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35">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35">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35">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35">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35">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35">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35">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35">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35">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35">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35">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35">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35">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35">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35">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35">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35">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35">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35">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35">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35">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35">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35">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35">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35">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35">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35">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35">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35">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35">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35">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35">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35">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35">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35">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35">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35">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35">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35">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35">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35">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35">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35">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35">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35">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35">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35">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35">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35">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35">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35">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35">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35">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35">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35">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35">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35">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35">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35">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35">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35">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35">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35">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35">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35">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35">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35">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35">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35">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35">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35">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35">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35">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35">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0" x14ac:dyDescent="0.35">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35">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35">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35">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35">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35">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35">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0" x14ac:dyDescent="0.35">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0" x14ac:dyDescent="0.35">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0" x14ac:dyDescent="0.35">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0" x14ac:dyDescent="0.35">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0" x14ac:dyDescent="0.35">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35">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0" x14ac:dyDescent="0.35">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0" x14ac:dyDescent="0.35">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35">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35">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35">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35">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35">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35">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35">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35">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35">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0" x14ac:dyDescent="0.35">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0" x14ac:dyDescent="0.35">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0" x14ac:dyDescent="0.35">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0" x14ac:dyDescent="0.35">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0" x14ac:dyDescent="0.35">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0" x14ac:dyDescent="0.35">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0" x14ac:dyDescent="0.35">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0" x14ac:dyDescent="0.35">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0" x14ac:dyDescent="0.35">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0" x14ac:dyDescent="0.35">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0" x14ac:dyDescent="0.35">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0" x14ac:dyDescent="0.35">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0" x14ac:dyDescent="0.35">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0" x14ac:dyDescent="0.35">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0" x14ac:dyDescent="0.35">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0" x14ac:dyDescent="0.35">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0" x14ac:dyDescent="0.35">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0" x14ac:dyDescent="0.35">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0" x14ac:dyDescent="0.35">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0" x14ac:dyDescent="0.35">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0" x14ac:dyDescent="0.35">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0" x14ac:dyDescent="0.35">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0" x14ac:dyDescent="0.35">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0" x14ac:dyDescent="0.35">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0" x14ac:dyDescent="0.35">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0" x14ac:dyDescent="0.35">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40" x14ac:dyDescent="0.35">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40" x14ac:dyDescent="0.35">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40" x14ac:dyDescent="0.35">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40" x14ac:dyDescent="0.35">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40" x14ac:dyDescent="0.35">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40" x14ac:dyDescent="0.35">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35">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0" x14ac:dyDescent="0.35">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35">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35">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35">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35">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35">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35">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35">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35">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35">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35">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35">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35">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35">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35">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35">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35">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35">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35">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35">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35">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35">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35">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35">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35">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35">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35">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35">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35">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0" x14ac:dyDescent="0.35">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50" x14ac:dyDescent="0.35">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0" x14ac:dyDescent="0.35">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0" x14ac:dyDescent="0.35">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0" x14ac:dyDescent="0.35">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35">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0" x14ac:dyDescent="0.35">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0" x14ac:dyDescent="0.35">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0" x14ac:dyDescent="0.35">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0" x14ac:dyDescent="0.35">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40" x14ac:dyDescent="0.35">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0" x14ac:dyDescent="0.35">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0" x14ac:dyDescent="0.35">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0" x14ac:dyDescent="0.35">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40" x14ac:dyDescent="0.35">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0" x14ac:dyDescent="0.35">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0" x14ac:dyDescent="0.35">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0" x14ac:dyDescent="0.35">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0" x14ac:dyDescent="0.35">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0" x14ac:dyDescent="0.35">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0" x14ac:dyDescent="0.35">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0" x14ac:dyDescent="0.35">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0" x14ac:dyDescent="0.35">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0" x14ac:dyDescent="0.35">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0" x14ac:dyDescent="0.35">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40" x14ac:dyDescent="0.35">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40" x14ac:dyDescent="0.35">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0" x14ac:dyDescent="0.35">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0" x14ac:dyDescent="0.35">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0" x14ac:dyDescent="0.35">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0" x14ac:dyDescent="0.35">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0" x14ac:dyDescent="0.35">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0" x14ac:dyDescent="0.35">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0" x14ac:dyDescent="0.35">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0" x14ac:dyDescent="0.35">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0" x14ac:dyDescent="0.35">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0" x14ac:dyDescent="0.35">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0" x14ac:dyDescent="0.35">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40" x14ac:dyDescent="0.35">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0" x14ac:dyDescent="0.35">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0" x14ac:dyDescent="0.35">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0" x14ac:dyDescent="0.35">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0" x14ac:dyDescent="0.35">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0" x14ac:dyDescent="0.35">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0" x14ac:dyDescent="0.35">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0" x14ac:dyDescent="0.35">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0" x14ac:dyDescent="0.35">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0" x14ac:dyDescent="0.35">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0" x14ac:dyDescent="0.35">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0" x14ac:dyDescent="0.35">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40" x14ac:dyDescent="0.35">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40" x14ac:dyDescent="0.35">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0" x14ac:dyDescent="0.35">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0" x14ac:dyDescent="0.35">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0" x14ac:dyDescent="0.35">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0" x14ac:dyDescent="0.35">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0" x14ac:dyDescent="0.35">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0" x14ac:dyDescent="0.35">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0" x14ac:dyDescent="0.35">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0" x14ac:dyDescent="0.35">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0" x14ac:dyDescent="0.35">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0" x14ac:dyDescent="0.35">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0" x14ac:dyDescent="0.35">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0" x14ac:dyDescent="0.35">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35">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35">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35">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35">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35">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35">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35">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35">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35">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35">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35">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35">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35">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35">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35">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35">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35">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35">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35">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35">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35">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35">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35">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35">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35">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35">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35">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35">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35">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35">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35">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35">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35">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35">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35">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35">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35">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35">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35">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35">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35">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35">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35">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35">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35">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35">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35">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35">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35">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35">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35">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35">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35">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35">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35">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35">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35">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35">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35">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35">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35">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35">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35">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0" x14ac:dyDescent="0.35">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0" x14ac:dyDescent="0.35">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0" x14ac:dyDescent="0.35">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0" x14ac:dyDescent="0.35">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0" x14ac:dyDescent="0.35">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0" x14ac:dyDescent="0.35">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0" x14ac:dyDescent="0.35">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x14ac:dyDescent="0.35">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35">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x14ac:dyDescent="0.35">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x14ac:dyDescent="0.35">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x14ac:dyDescent="0.35">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x14ac:dyDescent="0.35">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x14ac:dyDescent="0.35">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x14ac:dyDescent="0.35">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35">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x14ac:dyDescent="0.35">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x14ac:dyDescent="0.35">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x14ac:dyDescent="0.35">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0" x14ac:dyDescent="0.35">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0" x14ac:dyDescent="0.35">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0" x14ac:dyDescent="0.35">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0" x14ac:dyDescent="0.35">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0" x14ac:dyDescent="0.35">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0" x14ac:dyDescent="0.35">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0" x14ac:dyDescent="0.35">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35">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35">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35">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35">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35">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35">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35">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35">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35">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35">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35">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35">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35">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35">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35">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35">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35">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35">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35">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35">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35">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35">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35">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35">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35">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35">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35">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35">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35">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35">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35">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35">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35">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35">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35">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35">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0" x14ac:dyDescent="0.35">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0" x14ac:dyDescent="0.35">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0" x14ac:dyDescent="0.35">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20" x14ac:dyDescent="0.35">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20" x14ac:dyDescent="0.35">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20" x14ac:dyDescent="0.35">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20" x14ac:dyDescent="0.35">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20" x14ac:dyDescent="0.35">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20" x14ac:dyDescent="0.35">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20" x14ac:dyDescent="0.35">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20" x14ac:dyDescent="0.35">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20" x14ac:dyDescent="0.35">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20" x14ac:dyDescent="0.35">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20" x14ac:dyDescent="0.35">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20" x14ac:dyDescent="0.35">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20" x14ac:dyDescent="0.35">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20" x14ac:dyDescent="0.35">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20" x14ac:dyDescent="0.35">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20" x14ac:dyDescent="0.35">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20" x14ac:dyDescent="0.35">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20" x14ac:dyDescent="0.35">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20" x14ac:dyDescent="0.35">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20" x14ac:dyDescent="0.35">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20" x14ac:dyDescent="0.35">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20" x14ac:dyDescent="0.35">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20" x14ac:dyDescent="0.35">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20" x14ac:dyDescent="0.35">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20" x14ac:dyDescent="0.35">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20" x14ac:dyDescent="0.35">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20" x14ac:dyDescent="0.35">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20" x14ac:dyDescent="0.35">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20" x14ac:dyDescent="0.35">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20" x14ac:dyDescent="0.35">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0" x14ac:dyDescent="0.35">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0" x14ac:dyDescent="0.35">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0" x14ac:dyDescent="0.35">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0" x14ac:dyDescent="0.35">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0" x14ac:dyDescent="0.35">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0" x14ac:dyDescent="0.35">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0" x14ac:dyDescent="0.35">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0" x14ac:dyDescent="0.35">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0" x14ac:dyDescent="0.35">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0" x14ac:dyDescent="0.35">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0" x14ac:dyDescent="0.35">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0" x14ac:dyDescent="0.35">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0" x14ac:dyDescent="0.35">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0" x14ac:dyDescent="0.35">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0" x14ac:dyDescent="0.35">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0" x14ac:dyDescent="0.35">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0" x14ac:dyDescent="0.35">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0" x14ac:dyDescent="0.35">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0" x14ac:dyDescent="0.35">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0" x14ac:dyDescent="0.35">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0" x14ac:dyDescent="0.35">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0" x14ac:dyDescent="0.35">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0" x14ac:dyDescent="0.35">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0" x14ac:dyDescent="0.35">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0" x14ac:dyDescent="0.35">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0" x14ac:dyDescent="0.35">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0" x14ac:dyDescent="0.35">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0" x14ac:dyDescent="0.35">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0" x14ac:dyDescent="0.35">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0" x14ac:dyDescent="0.35">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0" x14ac:dyDescent="0.35">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35">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35">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35">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35">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35">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35">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35">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35">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35">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35">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35">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35">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35">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35">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35">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35">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35">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35">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35">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35">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35">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35">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35">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35">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35">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35">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35">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35">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35">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35">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35">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35">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35">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35">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35">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35">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35">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35">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35">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35">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35">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35">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35">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35">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35">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35">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35">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35">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35">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35">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35">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35">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35">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35">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35">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35">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35">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35">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35">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35">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0" x14ac:dyDescent="0.35">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35">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35">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35">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35">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35">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35">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35">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35">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35">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35">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35">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35">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35">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35">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35">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35">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35">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35">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35">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35">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35">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35">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35">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35">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35">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35">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35">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35">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35">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20" x14ac:dyDescent="0.35">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20" x14ac:dyDescent="0.35">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20" x14ac:dyDescent="0.35">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20" x14ac:dyDescent="0.35">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20" x14ac:dyDescent="0.35">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20" x14ac:dyDescent="0.35">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20" x14ac:dyDescent="0.35">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20" x14ac:dyDescent="0.35">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35">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35">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35">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35">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35">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35">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0" x14ac:dyDescent="0.35">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35">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0" x14ac:dyDescent="0.35">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35">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0" x14ac:dyDescent="0.35">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0" x14ac:dyDescent="0.35">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0" x14ac:dyDescent="0.35">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0" x14ac:dyDescent="0.35">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35">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0" x14ac:dyDescent="0.35">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0" x14ac:dyDescent="0.35">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0" x14ac:dyDescent="0.35">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0" x14ac:dyDescent="0.35">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0" x14ac:dyDescent="0.35">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35">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0" x14ac:dyDescent="0.35">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35">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0" x14ac:dyDescent="0.35">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0" x14ac:dyDescent="0.35">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0" x14ac:dyDescent="0.35">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0" x14ac:dyDescent="0.35">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0" x14ac:dyDescent="0.35">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0" x14ac:dyDescent="0.35">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0" x14ac:dyDescent="0.35">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0" x14ac:dyDescent="0.35">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0" x14ac:dyDescent="0.35">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0" x14ac:dyDescent="0.35">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35">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0" x14ac:dyDescent="0.35">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0" x14ac:dyDescent="0.35">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35">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35">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35">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35">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0" x14ac:dyDescent="0.35">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0" x14ac:dyDescent="0.35">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0" x14ac:dyDescent="0.35">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35">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0" x14ac:dyDescent="0.35">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0" x14ac:dyDescent="0.35">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0" x14ac:dyDescent="0.35">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0" x14ac:dyDescent="0.35">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0" x14ac:dyDescent="0.35">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0" x14ac:dyDescent="0.35">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35">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35">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35">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35">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35">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35">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35">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0" x14ac:dyDescent="0.35">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20" x14ac:dyDescent="0.35">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20" x14ac:dyDescent="0.35">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20" x14ac:dyDescent="0.35">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20" x14ac:dyDescent="0.35">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20" x14ac:dyDescent="0.35">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20" x14ac:dyDescent="0.35">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20" x14ac:dyDescent="0.35">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20" x14ac:dyDescent="0.35">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20" x14ac:dyDescent="0.35">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0" x14ac:dyDescent="0.35">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0" x14ac:dyDescent="0.35">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0" x14ac:dyDescent="0.35">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0" x14ac:dyDescent="0.35">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0" x14ac:dyDescent="0.35">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0" x14ac:dyDescent="0.35">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0" x14ac:dyDescent="0.35">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0" x14ac:dyDescent="0.35">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0" x14ac:dyDescent="0.35">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35">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0" x14ac:dyDescent="0.35">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35">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0" x14ac:dyDescent="0.35">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35">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0" x14ac:dyDescent="0.35">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0" x14ac:dyDescent="0.35">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35">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0" x14ac:dyDescent="0.35">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35">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0" x14ac:dyDescent="0.35">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0" x14ac:dyDescent="0.35">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35">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0" x14ac:dyDescent="0.35">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35">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0" x14ac:dyDescent="0.35">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35">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0" x14ac:dyDescent="0.35">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35">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0" x14ac:dyDescent="0.35">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35">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35">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35">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0" x14ac:dyDescent="0.35">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0" x14ac:dyDescent="0.35">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35">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35">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0" x14ac:dyDescent="0.35">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0" x14ac:dyDescent="0.35">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35">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0" x14ac:dyDescent="0.35">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35">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0" x14ac:dyDescent="0.35">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0" x14ac:dyDescent="0.35">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0" x14ac:dyDescent="0.35">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0" x14ac:dyDescent="0.35">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0" x14ac:dyDescent="0.35">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0" x14ac:dyDescent="0.35">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0" x14ac:dyDescent="0.35">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0" x14ac:dyDescent="0.35">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20" x14ac:dyDescent="0.35">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0" x14ac:dyDescent="0.35">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35">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35">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35">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35">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35">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35">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0" x14ac:dyDescent="0.35">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0" x14ac:dyDescent="0.35">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0" x14ac:dyDescent="0.35">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0" x14ac:dyDescent="0.35">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0" x14ac:dyDescent="0.35">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0" x14ac:dyDescent="0.35">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0" x14ac:dyDescent="0.35">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0" x14ac:dyDescent="0.35">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0" x14ac:dyDescent="0.35">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0" x14ac:dyDescent="0.35">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0" x14ac:dyDescent="0.35">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0" x14ac:dyDescent="0.35">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0" x14ac:dyDescent="0.35">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0" x14ac:dyDescent="0.35">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0" x14ac:dyDescent="0.35">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35">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35">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35">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0" x14ac:dyDescent="0.35">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0" x14ac:dyDescent="0.35">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0" x14ac:dyDescent="0.35">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0" x14ac:dyDescent="0.35">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0" x14ac:dyDescent="0.35">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35">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35">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35">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35">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35">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35">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0" x14ac:dyDescent="0.35">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0" x14ac:dyDescent="0.35">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0" x14ac:dyDescent="0.35">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0" x14ac:dyDescent="0.35">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0" x14ac:dyDescent="0.35">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0" x14ac:dyDescent="0.35">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35">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35">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35">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35">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35">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35">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35">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35">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35">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35">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35">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35">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35">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35">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20" x14ac:dyDescent="0.35">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20" x14ac:dyDescent="0.35">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20" x14ac:dyDescent="0.35">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35">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35">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35">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35">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35">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35">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20" x14ac:dyDescent="0.35">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20" x14ac:dyDescent="0.35">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20" x14ac:dyDescent="0.35">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20" x14ac:dyDescent="0.35">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20" x14ac:dyDescent="0.35">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20" x14ac:dyDescent="0.35">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20" x14ac:dyDescent="0.35">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20" x14ac:dyDescent="0.35">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20" x14ac:dyDescent="0.35">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35">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35">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35">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20" x14ac:dyDescent="0.35">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20" x14ac:dyDescent="0.35">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35">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35">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35">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35">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0" x14ac:dyDescent="0.35">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0" x14ac:dyDescent="0.35">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0" x14ac:dyDescent="0.35">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0" x14ac:dyDescent="0.35">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0" x14ac:dyDescent="0.35">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0" x14ac:dyDescent="0.35">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0" x14ac:dyDescent="0.35">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0" x14ac:dyDescent="0.35">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0" x14ac:dyDescent="0.35">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0" x14ac:dyDescent="0.35">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0" x14ac:dyDescent="0.35">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0" x14ac:dyDescent="0.35">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0" x14ac:dyDescent="0.35">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0" x14ac:dyDescent="0.35">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0" x14ac:dyDescent="0.35">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0" x14ac:dyDescent="0.35">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0" x14ac:dyDescent="0.35">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20" x14ac:dyDescent="0.35">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0" x14ac:dyDescent="0.35">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20" x14ac:dyDescent="0.35">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0" x14ac:dyDescent="0.35">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0" x14ac:dyDescent="0.35">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0" x14ac:dyDescent="0.35">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20" x14ac:dyDescent="0.35">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0" x14ac:dyDescent="0.35">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0" x14ac:dyDescent="0.35">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20" x14ac:dyDescent="0.35">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20" x14ac:dyDescent="0.35">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20" x14ac:dyDescent="0.35">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20" x14ac:dyDescent="0.35">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20" x14ac:dyDescent="0.35">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20" x14ac:dyDescent="0.35">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20" x14ac:dyDescent="0.35">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20" x14ac:dyDescent="0.35">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20" x14ac:dyDescent="0.35">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20" x14ac:dyDescent="0.35">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20" x14ac:dyDescent="0.35">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20" x14ac:dyDescent="0.35">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20" x14ac:dyDescent="0.35">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20" x14ac:dyDescent="0.35">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20" x14ac:dyDescent="0.35">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0" x14ac:dyDescent="0.35">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20" x14ac:dyDescent="0.35">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20" x14ac:dyDescent="0.35">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20" x14ac:dyDescent="0.35">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20" x14ac:dyDescent="0.35">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20" x14ac:dyDescent="0.35">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0" x14ac:dyDescent="0.35">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0" x14ac:dyDescent="0.35">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0" x14ac:dyDescent="0.35">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20" x14ac:dyDescent="0.35">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20" x14ac:dyDescent="0.35">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20" x14ac:dyDescent="0.35">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20" x14ac:dyDescent="0.35">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20" x14ac:dyDescent="0.35">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20" x14ac:dyDescent="0.35">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0" x14ac:dyDescent="0.35">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0" x14ac:dyDescent="0.35">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0" x14ac:dyDescent="0.35">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0" x14ac:dyDescent="0.35">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0" x14ac:dyDescent="0.35">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0" x14ac:dyDescent="0.35">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0" x14ac:dyDescent="0.35">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0" x14ac:dyDescent="0.35">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0" x14ac:dyDescent="0.35">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0" x14ac:dyDescent="0.35">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20" x14ac:dyDescent="0.35">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20" x14ac:dyDescent="0.35">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20" x14ac:dyDescent="0.35">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20" x14ac:dyDescent="0.35">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20" x14ac:dyDescent="0.35">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20" x14ac:dyDescent="0.35">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20" x14ac:dyDescent="0.35">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20" x14ac:dyDescent="0.35">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20" x14ac:dyDescent="0.35">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20" x14ac:dyDescent="0.35">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20" x14ac:dyDescent="0.35">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0" x14ac:dyDescent="0.35">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0" x14ac:dyDescent="0.35">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0" x14ac:dyDescent="0.35">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0" x14ac:dyDescent="0.35">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0" x14ac:dyDescent="0.35">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0" x14ac:dyDescent="0.35">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0" x14ac:dyDescent="0.35">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0" x14ac:dyDescent="0.35">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0" x14ac:dyDescent="0.35">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0" x14ac:dyDescent="0.35">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0" x14ac:dyDescent="0.35">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0" x14ac:dyDescent="0.35">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0" x14ac:dyDescent="0.35">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0" x14ac:dyDescent="0.35">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0" x14ac:dyDescent="0.35">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0" x14ac:dyDescent="0.35">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0" x14ac:dyDescent="0.35">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0" x14ac:dyDescent="0.35">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20" x14ac:dyDescent="0.35">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20" x14ac:dyDescent="0.35">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20" x14ac:dyDescent="0.35">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20" x14ac:dyDescent="0.35">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20" x14ac:dyDescent="0.35">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20" x14ac:dyDescent="0.35">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20" x14ac:dyDescent="0.35">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20" x14ac:dyDescent="0.35">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20" x14ac:dyDescent="0.35">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20" x14ac:dyDescent="0.35">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20" x14ac:dyDescent="0.35">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20" x14ac:dyDescent="0.35">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20" x14ac:dyDescent="0.35">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20" x14ac:dyDescent="0.35">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20" x14ac:dyDescent="0.35">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0" x14ac:dyDescent="0.35">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0" x14ac:dyDescent="0.35">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0" x14ac:dyDescent="0.35">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0" x14ac:dyDescent="0.35">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0" x14ac:dyDescent="0.35">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0" x14ac:dyDescent="0.35">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0" x14ac:dyDescent="0.35">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0" x14ac:dyDescent="0.35">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0" x14ac:dyDescent="0.35">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0" x14ac:dyDescent="0.35">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0" x14ac:dyDescent="0.35">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0" x14ac:dyDescent="0.35">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0" x14ac:dyDescent="0.35">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0" x14ac:dyDescent="0.35">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0" x14ac:dyDescent="0.35">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0" x14ac:dyDescent="0.35">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0" x14ac:dyDescent="0.35">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0" x14ac:dyDescent="0.35">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0" x14ac:dyDescent="0.35">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0" x14ac:dyDescent="0.35">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0" x14ac:dyDescent="0.35">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0" x14ac:dyDescent="0.35">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0" x14ac:dyDescent="0.35">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0" x14ac:dyDescent="0.35">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30" x14ac:dyDescent="0.35">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0" x14ac:dyDescent="0.35">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0" x14ac:dyDescent="0.35">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0" x14ac:dyDescent="0.35">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0" x14ac:dyDescent="0.35">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0" x14ac:dyDescent="0.35">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0" x14ac:dyDescent="0.35">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0" x14ac:dyDescent="0.35">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0" x14ac:dyDescent="0.35">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30" x14ac:dyDescent="0.35">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0" x14ac:dyDescent="0.35">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0" x14ac:dyDescent="0.35">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0" x14ac:dyDescent="0.35">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0" x14ac:dyDescent="0.35">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0" x14ac:dyDescent="0.35">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20" x14ac:dyDescent="0.35">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20" x14ac:dyDescent="0.35">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20" x14ac:dyDescent="0.35">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20" x14ac:dyDescent="0.35">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20" x14ac:dyDescent="0.35">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20" x14ac:dyDescent="0.35">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20" x14ac:dyDescent="0.35">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20" x14ac:dyDescent="0.35">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20" x14ac:dyDescent="0.35">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20" x14ac:dyDescent="0.35">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20" x14ac:dyDescent="0.35">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0" x14ac:dyDescent="0.35">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35">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20" x14ac:dyDescent="0.35">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0" x14ac:dyDescent="0.35">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0" x14ac:dyDescent="0.35">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0" x14ac:dyDescent="0.35">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0" x14ac:dyDescent="0.35">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0" x14ac:dyDescent="0.35">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0" x14ac:dyDescent="0.35">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0" x14ac:dyDescent="0.35">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0" x14ac:dyDescent="0.35">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0" x14ac:dyDescent="0.35">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0" x14ac:dyDescent="0.35">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0" x14ac:dyDescent="0.35">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0" x14ac:dyDescent="0.35">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0" x14ac:dyDescent="0.35">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0" x14ac:dyDescent="0.35">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0" x14ac:dyDescent="0.35">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0" x14ac:dyDescent="0.35">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0" x14ac:dyDescent="0.35">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0" x14ac:dyDescent="0.35">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0" x14ac:dyDescent="0.35">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0" x14ac:dyDescent="0.35">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0" x14ac:dyDescent="0.35">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0" x14ac:dyDescent="0.35">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0" x14ac:dyDescent="0.35">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0" x14ac:dyDescent="0.35">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0" x14ac:dyDescent="0.35">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0" x14ac:dyDescent="0.35">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0" x14ac:dyDescent="0.35">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0" x14ac:dyDescent="0.35">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0" x14ac:dyDescent="0.35">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0" x14ac:dyDescent="0.35">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0" x14ac:dyDescent="0.35">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0" x14ac:dyDescent="0.35">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20" x14ac:dyDescent="0.35">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0" x14ac:dyDescent="0.35">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0" x14ac:dyDescent="0.35">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0" x14ac:dyDescent="0.35">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0" x14ac:dyDescent="0.35">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35">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0" x14ac:dyDescent="0.35">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35">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0" x14ac:dyDescent="0.35">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35">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0" x14ac:dyDescent="0.35">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0" x14ac:dyDescent="0.35">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35">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35">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0" x14ac:dyDescent="0.35">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35">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35">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35">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35">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35">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35">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0" x14ac:dyDescent="0.35">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0" x14ac:dyDescent="0.35">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0" x14ac:dyDescent="0.35">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0" x14ac:dyDescent="0.35">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0" x14ac:dyDescent="0.35">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0" x14ac:dyDescent="0.35">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0" x14ac:dyDescent="0.35">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0" x14ac:dyDescent="0.35">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0" x14ac:dyDescent="0.35">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0" x14ac:dyDescent="0.35">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0" x14ac:dyDescent="0.35">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35">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x14ac:dyDescent="0.35">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0" x14ac:dyDescent="0.35">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0" x14ac:dyDescent="0.35">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0" x14ac:dyDescent="0.35">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0" x14ac:dyDescent="0.35">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0" x14ac:dyDescent="0.35">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0" x14ac:dyDescent="0.35">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35">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0" x14ac:dyDescent="0.35">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0" x14ac:dyDescent="0.35">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0" x14ac:dyDescent="0.35">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0" x14ac:dyDescent="0.35">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0" x14ac:dyDescent="0.35">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0" x14ac:dyDescent="0.35">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0" x14ac:dyDescent="0.35">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0" x14ac:dyDescent="0.35">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35">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35">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0" x14ac:dyDescent="0.35">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0" x14ac:dyDescent="0.35">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0" x14ac:dyDescent="0.35">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0" x14ac:dyDescent="0.35">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0" x14ac:dyDescent="0.35">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0" x14ac:dyDescent="0.35">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0" x14ac:dyDescent="0.35">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35">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0" x14ac:dyDescent="0.35">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0" x14ac:dyDescent="0.35">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x14ac:dyDescent="0.35">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0" x14ac:dyDescent="0.35">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0" x14ac:dyDescent="0.35">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0" x14ac:dyDescent="0.35">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0" x14ac:dyDescent="0.35">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0" x14ac:dyDescent="0.35">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0" x14ac:dyDescent="0.35">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0" x14ac:dyDescent="0.35">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0" x14ac:dyDescent="0.35">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0" x14ac:dyDescent="0.35">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0" x14ac:dyDescent="0.35">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35">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0" x14ac:dyDescent="0.35">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0" x14ac:dyDescent="0.35">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0" x14ac:dyDescent="0.35">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0" x14ac:dyDescent="0.35">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0" x14ac:dyDescent="0.35">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0" x14ac:dyDescent="0.35">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x14ac:dyDescent="0.35">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0" x14ac:dyDescent="0.35">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35">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35">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35">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35">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0" x14ac:dyDescent="0.35">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35">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35">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35">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35">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35">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35">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35">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35">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35">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35">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35">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35">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35">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35">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35">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35">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35">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35">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35">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35">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35">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35">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35">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35">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35">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35">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35">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35">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35">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35">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35">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35">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35">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35">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35">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35">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35">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35">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35">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35">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0" x14ac:dyDescent="0.35">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0" x14ac:dyDescent="0.35">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0" x14ac:dyDescent="0.35">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0" x14ac:dyDescent="0.35">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35">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35">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35">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35">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35">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0" x14ac:dyDescent="0.35">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35">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0" x14ac:dyDescent="0.35">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35">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0" x14ac:dyDescent="0.35">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0" x14ac:dyDescent="0.35">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0" x14ac:dyDescent="0.35">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0" x14ac:dyDescent="0.35">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0" x14ac:dyDescent="0.35">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0" x14ac:dyDescent="0.35">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0" x14ac:dyDescent="0.35">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0" x14ac:dyDescent="0.35">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0" x14ac:dyDescent="0.35">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0" x14ac:dyDescent="0.35">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0" x14ac:dyDescent="0.35">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0" x14ac:dyDescent="0.35">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0" x14ac:dyDescent="0.35">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0" x14ac:dyDescent="0.35">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0" x14ac:dyDescent="0.35">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0" x14ac:dyDescent="0.35">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35">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0" x14ac:dyDescent="0.35">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0" x14ac:dyDescent="0.35">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0" x14ac:dyDescent="0.35">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0" x14ac:dyDescent="0.35">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0" x14ac:dyDescent="0.35">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0" x14ac:dyDescent="0.35">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0" x14ac:dyDescent="0.35">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0" x14ac:dyDescent="0.35">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0" x14ac:dyDescent="0.35">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0" x14ac:dyDescent="0.35">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0" x14ac:dyDescent="0.35">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35">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35">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35">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35">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35">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35">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35">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35">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35">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35">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35">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35">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35">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35">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35">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35">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0" x14ac:dyDescent="0.35">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0" x14ac:dyDescent="0.35">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0" x14ac:dyDescent="0.35">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0" x14ac:dyDescent="0.35">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35">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0" x14ac:dyDescent="0.35">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0" x14ac:dyDescent="0.35">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0" x14ac:dyDescent="0.35">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0" x14ac:dyDescent="0.35">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0" x14ac:dyDescent="0.35">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0" x14ac:dyDescent="0.35">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0" x14ac:dyDescent="0.35">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0" x14ac:dyDescent="0.35">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0" x14ac:dyDescent="0.35">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0" x14ac:dyDescent="0.35">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0" x14ac:dyDescent="0.35">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0" x14ac:dyDescent="0.35">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35">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35">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35">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35">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35">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35">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35">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35">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35">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35">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35">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35">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35">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35">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35">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35">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35">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35">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35">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35">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35">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35">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35">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35">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35">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35">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35">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35">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35">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35">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35">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35">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35">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35">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35">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35">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35">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35">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35">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35">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35">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35">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35">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35">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35">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35">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35">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35">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35">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35">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35">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35">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35">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35">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35">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35">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35">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35">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35">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35">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35">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35">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35">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35">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35">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35">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35">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35">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35">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35">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35">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35">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35">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35">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0" x14ac:dyDescent="0.35">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0" x14ac:dyDescent="0.35">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35">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35">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35">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x14ac:dyDescent="0.35">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35">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x14ac:dyDescent="0.35">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35">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x14ac:dyDescent="0.35">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x14ac:dyDescent="0.35">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x14ac:dyDescent="0.35">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35">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35">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35">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35">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x14ac:dyDescent="0.35">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35">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35">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x14ac:dyDescent="0.35">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35">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35">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x14ac:dyDescent="0.35">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35">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35">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35">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35">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35">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35">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35">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35">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35">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35">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35">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35">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35">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35">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35">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35">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x14ac:dyDescent="0.35">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x14ac:dyDescent="0.35">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35">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x14ac:dyDescent="0.35">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x14ac:dyDescent="0.35">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35">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35">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35">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35">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35">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35">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35">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35">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35">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35">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35">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35">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35">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x14ac:dyDescent="0.35">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35">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0" x14ac:dyDescent="0.35">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0" x14ac:dyDescent="0.35">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35">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35">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35">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35">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35">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35">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35">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35">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35">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35">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35">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35">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35">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35">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35">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35">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35">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35">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35">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35">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35">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35">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35">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35">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35">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35">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35">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35">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35">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35">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35">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35">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35">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35">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35">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35">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35">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35">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35">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35">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35">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35">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35">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35">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35">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35">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35">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35">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35">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35">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35">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35">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35">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35">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35">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35">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35">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35">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35">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35">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35">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35">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35">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35">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35">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35">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35">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35">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35">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35">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35">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35">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35">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35">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35">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35">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35">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35">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35">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35">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35">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35">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35">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35">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35">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35">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35">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35">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35">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35">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35">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35">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35">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35">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35">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35">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35">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35">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35">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35">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35">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35">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35">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35">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35">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35">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35">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35">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35">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35">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35">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35">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35">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35">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35">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35">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35">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35">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35">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35">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35">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35">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35">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35">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35">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35">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35">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35">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35">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35">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35">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35">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35">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35">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35">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35">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35">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35">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35">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35">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35">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35">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35">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35">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35">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35">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35">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35">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35">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35">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35">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35">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35">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35">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35">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35">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35">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35">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35">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35">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35">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35">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35">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35">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35">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35">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35">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35">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35">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35">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35">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35">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35">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35">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35">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35">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35">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35">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35">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35">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35">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35">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35">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35">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35">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35">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35">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35">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35">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35">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35">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35">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35">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35">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35">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35">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35">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35">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35">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35">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35">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35">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35">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35">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x14ac:dyDescent="0.35">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35">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35">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35">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35">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35">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35">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35">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35">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35">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35">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35">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35">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35">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35">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35">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35">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35">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35">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35">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35">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35">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35">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35">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35">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35">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35">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35">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35">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35">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35">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35">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35">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35">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35">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35">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35">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35">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35">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35">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35">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35">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35">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35">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35">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35">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35">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35">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35">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35">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35">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35">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35">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35">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35">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35">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35">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35">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35">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35">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35">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35">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35">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35">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35">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0" x14ac:dyDescent="0.35">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0" x14ac:dyDescent="0.35">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0" x14ac:dyDescent="0.35">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0" x14ac:dyDescent="0.35">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20" x14ac:dyDescent="0.35">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20" x14ac:dyDescent="0.35">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20" x14ac:dyDescent="0.35">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35">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35">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35">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35">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0" x14ac:dyDescent="0.35">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0" x14ac:dyDescent="0.35">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35">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0" x14ac:dyDescent="0.35">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35">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35">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0" x14ac:dyDescent="0.35">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35">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x14ac:dyDescent="0.35">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35">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x14ac:dyDescent="0.35">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x14ac:dyDescent="0.35">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x14ac:dyDescent="0.35">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x14ac:dyDescent="0.35">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x14ac:dyDescent="0.35">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x14ac:dyDescent="0.35">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x14ac:dyDescent="0.35">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x14ac:dyDescent="0.35">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x14ac:dyDescent="0.35">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x14ac:dyDescent="0.35">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x14ac:dyDescent="0.35">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x14ac:dyDescent="0.35">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x14ac:dyDescent="0.35">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x14ac:dyDescent="0.35">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x14ac:dyDescent="0.35">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x14ac:dyDescent="0.35">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x14ac:dyDescent="0.35">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x14ac:dyDescent="0.35">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x14ac:dyDescent="0.35">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x14ac:dyDescent="0.35">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x14ac:dyDescent="0.35">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x14ac:dyDescent="0.35">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x14ac:dyDescent="0.35">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x14ac:dyDescent="0.35">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x14ac:dyDescent="0.35">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x14ac:dyDescent="0.35">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x14ac:dyDescent="0.35">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x14ac:dyDescent="0.35">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x14ac:dyDescent="0.35">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x14ac:dyDescent="0.35">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x14ac:dyDescent="0.35">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x14ac:dyDescent="0.35">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x14ac:dyDescent="0.35">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x14ac:dyDescent="0.35">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x14ac:dyDescent="0.35">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x14ac:dyDescent="0.35">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0" x14ac:dyDescent="0.35">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35">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35">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35">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35">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35">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0" x14ac:dyDescent="0.35">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0" x14ac:dyDescent="0.35">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0" x14ac:dyDescent="0.35">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0" x14ac:dyDescent="0.35">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0" x14ac:dyDescent="0.35">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0" x14ac:dyDescent="0.35">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0" x14ac:dyDescent="0.35">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0" x14ac:dyDescent="0.35">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0" x14ac:dyDescent="0.35">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0" x14ac:dyDescent="0.35">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0" x14ac:dyDescent="0.35">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35">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35">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35">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35">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x14ac:dyDescent="0.35">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x14ac:dyDescent="0.35">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x14ac:dyDescent="0.35">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x14ac:dyDescent="0.35">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x14ac:dyDescent="0.35">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x14ac:dyDescent="0.35">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x14ac:dyDescent="0.35">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x14ac:dyDescent="0.35">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x14ac:dyDescent="0.35">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x14ac:dyDescent="0.35">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x14ac:dyDescent="0.35">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35">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35">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35">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35">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35">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35">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35">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35">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35">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35">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35">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35">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35">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35">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35">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35">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35">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35">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35">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35">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35">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x14ac:dyDescent="0.35">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x14ac:dyDescent="0.35">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x14ac:dyDescent="0.35">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x14ac:dyDescent="0.35">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x14ac:dyDescent="0.35">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x14ac:dyDescent="0.35">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x14ac:dyDescent="0.35">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x14ac:dyDescent="0.35">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x14ac:dyDescent="0.35">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x14ac:dyDescent="0.35">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x14ac:dyDescent="0.35">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x14ac:dyDescent="0.35">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x14ac:dyDescent="0.35">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x14ac:dyDescent="0.35">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x14ac:dyDescent="0.35">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x14ac:dyDescent="0.35">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x14ac:dyDescent="0.35">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x14ac:dyDescent="0.35">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x14ac:dyDescent="0.35">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x14ac:dyDescent="0.35">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x14ac:dyDescent="0.35">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x14ac:dyDescent="0.35">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x14ac:dyDescent="0.35">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x14ac:dyDescent="0.35">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x14ac:dyDescent="0.35">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x14ac:dyDescent="0.35">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x14ac:dyDescent="0.35">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x14ac:dyDescent="0.35">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35">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35">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35">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35">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35">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35">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35">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35">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35">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35">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35">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35">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35">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35">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35">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35">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35">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35">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35">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35">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35">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35">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35">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35">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35">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35">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35">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35">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35">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35">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35">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35">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35">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35">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35">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35">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35">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35">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35">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35">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35">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35">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35">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35">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35">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35">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35">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35">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35">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35">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35">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35">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35">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35">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35">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35">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35">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35">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35">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35">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35">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35">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35">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35">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35">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35">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35">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35">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35">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35">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35">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35">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35">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35">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35">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35">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35">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35">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35">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35">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35">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35">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35">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35">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35">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35">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35">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35">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35">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35">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35">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35">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35">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35">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35">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35">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35">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35">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35">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35">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35">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35">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35">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35">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35">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35">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35">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35">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35">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35">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35">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35">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35">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35">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35">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35">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35">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35">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35">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35">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35">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35">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35">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35">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35">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35">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35">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35">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35">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35">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35">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35">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35">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35">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35">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35">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35">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35">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35">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35">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35">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35">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35">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35">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35">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35">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0" x14ac:dyDescent="0.35">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35">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0" x14ac:dyDescent="0.35">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0" x14ac:dyDescent="0.35">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35">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0" x14ac:dyDescent="0.35">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35">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35">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35">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35">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35">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35">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35">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35">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35">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35">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35">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35">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35">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35">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35">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35">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35">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35">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35">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0" x14ac:dyDescent="0.35">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0" x14ac:dyDescent="0.35">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35">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35">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35">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35">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35">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35">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35">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35">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35">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35">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35">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35">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35">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35">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35">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35">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35">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35">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35">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35">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35">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35">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35">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35">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35">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35">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35">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35">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35">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35">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35">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35">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35">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35">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35">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35">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35">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35">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35">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35">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35">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35">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35">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35">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35">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35">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35">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35">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35">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35">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35">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35">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35">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35">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35">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35">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35">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35">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35">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35">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35">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35">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35">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35">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35">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35">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35">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35">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35">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35">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35">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35">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35">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35">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35">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35">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35">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35">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35">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35">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35">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35">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35">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35">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35">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35">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35">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35">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35">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35">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35">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35">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35">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35">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35">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35">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35">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0" x14ac:dyDescent="0.35">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35">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0" x14ac:dyDescent="0.35">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35">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35">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35">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0" x14ac:dyDescent="0.35">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35">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35">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35">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35">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35">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35">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35">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35">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35">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35">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35">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35">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35">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35">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35">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35">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35">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35">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35">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x14ac:dyDescent="0.35">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x14ac:dyDescent="0.35">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x14ac:dyDescent="0.35">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x14ac:dyDescent="0.35">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x14ac:dyDescent="0.35">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x14ac:dyDescent="0.35">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x14ac:dyDescent="0.35">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x14ac:dyDescent="0.35">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x14ac:dyDescent="0.35">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x14ac:dyDescent="0.35">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x14ac:dyDescent="0.35">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x14ac:dyDescent="0.35">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x14ac:dyDescent="0.35">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0" x14ac:dyDescent="0.35">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x14ac:dyDescent="0.35">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35">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x14ac:dyDescent="0.35">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x14ac:dyDescent="0.35">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x14ac:dyDescent="0.35">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x14ac:dyDescent="0.35">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0" x14ac:dyDescent="0.35">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35">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x14ac:dyDescent="0.35">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x14ac:dyDescent="0.35">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x14ac:dyDescent="0.35">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x14ac:dyDescent="0.35">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x14ac:dyDescent="0.35">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x14ac:dyDescent="0.35">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0" x14ac:dyDescent="0.35">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0" x14ac:dyDescent="0.35">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0" x14ac:dyDescent="0.35">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x14ac:dyDescent="0.35">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x14ac:dyDescent="0.35">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0" x14ac:dyDescent="0.35">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x14ac:dyDescent="0.35">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x14ac:dyDescent="0.35">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0" x14ac:dyDescent="0.35">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x14ac:dyDescent="0.35">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x14ac:dyDescent="0.35">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x14ac:dyDescent="0.35">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x14ac:dyDescent="0.35">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0" x14ac:dyDescent="0.35">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x14ac:dyDescent="0.35">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x14ac:dyDescent="0.35">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x14ac:dyDescent="0.35">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x14ac:dyDescent="0.35">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x14ac:dyDescent="0.35">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x14ac:dyDescent="0.35">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x14ac:dyDescent="0.35">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x14ac:dyDescent="0.35">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x14ac:dyDescent="0.35">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0" x14ac:dyDescent="0.35">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0" x14ac:dyDescent="0.35">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35">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x14ac:dyDescent="0.35">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x14ac:dyDescent="0.35">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x14ac:dyDescent="0.35">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x14ac:dyDescent="0.35">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35">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35">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0" x14ac:dyDescent="0.35">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0" x14ac:dyDescent="0.35">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0" x14ac:dyDescent="0.35">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0" x14ac:dyDescent="0.35">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0" x14ac:dyDescent="0.35">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0" x14ac:dyDescent="0.35">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0" x14ac:dyDescent="0.35">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0" x14ac:dyDescent="0.35">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0" x14ac:dyDescent="0.35">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35">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0" x14ac:dyDescent="0.35">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0" x14ac:dyDescent="0.35">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0" x14ac:dyDescent="0.35">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0" x14ac:dyDescent="0.35">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35">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0" x14ac:dyDescent="0.35">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0" x14ac:dyDescent="0.35">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0" x14ac:dyDescent="0.35">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0" x14ac:dyDescent="0.35">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0" x14ac:dyDescent="0.35">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0" x14ac:dyDescent="0.35">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0" x14ac:dyDescent="0.35">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0" x14ac:dyDescent="0.35">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0" x14ac:dyDescent="0.35">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0" x14ac:dyDescent="0.35">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0" x14ac:dyDescent="0.35">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0" x14ac:dyDescent="0.35">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0" x14ac:dyDescent="0.35">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0" x14ac:dyDescent="0.35">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0" x14ac:dyDescent="0.35">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0" x14ac:dyDescent="0.35">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35">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0" x14ac:dyDescent="0.35">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0" x14ac:dyDescent="0.35">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0" x14ac:dyDescent="0.35">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0" x14ac:dyDescent="0.35">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0" x14ac:dyDescent="0.35">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35">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35">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35">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35">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0" x14ac:dyDescent="0.35">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35">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35">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0" x14ac:dyDescent="0.35">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x14ac:dyDescent="0.35">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0" x14ac:dyDescent="0.35">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0" x14ac:dyDescent="0.35">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0" x14ac:dyDescent="0.35">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35">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35">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35">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35">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35">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35">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x14ac:dyDescent="0.35">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0" x14ac:dyDescent="0.35">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x14ac:dyDescent="0.35">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x14ac:dyDescent="0.35">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x14ac:dyDescent="0.35">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0" x14ac:dyDescent="0.35">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0" x14ac:dyDescent="0.35">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x14ac:dyDescent="0.35">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x14ac:dyDescent="0.35">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x14ac:dyDescent="0.35">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35">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35">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0" x14ac:dyDescent="0.35">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x14ac:dyDescent="0.35">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x14ac:dyDescent="0.35">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x14ac:dyDescent="0.35">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35">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0" x14ac:dyDescent="0.35">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0" x14ac:dyDescent="0.35">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0" x14ac:dyDescent="0.35">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0" x14ac:dyDescent="0.35">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0" x14ac:dyDescent="0.35">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0" x14ac:dyDescent="0.35">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0" x14ac:dyDescent="0.35">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0" x14ac:dyDescent="0.35">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0" x14ac:dyDescent="0.35">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0" x14ac:dyDescent="0.35">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0" x14ac:dyDescent="0.35">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x14ac:dyDescent="0.35">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x14ac:dyDescent="0.35">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x14ac:dyDescent="0.35">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0" x14ac:dyDescent="0.35">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0" x14ac:dyDescent="0.35">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0" x14ac:dyDescent="0.35">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0" x14ac:dyDescent="0.35">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x14ac:dyDescent="0.35">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x14ac:dyDescent="0.35">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x14ac:dyDescent="0.35">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0" x14ac:dyDescent="0.35">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0" x14ac:dyDescent="0.35">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0" x14ac:dyDescent="0.35">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0" x14ac:dyDescent="0.35">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0" x14ac:dyDescent="0.35">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x14ac:dyDescent="0.35">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x14ac:dyDescent="0.35">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x14ac:dyDescent="0.35">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0" x14ac:dyDescent="0.35">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x14ac:dyDescent="0.35">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x14ac:dyDescent="0.35">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x14ac:dyDescent="0.35">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0" x14ac:dyDescent="0.35">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0" x14ac:dyDescent="0.35">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0" x14ac:dyDescent="0.35">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0" x14ac:dyDescent="0.35">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0" x14ac:dyDescent="0.35">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0" x14ac:dyDescent="0.35">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0" x14ac:dyDescent="0.35">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0" x14ac:dyDescent="0.35">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0" x14ac:dyDescent="0.35">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0" x14ac:dyDescent="0.35">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35">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0" x14ac:dyDescent="0.35">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0" x14ac:dyDescent="0.35">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0" x14ac:dyDescent="0.35">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0" x14ac:dyDescent="0.35">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0" x14ac:dyDescent="0.35">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0" x14ac:dyDescent="0.35">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0" x14ac:dyDescent="0.35">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0" x14ac:dyDescent="0.35">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0" x14ac:dyDescent="0.35">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0" x14ac:dyDescent="0.35">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0" x14ac:dyDescent="0.35">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0" x14ac:dyDescent="0.35">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0" x14ac:dyDescent="0.35">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0" x14ac:dyDescent="0.35">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0" x14ac:dyDescent="0.35">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0" x14ac:dyDescent="0.35">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0" x14ac:dyDescent="0.35">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0" x14ac:dyDescent="0.35">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0" x14ac:dyDescent="0.35">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0" x14ac:dyDescent="0.35">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0" x14ac:dyDescent="0.35">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0" x14ac:dyDescent="0.35">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35">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35">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0" x14ac:dyDescent="0.35">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0" x14ac:dyDescent="0.35">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0" x14ac:dyDescent="0.35">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0" x14ac:dyDescent="0.35">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0" x14ac:dyDescent="0.35">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0" x14ac:dyDescent="0.35">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0" x14ac:dyDescent="0.35">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0" x14ac:dyDescent="0.35">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0" x14ac:dyDescent="0.35">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0" x14ac:dyDescent="0.35">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0" x14ac:dyDescent="0.35">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0" x14ac:dyDescent="0.35">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0" x14ac:dyDescent="0.35">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0" x14ac:dyDescent="0.35">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0" x14ac:dyDescent="0.35">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0" x14ac:dyDescent="0.35">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0" x14ac:dyDescent="0.35">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0" x14ac:dyDescent="0.35">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0" x14ac:dyDescent="0.35">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0" x14ac:dyDescent="0.35">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0" x14ac:dyDescent="0.35">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0" x14ac:dyDescent="0.35">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0" x14ac:dyDescent="0.35">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0" x14ac:dyDescent="0.35">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0" x14ac:dyDescent="0.35">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x14ac:dyDescent="0.35">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0" x14ac:dyDescent="0.35">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0" x14ac:dyDescent="0.35">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35">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35">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0" x14ac:dyDescent="0.35">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x14ac:dyDescent="0.35">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x14ac:dyDescent="0.35">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x14ac:dyDescent="0.35">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x14ac:dyDescent="0.35">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x14ac:dyDescent="0.35">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x14ac:dyDescent="0.35">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35">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x14ac:dyDescent="0.35">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x14ac:dyDescent="0.35">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x14ac:dyDescent="0.35">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x14ac:dyDescent="0.35">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x14ac:dyDescent="0.35">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x14ac:dyDescent="0.35">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x14ac:dyDescent="0.35">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x14ac:dyDescent="0.35">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x14ac:dyDescent="0.35">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0" x14ac:dyDescent="0.35">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x14ac:dyDescent="0.35">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x14ac:dyDescent="0.35">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x14ac:dyDescent="0.35">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x14ac:dyDescent="0.35">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x14ac:dyDescent="0.35">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x14ac:dyDescent="0.35">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x14ac:dyDescent="0.35">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0" x14ac:dyDescent="0.35">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35">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35">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35">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x14ac:dyDescent="0.35">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0" x14ac:dyDescent="0.35">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x14ac:dyDescent="0.35">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0" x14ac:dyDescent="0.35">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0" x14ac:dyDescent="0.35">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0" x14ac:dyDescent="0.35">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x14ac:dyDescent="0.35">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x14ac:dyDescent="0.35">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x14ac:dyDescent="0.35">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0" x14ac:dyDescent="0.35">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x14ac:dyDescent="0.35">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35">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0" x14ac:dyDescent="0.35">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x14ac:dyDescent="0.35">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0" x14ac:dyDescent="0.35">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0" x14ac:dyDescent="0.35">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30" x14ac:dyDescent="0.35">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30" x14ac:dyDescent="0.35">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30" x14ac:dyDescent="0.35">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30" x14ac:dyDescent="0.35">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30" x14ac:dyDescent="0.35">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30" x14ac:dyDescent="0.35">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30" x14ac:dyDescent="0.35">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30" x14ac:dyDescent="0.35">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30" x14ac:dyDescent="0.35">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30" x14ac:dyDescent="0.35">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30" x14ac:dyDescent="0.35">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30" x14ac:dyDescent="0.35">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30" x14ac:dyDescent="0.35">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0" x14ac:dyDescent="0.35">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0" x14ac:dyDescent="0.35">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30" x14ac:dyDescent="0.35">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0" x14ac:dyDescent="0.35">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30" x14ac:dyDescent="0.35">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30" x14ac:dyDescent="0.35">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30" x14ac:dyDescent="0.35">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30" x14ac:dyDescent="0.35">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30" x14ac:dyDescent="0.35">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0" x14ac:dyDescent="0.35">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0" x14ac:dyDescent="0.35">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0" x14ac:dyDescent="0.35">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0" x14ac:dyDescent="0.35">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30" x14ac:dyDescent="0.35">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30" x14ac:dyDescent="0.35">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30" x14ac:dyDescent="0.35">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0" x14ac:dyDescent="0.35">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30" x14ac:dyDescent="0.35">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30" x14ac:dyDescent="0.35">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30" x14ac:dyDescent="0.35">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30" x14ac:dyDescent="0.35">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30" x14ac:dyDescent="0.35">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30" x14ac:dyDescent="0.35">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30" x14ac:dyDescent="0.35">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30" x14ac:dyDescent="0.35">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30" x14ac:dyDescent="0.35">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30" x14ac:dyDescent="0.35">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30" x14ac:dyDescent="0.35">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30" x14ac:dyDescent="0.35">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30" x14ac:dyDescent="0.35">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30" x14ac:dyDescent="0.35">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0" x14ac:dyDescent="0.35">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0" x14ac:dyDescent="0.35">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0" x14ac:dyDescent="0.35">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0" x14ac:dyDescent="0.35">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0" x14ac:dyDescent="0.35">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0" x14ac:dyDescent="0.35">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0" x14ac:dyDescent="0.35">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30" x14ac:dyDescent="0.35">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0" x14ac:dyDescent="0.35">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0" x14ac:dyDescent="0.35">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0" x14ac:dyDescent="0.35">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0" x14ac:dyDescent="0.35">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0" x14ac:dyDescent="0.35">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30" x14ac:dyDescent="0.35">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30" x14ac:dyDescent="0.35">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30" x14ac:dyDescent="0.35">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0" x14ac:dyDescent="0.35">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0" x14ac:dyDescent="0.35">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0" x14ac:dyDescent="0.35">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0" x14ac:dyDescent="0.35">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0" x14ac:dyDescent="0.35">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0" x14ac:dyDescent="0.35">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0" x14ac:dyDescent="0.35">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0" x14ac:dyDescent="0.35">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30" x14ac:dyDescent="0.35">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30" x14ac:dyDescent="0.35">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30" x14ac:dyDescent="0.35">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30" x14ac:dyDescent="0.35">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30" x14ac:dyDescent="0.35">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30" x14ac:dyDescent="0.35">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30" x14ac:dyDescent="0.35">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30" x14ac:dyDescent="0.35">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30" x14ac:dyDescent="0.35">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30" x14ac:dyDescent="0.35">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0" x14ac:dyDescent="0.35">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0" x14ac:dyDescent="0.35">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30" x14ac:dyDescent="0.35">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30" x14ac:dyDescent="0.35">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0" x14ac:dyDescent="0.35">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0" x14ac:dyDescent="0.35">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30" x14ac:dyDescent="0.35">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30" x14ac:dyDescent="0.35">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30" x14ac:dyDescent="0.35">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30" x14ac:dyDescent="0.35">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30" x14ac:dyDescent="0.35">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30" x14ac:dyDescent="0.35">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0" x14ac:dyDescent="0.35">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0" x14ac:dyDescent="0.35">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0" x14ac:dyDescent="0.35">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0" x14ac:dyDescent="0.35">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0" x14ac:dyDescent="0.35">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30" x14ac:dyDescent="0.35">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30" x14ac:dyDescent="0.35">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30" x14ac:dyDescent="0.35">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30" x14ac:dyDescent="0.35">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30" x14ac:dyDescent="0.35">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30" x14ac:dyDescent="0.35">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30" x14ac:dyDescent="0.35">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30" x14ac:dyDescent="0.35">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30" x14ac:dyDescent="0.35">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30" x14ac:dyDescent="0.35">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30" x14ac:dyDescent="0.35">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30" x14ac:dyDescent="0.35">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30" x14ac:dyDescent="0.35">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30" x14ac:dyDescent="0.35">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30" x14ac:dyDescent="0.35">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30" x14ac:dyDescent="0.35">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30" x14ac:dyDescent="0.35">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30" x14ac:dyDescent="0.35">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0" x14ac:dyDescent="0.35">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0" x14ac:dyDescent="0.35">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0" x14ac:dyDescent="0.35">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0" x14ac:dyDescent="0.35">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30" x14ac:dyDescent="0.35">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0" x14ac:dyDescent="0.35">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0" x14ac:dyDescent="0.35">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30" x14ac:dyDescent="0.35">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30" x14ac:dyDescent="0.35">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30" x14ac:dyDescent="0.35">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30" x14ac:dyDescent="0.35">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30" x14ac:dyDescent="0.35">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0" x14ac:dyDescent="0.35">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0" x14ac:dyDescent="0.35">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30" x14ac:dyDescent="0.35">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30" x14ac:dyDescent="0.35">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30" x14ac:dyDescent="0.35">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0" x14ac:dyDescent="0.35">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0" x14ac:dyDescent="0.35">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0" x14ac:dyDescent="0.35">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30" x14ac:dyDescent="0.35">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30" x14ac:dyDescent="0.35">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30" x14ac:dyDescent="0.35">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30" x14ac:dyDescent="0.35">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30" x14ac:dyDescent="0.35">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30" x14ac:dyDescent="0.35">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30" x14ac:dyDescent="0.35">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30" x14ac:dyDescent="0.35">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30" x14ac:dyDescent="0.35">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0" x14ac:dyDescent="0.35">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0" x14ac:dyDescent="0.35">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0" x14ac:dyDescent="0.35">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0" x14ac:dyDescent="0.35">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0" x14ac:dyDescent="0.35">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0" x14ac:dyDescent="0.35">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0" x14ac:dyDescent="0.35">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0" x14ac:dyDescent="0.35">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0" x14ac:dyDescent="0.35">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0" x14ac:dyDescent="0.35">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0" x14ac:dyDescent="0.35">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0" x14ac:dyDescent="0.35">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0" x14ac:dyDescent="0.35">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0" x14ac:dyDescent="0.35">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0" x14ac:dyDescent="0.35">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0" x14ac:dyDescent="0.35">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0" x14ac:dyDescent="0.35">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0" x14ac:dyDescent="0.35">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0" x14ac:dyDescent="0.35">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0" x14ac:dyDescent="0.35">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0" x14ac:dyDescent="0.35">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0" x14ac:dyDescent="0.35">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0" x14ac:dyDescent="0.35">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0" x14ac:dyDescent="0.35">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0" x14ac:dyDescent="0.35">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0" x14ac:dyDescent="0.35">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0" x14ac:dyDescent="0.35">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0" x14ac:dyDescent="0.35">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0" x14ac:dyDescent="0.35">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0" x14ac:dyDescent="0.35">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0" x14ac:dyDescent="0.35">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0" x14ac:dyDescent="0.35">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0" x14ac:dyDescent="0.35">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0" x14ac:dyDescent="0.35">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0" x14ac:dyDescent="0.35">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0" x14ac:dyDescent="0.35">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0" x14ac:dyDescent="0.35">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0" x14ac:dyDescent="0.35">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0" x14ac:dyDescent="0.35">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0" x14ac:dyDescent="0.35">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0" x14ac:dyDescent="0.35">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0" x14ac:dyDescent="0.35">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0" x14ac:dyDescent="0.35">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0" x14ac:dyDescent="0.35">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0" x14ac:dyDescent="0.35">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0" x14ac:dyDescent="0.35">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0" x14ac:dyDescent="0.35">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0" x14ac:dyDescent="0.35">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0" x14ac:dyDescent="0.35">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0" x14ac:dyDescent="0.35">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0" x14ac:dyDescent="0.35">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0" x14ac:dyDescent="0.35">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0" x14ac:dyDescent="0.35">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0" x14ac:dyDescent="0.35">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0" x14ac:dyDescent="0.35">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0" x14ac:dyDescent="0.35">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0" x14ac:dyDescent="0.35">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0" x14ac:dyDescent="0.35">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0" x14ac:dyDescent="0.35">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0" x14ac:dyDescent="0.35">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0" x14ac:dyDescent="0.35">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0" x14ac:dyDescent="0.35">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0" x14ac:dyDescent="0.35">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0" x14ac:dyDescent="0.35">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0" x14ac:dyDescent="0.35">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0" x14ac:dyDescent="0.35">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0" x14ac:dyDescent="0.35">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0" x14ac:dyDescent="0.35">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0" x14ac:dyDescent="0.35">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0" x14ac:dyDescent="0.35">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0" x14ac:dyDescent="0.35">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0" x14ac:dyDescent="0.35">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0" x14ac:dyDescent="0.35">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0" x14ac:dyDescent="0.35">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0" x14ac:dyDescent="0.35">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0" x14ac:dyDescent="0.35">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0" x14ac:dyDescent="0.35">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0" x14ac:dyDescent="0.35">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30" x14ac:dyDescent="0.35">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30" x14ac:dyDescent="0.35">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0" x14ac:dyDescent="0.35">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0" x14ac:dyDescent="0.35">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0" x14ac:dyDescent="0.35">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0" x14ac:dyDescent="0.35">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0" x14ac:dyDescent="0.35">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0" x14ac:dyDescent="0.35">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0" x14ac:dyDescent="0.35">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0" x14ac:dyDescent="0.35">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0" x14ac:dyDescent="0.35">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0" x14ac:dyDescent="0.35">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30" x14ac:dyDescent="0.35">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0" x14ac:dyDescent="0.35">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0" x14ac:dyDescent="0.35">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0" x14ac:dyDescent="0.35">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0" x14ac:dyDescent="0.35">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0" x14ac:dyDescent="0.35">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0" x14ac:dyDescent="0.35">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0" x14ac:dyDescent="0.35">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0" x14ac:dyDescent="0.35">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0" x14ac:dyDescent="0.35">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0" x14ac:dyDescent="0.35">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0" x14ac:dyDescent="0.35">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0" x14ac:dyDescent="0.35">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0" x14ac:dyDescent="0.35">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0" x14ac:dyDescent="0.35">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0" x14ac:dyDescent="0.35">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0" x14ac:dyDescent="0.35">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0" x14ac:dyDescent="0.35">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0" x14ac:dyDescent="0.35">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0" x14ac:dyDescent="0.35">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0" x14ac:dyDescent="0.35">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0" x14ac:dyDescent="0.35">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0" x14ac:dyDescent="0.35">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0" x14ac:dyDescent="0.35">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0" x14ac:dyDescent="0.35">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0" x14ac:dyDescent="0.35">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0" x14ac:dyDescent="0.35">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30" x14ac:dyDescent="0.35">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0" x14ac:dyDescent="0.35">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0" x14ac:dyDescent="0.35">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0" x14ac:dyDescent="0.35">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0" x14ac:dyDescent="0.35">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0" x14ac:dyDescent="0.35">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0" x14ac:dyDescent="0.35">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0" x14ac:dyDescent="0.35">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0" x14ac:dyDescent="0.35">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0" x14ac:dyDescent="0.35">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0" x14ac:dyDescent="0.35">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0" x14ac:dyDescent="0.35">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0" x14ac:dyDescent="0.35">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0" x14ac:dyDescent="0.35">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0" x14ac:dyDescent="0.35">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0" x14ac:dyDescent="0.35">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0" x14ac:dyDescent="0.35">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0" x14ac:dyDescent="0.35">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0" x14ac:dyDescent="0.35">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0" x14ac:dyDescent="0.35">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0" x14ac:dyDescent="0.35">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0" x14ac:dyDescent="0.35">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0" x14ac:dyDescent="0.35">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0" x14ac:dyDescent="0.35">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0" x14ac:dyDescent="0.35">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0" x14ac:dyDescent="0.35">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0" x14ac:dyDescent="0.35">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0" x14ac:dyDescent="0.35">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0" x14ac:dyDescent="0.35">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0" x14ac:dyDescent="0.35">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0" x14ac:dyDescent="0.35">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0" x14ac:dyDescent="0.35">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0" x14ac:dyDescent="0.35">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0" x14ac:dyDescent="0.35">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0" x14ac:dyDescent="0.35">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0" x14ac:dyDescent="0.35">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0" x14ac:dyDescent="0.35">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0" x14ac:dyDescent="0.35">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0" x14ac:dyDescent="0.35">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0" x14ac:dyDescent="0.35">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0" x14ac:dyDescent="0.35">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0" x14ac:dyDescent="0.35">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0" x14ac:dyDescent="0.35">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0" x14ac:dyDescent="0.35">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0" x14ac:dyDescent="0.35">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0" x14ac:dyDescent="0.35">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0" x14ac:dyDescent="0.35">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0" x14ac:dyDescent="0.35">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0" x14ac:dyDescent="0.35">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0" x14ac:dyDescent="0.35">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0" x14ac:dyDescent="0.35">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0" x14ac:dyDescent="0.35">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0" x14ac:dyDescent="0.35">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0" x14ac:dyDescent="0.35">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0" x14ac:dyDescent="0.35">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0" x14ac:dyDescent="0.35">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0" x14ac:dyDescent="0.35">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0" x14ac:dyDescent="0.35">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0" x14ac:dyDescent="0.35">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0" x14ac:dyDescent="0.35">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0" x14ac:dyDescent="0.35">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0" x14ac:dyDescent="0.35">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0" x14ac:dyDescent="0.35">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0" x14ac:dyDescent="0.35">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0" x14ac:dyDescent="0.35">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0" x14ac:dyDescent="0.35">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0" x14ac:dyDescent="0.35">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0" x14ac:dyDescent="0.35">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0" x14ac:dyDescent="0.35">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0" x14ac:dyDescent="0.35">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0" x14ac:dyDescent="0.35">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0" x14ac:dyDescent="0.35">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0" x14ac:dyDescent="0.35">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0" x14ac:dyDescent="0.35">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0" x14ac:dyDescent="0.35">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0" x14ac:dyDescent="0.35">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0" x14ac:dyDescent="0.35">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0" x14ac:dyDescent="0.35">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0" x14ac:dyDescent="0.35">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0" x14ac:dyDescent="0.35">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0" x14ac:dyDescent="0.35">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0" x14ac:dyDescent="0.35">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0" x14ac:dyDescent="0.35">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0" x14ac:dyDescent="0.35">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0" x14ac:dyDescent="0.35">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0" x14ac:dyDescent="0.35">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0" x14ac:dyDescent="0.35">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0" x14ac:dyDescent="0.35">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0" x14ac:dyDescent="0.35">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0" x14ac:dyDescent="0.35">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0" x14ac:dyDescent="0.35">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0" x14ac:dyDescent="0.35">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0" x14ac:dyDescent="0.35">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30" x14ac:dyDescent="0.35">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0" x14ac:dyDescent="0.35">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0" x14ac:dyDescent="0.35">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0" x14ac:dyDescent="0.35">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0" x14ac:dyDescent="0.35">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0" x14ac:dyDescent="0.35">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0" x14ac:dyDescent="0.35">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0" x14ac:dyDescent="0.35">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0" x14ac:dyDescent="0.35">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0" x14ac:dyDescent="0.35">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30" x14ac:dyDescent="0.35">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0" x14ac:dyDescent="0.35">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0" x14ac:dyDescent="0.35">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0" x14ac:dyDescent="0.35">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0" x14ac:dyDescent="0.35">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0" x14ac:dyDescent="0.35">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0" x14ac:dyDescent="0.35">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0" x14ac:dyDescent="0.35">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0" x14ac:dyDescent="0.35">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0" x14ac:dyDescent="0.35">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0" x14ac:dyDescent="0.35">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30" x14ac:dyDescent="0.35">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0" x14ac:dyDescent="0.35">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0" x14ac:dyDescent="0.35">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0" x14ac:dyDescent="0.35">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0" x14ac:dyDescent="0.35">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0" x14ac:dyDescent="0.35">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0" x14ac:dyDescent="0.35">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0" x14ac:dyDescent="0.35">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0" x14ac:dyDescent="0.35">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0" x14ac:dyDescent="0.35">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0" x14ac:dyDescent="0.35">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0" x14ac:dyDescent="0.35">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0" x14ac:dyDescent="0.35">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0" x14ac:dyDescent="0.35">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0" x14ac:dyDescent="0.35">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0" x14ac:dyDescent="0.35">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0" x14ac:dyDescent="0.35">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0" x14ac:dyDescent="0.35">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0" x14ac:dyDescent="0.35">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0" x14ac:dyDescent="0.35">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0" x14ac:dyDescent="0.35">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0" x14ac:dyDescent="0.35">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0" x14ac:dyDescent="0.35">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0" x14ac:dyDescent="0.35">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0" x14ac:dyDescent="0.35">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0" x14ac:dyDescent="0.35">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0" x14ac:dyDescent="0.35">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0" x14ac:dyDescent="0.35">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0" x14ac:dyDescent="0.35">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0" x14ac:dyDescent="0.35">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0" x14ac:dyDescent="0.35">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0" x14ac:dyDescent="0.35">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0" x14ac:dyDescent="0.35">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0" x14ac:dyDescent="0.35">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0" x14ac:dyDescent="0.35">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0" x14ac:dyDescent="0.35">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0" x14ac:dyDescent="0.35">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0" x14ac:dyDescent="0.35">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0" x14ac:dyDescent="0.35">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0" x14ac:dyDescent="0.35">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0" x14ac:dyDescent="0.35">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0" x14ac:dyDescent="0.35">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0" x14ac:dyDescent="0.35">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0" x14ac:dyDescent="0.35">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0" x14ac:dyDescent="0.35">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0" x14ac:dyDescent="0.35">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0" x14ac:dyDescent="0.35">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0" x14ac:dyDescent="0.35">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0" x14ac:dyDescent="0.35">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0" x14ac:dyDescent="0.35">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0" x14ac:dyDescent="0.35">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0" x14ac:dyDescent="0.35">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0" x14ac:dyDescent="0.35">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0" x14ac:dyDescent="0.35">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0" x14ac:dyDescent="0.35">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0" x14ac:dyDescent="0.35">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0" x14ac:dyDescent="0.35">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0" x14ac:dyDescent="0.35">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0" x14ac:dyDescent="0.35">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0" x14ac:dyDescent="0.35">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0" x14ac:dyDescent="0.35">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0" x14ac:dyDescent="0.35">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0" x14ac:dyDescent="0.35">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0" x14ac:dyDescent="0.35">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0" x14ac:dyDescent="0.35">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0" x14ac:dyDescent="0.35">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0" x14ac:dyDescent="0.35">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0" x14ac:dyDescent="0.35">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0" x14ac:dyDescent="0.35">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0" x14ac:dyDescent="0.35">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0" x14ac:dyDescent="0.35">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0" x14ac:dyDescent="0.35">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0" x14ac:dyDescent="0.35">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0" x14ac:dyDescent="0.35">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0" x14ac:dyDescent="0.35">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0" x14ac:dyDescent="0.35">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0" x14ac:dyDescent="0.35">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0" x14ac:dyDescent="0.35">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0" x14ac:dyDescent="0.35">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0" x14ac:dyDescent="0.35">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0" x14ac:dyDescent="0.35">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0" x14ac:dyDescent="0.35">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0" x14ac:dyDescent="0.35">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0" x14ac:dyDescent="0.35">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0" x14ac:dyDescent="0.35">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0" x14ac:dyDescent="0.35">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0" x14ac:dyDescent="0.35">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0" x14ac:dyDescent="0.35">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0" x14ac:dyDescent="0.35">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0" x14ac:dyDescent="0.35">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0" x14ac:dyDescent="0.35">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0" x14ac:dyDescent="0.35">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0" x14ac:dyDescent="0.35">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0" x14ac:dyDescent="0.35">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0" x14ac:dyDescent="0.35">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0" x14ac:dyDescent="0.35">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0" x14ac:dyDescent="0.35">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0" x14ac:dyDescent="0.35">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0" x14ac:dyDescent="0.35">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0" x14ac:dyDescent="0.35">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0" x14ac:dyDescent="0.35">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0" x14ac:dyDescent="0.35">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30" x14ac:dyDescent="0.35">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0" x14ac:dyDescent="0.35">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30" x14ac:dyDescent="0.35">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30" x14ac:dyDescent="0.35">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30" x14ac:dyDescent="0.35">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0" x14ac:dyDescent="0.35">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0" x14ac:dyDescent="0.35">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0" x14ac:dyDescent="0.35">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0" x14ac:dyDescent="0.35">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0" x14ac:dyDescent="0.35">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0" x14ac:dyDescent="0.35">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0" x14ac:dyDescent="0.35">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0" x14ac:dyDescent="0.35">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0" x14ac:dyDescent="0.35">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0" x14ac:dyDescent="0.35">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0" x14ac:dyDescent="0.35">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0" x14ac:dyDescent="0.35">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0" x14ac:dyDescent="0.35">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0" x14ac:dyDescent="0.35">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0" x14ac:dyDescent="0.35">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0" x14ac:dyDescent="0.35">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30" x14ac:dyDescent="0.35">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0" x14ac:dyDescent="0.35">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0" x14ac:dyDescent="0.35">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0" x14ac:dyDescent="0.35">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0" x14ac:dyDescent="0.35">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0" x14ac:dyDescent="0.35">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0" x14ac:dyDescent="0.35">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0" x14ac:dyDescent="0.35">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0" x14ac:dyDescent="0.35">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0" x14ac:dyDescent="0.35">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0" x14ac:dyDescent="0.35">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0" x14ac:dyDescent="0.35">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0" x14ac:dyDescent="0.35">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0" x14ac:dyDescent="0.35">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0" x14ac:dyDescent="0.35">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0" x14ac:dyDescent="0.35">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0" x14ac:dyDescent="0.35">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0" x14ac:dyDescent="0.35">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0" x14ac:dyDescent="0.35">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0" x14ac:dyDescent="0.35">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0" x14ac:dyDescent="0.35">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0" x14ac:dyDescent="0.35">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0" x14ac:dyDescent="0.35">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0" x14ac:dyDescent="0.35">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0" x14ac:dyDescent="0.35">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0" x14ac:dyDescent="0.35">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0" x14ac:dyDescent="0.35">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0" x14ac:dyDescent="0.35">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0" x14ac:dyDescent="0.35">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0" x14ac:dyDescent="0.35">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0" x14ac:dyDescent="0.35">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0" x14ac:dyDescent="0.35">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0" x14ac:dyDescent="0.35">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0" x14ac:dyDescent="0.35">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0" x14ac:dyDescent="0.35">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0" x14ac:dyDescent="0.35">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0" x14ac:dyDescent="0.35">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0" x14ac:dyDescent="0.35">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0" x14ac:dyDescent="0.35">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0" x14ac:dyDescent="0.35">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0" x14ac:dyDescent="0.35">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0" x14ac:dyDescent="0.35">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0" x14ac:dyDescent="0.35">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0" x14ac:dyDescent="0.35">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0" x14ac:dyDescent="0.35">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0" x14ac:dyDescent="0.35">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0" x14ac:dyDescent="0.35">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0" x14ac:dyDescent="0.35">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0" x14ac:dyDescent="0.35">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0" x14ac:dyDescent="0.35">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0" x14ac:dyDescent="0.35">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0" x14ac:dyDescent="0.35">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0" x14ac:dyDescent="0.35">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0" x14ac:dyDescent="0.35">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0" x14ac:dyDescent="0.35">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0" x14ac:dyDescent="0.35">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0" x14ac:dyDescent="0.35">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0" x14ac:dyDescent="0.35">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0" x14ac:dyDescent="0.35">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0" x14ac:dyDescent="0.35">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30" x14ac:dyDescent="0.35">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0" x14ac:dyDescent="0.35">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0" x14ac:dyDescent="0.35">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0" x14ac:dyDescent="0.35">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0" x14ac:dyDescent="0.35">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0" x14ac:dyDescent="0.35">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0" x14ac:dyDescent="0.35">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0" x14ac:dyDescent="0.35">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30" x14ac:dyDescent="0.35">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0" x14ac:dyDescent="0.35">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0" x14ac:dyDescent="0.35">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0" x14ac:dyDescent="0.35">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0" x14ac:dyDescent="0.35">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0" x14ac:dyDescent="0.35">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0" x14ac:dyDescent="0.35">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0" x14ac:dyDescent="0.35">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0" x14ac:dyDescent="0.35">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0" x14ac:dyDescent="0.35">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0" x14ac:dyDescent="0.35">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0" x14ac:dyDescent="0.35">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0" x14ac:dyDescent="0.35">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0" x14ac:dyDescent="0.35">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0" x14ac:dyDescent="0.35">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0" x14ac:dyDescent="0.35">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0" x14ac:dyDescent="0.35">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0" x14ac:dyDescent="0.35">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0" x14ac:dyDescent="0.35">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0" x14ac:dyDescent="0.35">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0" x14ac:dyDescent="0.35">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0" x14ac:dyDescent="0.35">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0" x14ac:dyDescent="0.35">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0" x14ac:dyDescent="0.35">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0" x14ac:dyDescent="0.35">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0" x14ac:dyDescent="0.35">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0" x14ac:dyDescent="0.35">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0" x14ac:dyDescent="0.35">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0" x14ac:dyDescent="0.35">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0" x14ac:dyDescent="0.35">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0" x14ac:dyDescent="0.35">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0" x14ac:dyDescent="0.35">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0" x14ac:dyDescent="0.35">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0" x14ac:dyDescent="0.35">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0" x14ac:dyDescent="0.35">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0" x14ac:dyDescent="0.35">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0" x14ac:dyDescent="0.35">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0" x14ac:dyDescent="0.35">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0" x14ac:dyDescent="0.35">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0" x14ac:dyDescent="0.35">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0" x14ac:dyDescent="0.35">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0" x14ac:dyDescent="0.35">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0" x14ac:dyDescent="0.35">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0" x14ac:dyDescent="0.35">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0" x14ac:dyDescent="0.35">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0" x14ac:dyDescent="0.35">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0" x14ac:dyDescent="0.35">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0" x14ac:dyDescent="0.35">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0" x14ac:dyDescent="0.35">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0" x14ac:dyDescent="0.35">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0" x14ac:dyDescent="0.35">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0" x14ac:dyDescent="0.35">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0" x14ac:dyDescent="0.35">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0" x14ac:dyDescent="0.35">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0" x14ac:dyDescent="0.35">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0" x14ac:dyDescent="0.35">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0" x14ac:dyDescent="0.35">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0" x14ac:dyDescent="0.35">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0" x14ac:dyDescent="0.35">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0" x14ac:dyDescent="0.35">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0" x14ac:dyDescent="0.35">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0" x14ac:dyDescent="0.35">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0" x14ac:dyDescent="0.35">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0" x14ac:dyDescent="0.35">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0" x14ac:dyDescent="0.35">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0" x14ac:dyDescent="0.35">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0" x14ac:dyDescent="0.35">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0" x14ac:dyDescent="0.35">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0" x14ac:dyDescent="0.35">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0" x14ac:dyDescent="0.35">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0" x14ac:dyDescent="0.35">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0" x14ac:dyDescent="0.35">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0" x14ac:dyDescent="0.35">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0" x14ac:dyDescent="0.35">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30" x14ac:dyDescent="0.35">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0" x14ac:dyDescent="0.35">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0" x14ac:dyDescent="0.35">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30" x14ac:dyDescent="0.35">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0" x14ac:dyDescent="0.35">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0" x14ac:dyDescent="0.35">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30" x14ac:dyDescent="0.35">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0" x14ac:dyDescent="0.35">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0" x14ac:dyDescent="0.35">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0" x14ac:dyDescent="0.35">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0" x14ac:dyDescent="0.35">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0" x14ac:dyDescent="0.35">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0" x14ac:dyDescent="0.35">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30" x14ac:dyDescent="0.35">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30" x14ac:dyDescent="0.35">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30" x14ac:dyDescent="0.35">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0" x14ac:dyDescent="0.35">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0" x14ac:dyDescent="0.35">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0" x14ac:dyDescent="0.35">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0" x14ac:dyDescent="0.35">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30" x14ac:dyDescent="0.35">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30" x14ac:dyDescent="0.35">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30" x14ac:dyDescent="0.35">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30" x14ac:dyDescent="0.35">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30" x14ac:dyDescent="0.35">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0" x14ac:dyDescent="0.35">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0" x14ac:dyDescent="0.35">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0" x14ac:dyDescent="0.35">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0" x14ac:dyDescent="0.35">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0" x14ac:dyDescent="0.35">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0" x14ac:dyDescent="0.35">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30" x14ac:dyDescent="0.35">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30" x14ac:dyDescent="0.35">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30" x14ac:dyDescent="0.35">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30" x14ac:dyDescent="0.35">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30" x14ac:dyDescent="0.35">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30" x14ac:dyDescent="0.35">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30" x14ac:dyDescent="0.35">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30" x14ac:dyDescent="0.35">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0" x14ac:dyDescent="0.35">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0" x14ac:dyDescent="0.35">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0" x14ac:dyDescent="0.35">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0" x14ac:dyDescent="0.35">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0" x14ac:dyDescent="0.35">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0" x14ac:dyDescent="0.35">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0" x14ac:dyDescent="0.35">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0" x14ac:dyDescent="0.35">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0" x14ac:dyDescent="0.35">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0" x14ac:dyDescent="0.35">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0" x14ac:dyDescent="0.35">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0" x14ac:dyDescent="0.35">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0" x14ac:dyDescent="0.35">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0" x14ac:dyDescent="0.35">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0" x14ac:dyDescent="0.35">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0" x14ac:dyDescent="0.35">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0" x14ac:dyDescent="0.35">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0" x14ac:dyDescent="0.35">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0" x14ac:dyDescent="0.35">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0" x14ac:dyDescent="0.35">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0" x14ac:dyDescent="0.35">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0" x14ac:dyDescent="0.35">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0" x14ac:dyDescent="0.35">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0" x14ac:dyDescent="0.35">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0" x14ac:dyDescent="0.35">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0" x14ac:dyDescent="0.35">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0" x14ac:dyDescent="0.35">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0" x14ac:dyDescent="0.35">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0" x14ac:dyDescent="0.35">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0" x14ac:dyDescent="0.35">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0" x14ac:dyDescent="0.35">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0" x14ac:dyDescent="0.35">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0" x14ac:dyDescent="0.35">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0" x14ac:dyDescent="0.35">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0" x14ac:dyDescent="0.35">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0" x14ac:dyDescent="0.35">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0" x14ac:dyDescent="0.35">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0" x14ac:dyDescent="0.35">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0" x14ac:dyDescent="0.35">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0" x14ac:dyDescent="0.35">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0" x14ac:dyDescent="0.35">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0" x14ac:dyDescent="0.35">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0" x14ac:dyDescent="0.35">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0" x14ac:dyDescent="0.35">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0" x14ac:dyDescent="0.35">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0" x14ac:dyDescent="0.35">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0" x14ac:dyDescent="0.35">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0" x14ac:dyDescent="0.35">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0" x14ac:dyDescent="0.35">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0" x14ac:dyDescent="0.35">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0" x14ac:dyDescent="0.35">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0" x14ac:dyDescent="0.35">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0" x14ac:dyDescent="0.35">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0" x14ac:dyDescent="0.35">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0" x14ac:dyDescent="0.35">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0" x14ac:dyDescent="0.35">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0" x14ac:dyDescent="0.35">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0" x14ac:dyDescent="0.35">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40" x14ac:dyDescent="0.35">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40" x14ac:dyDescent="0.35">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0" x14ac:dyDescent="0.35">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40" x14ac:dyDescent="0.35">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0" x14ac:dyDescent="0.35">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40" x14ac:dyDescent="0.35">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0" x14ac:dyDescent="0.35">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0" x14ac:dyDescent="0.35">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40" x14ac:dyDescent="0.35">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0" x14ac:dyDescent="0.35">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40" x14ac:dyDescent="0.35">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0" x14ac:dyDescent="0.35">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40" x14ac:dyDescent="0.35">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0" x14ac:dyDescent="0.35">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40" x14ac:dyDescent="0.35">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0" x14ac:dyDescent="0.35">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40" x14ac:dyDescent="0.35">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0" x14ac:dyDescent="0.35">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40" x14ac:dyDescent="0.35">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0" x14ac:dyDescent="0.35">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40" x14ac:dyDescent="0.35">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40" x14ac:dyDescent="0.35">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40" x14ac:dyDescent="0.35">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30" x14ac:dyDescent="0.35">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40" x14ac:dyDescent="0.35">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0" x14ac:dyDescent="0.35">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30" x14ac:dyDescent="0.35">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30" x14ac:dyDescent="0.35">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30" x14ac:dyDescent="0.35">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0" x14ac:dyDescent="0.35">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0" x14ac:dyDescent="0.35">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0" x14ac:dyDescent="0.35">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40" x14ac:dyDescent="0.35">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40" x14ac:dyDescent="0.35">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0" x14ac:dyDescent="0.35">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40" x14ac:dyDescent="0.35">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40" x14ac:dyDescent="0.35">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40" x14ac:dyDescent="0.35">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30" x14ac:dyDescent="0.35">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40" x14ac:dyDescent="0.35">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30" x14ac:dyDescent="0.35">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0" x14ac:dyDescent="0.35">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40" x14ac:dyDescent="0.35">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40" x14ac:dyDescent="0.35">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40" x14ac:dyDescent="0.35">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40" x14ac:dyDescent="0.35">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30" x14ac:dyDescent="0.35">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0" x14ac:dyDescent="0.35">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30" x14ac:dyDescent="0.35">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40" x14ac:dyDescent="0.35">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40" x14ac:dyDescent="0.35">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0" x14ac:dyDescent="0.35">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30" x14ac:dyDescent="0.35">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40" x14ac:dyDescent="0.35">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30" x14ac:dyDescent="0.35">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30" x14ac:dyDescent="0.35">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30" x14ac:dyDescent="0.35">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40" x14ac:dyDescent="0.35">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0" x14ac:dyDescent="0.35">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0" x14ac:dyDescent="0.35">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0" x14ac:dyDescent="0.35">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0" x14ac:dyDescent="0.35">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40" x14ac:dyDescent="0.35">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0" x14ac:dyDescent="0.35">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0" x14ac:dyDescent="0.35">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0" x14ac:dyDescent="0.35">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30" x14ac:dyDescent="0.35">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40" x14ac:dyDescent="0.35">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30" x14ac:dyDescent="0.35">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40" x14ac:dyDescent="0.35">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30" x14ac:dyDescent="0.35">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40" x14ac:dyDescent="0.35">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40" x14ac:dyDescent="0.35">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30" x14ac:dyDescent="0.35">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40" x14ac:dyDescent="0.35">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0" x14ac:dyDescent="0.35">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30" x14ac:dyDescent="0.35">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0" x14ac:dyDescent="0.35">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30" x14ac:dyDescent="0.35">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30" x14ac:dyDescent="0.35">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30" x14ac:dyDescent="0.35">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30" x14ac:dyDescent="0.35">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0" x14ac:dyDescent="0.35">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0" x14ac:dyDescent="0.35">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0" x14ac:dyDescent="0.35">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0" x14ac:dyDescent="0.35">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0" x14ac:dyDescent="0.35">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0" x14ac:dyDescent="0.35">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0" x14ac:dyDescent="0.35">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0" x14ac:dyDescent="0.35">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0" x14ac:dyDescent="0.35">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0" x14ac:dyDescent="0.35">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0" x14ac:dyDescent="0.35">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0" x14ac:dyDescent="0.35">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30" x14ac:dyDescent="0.35">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0" x14ac:dyDescent="0.35">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0" x14ac:dyDescent="0.35">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0" x14ac:dyDescent="0.35">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30" x14ac:dyDescent="0.35">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0" x14ac:dyDescent="0.35">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40" x14ac:dyDescent="0.35">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40" x14ac:dyDescent="0.35">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40" x14ac:dyDescent="0.35">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40" x14ac:dyDescent="0.35">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40" x14ac:dyDescent="0.35">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40" x14ac:dyDescent="0.35">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40" x14ac:dyDescent="0.35">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0" x14ac:dyDescent="0.35">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30" x14ac:dyDescent="0.35">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0" x14ac:dyDescent="0.35">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0" x14ac:dyDescent="0.35">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40" x14ac:dyDescent="0.35">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0" x14ac:dyDescent="0.35">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0" x14ac:dyDescent="0.35">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40" x14ac:dyDescent="0.35">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0" x14ac:dyDescent="0.35">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0" x14ac:dyDescent="0.35">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0" x14ac:dyDescent="0.35">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0" x14ac:dyDescent="0.35">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0" x14ac:dyDescent="0.35">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0" x14ac:dyDescent="0.35">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0" x14ac:dyDescent="0.35">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40" x14ac:dyDescent="0.35">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40" x14ac:dyDescent="0.35">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0" x14ac:dyDescent="0.35">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40" x14ac:dyDescent="0.35">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0" x14ac:dyDescent="0.35">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0" x14ac:dyDescent="0.35">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40" x14ac:dyDescent="0.35">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40" x14ac:dyDescent="0.35">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0" x14ac:dyDescent="0.35">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0" x14ac:dyDescent="0.35">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0" x14ac:dyDescent="0.35">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0" x14ac:dyDescent="0.35">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0" x14ac:dyDescent="0.35">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0" x14ac:dyDescent="0.35">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0" x14ac:dyDescent="0.35">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0" x14ac:dyDescent="0.35">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0" x14ac:dyDescent="0.35">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0" x14ac:dyDescent="0.35">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0" x14ac:dyDescent="0.35">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0" x14ac:dyDescent="0.35">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0" x14ac:dyDescent="0.35">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0" x14ac:dyDescent="0.35">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0" x14ac:dyDescent="0.35">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0" x14ac:dyDescent="0.35">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0" x14ac:dyDescent="0.35">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0" x14ac:dyDescent="0.35">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0" x14ac:dyDescent="0.35">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0" x14ac:dyDescent="0.35">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0" x14ac:dyDescent="0.35">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0" x14ac:dyDescent="0.35">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0" x14ac:dyDescent="0.35">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0" x14ac:dyDescent="0.35">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0" x14ac:dyDescent="0.35">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0" x14ac:dyDescent="0.35">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0" x14ac:dyDescent="0.35">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0" x14ac:dyDescent="0.35">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0" x14ac:dyDescent="0.35">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0" x14ac:dyDescent="0.35">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0" x14ac:dyDescent="0.35">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0" x14ac:dyDescent="0.35">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0" x14ac:dyDescent="0.35">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0" x14ac:dyDescent="0.35">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0" x14ac:dyDescent="0.35">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0" x14ac:dyDescent="0.35">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0" x14ac:dyDescent="0.35">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0" x14ac:dyDescent="0.35">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0" x14ac:dyDescent="0.35">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0" x14ac:dyDescent="0.35">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0" x14ac:dyDescent="0.35">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0" x14ac:dyDescent="0.35">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0" x14ac:dyDescent="0.35">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0" x14ac:dyDescent="0.35">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0" x14ac:dyDescent="0.35">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0" x14ac:dyDescent="0.35">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0" x14ac:dyDescent="0.35">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0" x14ac:dyDescent="0.35">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0" x14ac:dyDescent="0.35">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0" x14ac:dyDescent="0.35">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0" x14ac:dyDescent="0.35">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0" x14ac:dyDescent="0.35">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0" x14ac:dyDescent="0.35">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0" x14ac:dyDescent="0.35">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0" x14ac:dyDescent="0.35">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0" x14ac:dyDescent="0.35">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0" x14ac:dyDescent="0.35">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0" x14ac:dyDescent="0.35">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0" x14ac:dyDescent="0.35">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0" x14ac:dyDescent="0.35">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0" x14ac:dyDescent="0.35">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0" x14ac:dyDescent="0.35">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0" x14ac:dyDescent="0.35">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0" x14ac:dyDescent="0.35">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0" x14ac:dyDescent="0.35">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0" x14ac:dyDescent="0.35">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0" x14ac:dyDescent="0.35">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0" x14ac:dyDescent="0.35">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0" x14ac:dyDescent="0.35">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0" x14ac:dyDescent="0.35">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0" x14ac:dyDescent="0.35">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0" x14ac:dyDescent="0.35">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x14ac:dyDescent="0.35">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x14ac:dyDescent="0.35">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x14ac:dyDescent="0.35">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x14ac:dyDescent="0.35">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x14ac:dyDescent="0.35">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x14ac:dyDescent="0.35">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x14ac:dyDescent="0.35">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x14ac:dyDescent="0.35">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x14ac:dyDescent="0.35">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0" x14ac:dyDescent="0.35">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0" x14ac:dyDescent="0.35">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x14ac:dyDescent="0.35">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x14ac:dyDescent="0.35">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0" x14ac:dyDescent="0.35">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0" x14ac:dyDescent="0.35">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0" x14ac:dyDescent="0.35">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0" x14ac:dyDescent="0.35">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0" x14ac:dyDescent="0.35">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0" x14ac:dyDescent="0.35">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0" x14ac:dyDescent="0.35">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0" x14ac:dyDescent="0.35">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0" x14ac:dyDescent="0.35">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0" x14ac:dyDescent="0.35">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x14ac:dyDescent="0.35">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x14ac:dyDescent="0.35">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x14ac:dyDescent="0.35">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x14ac:dyDescent="0.35">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x14ac:dyDescent="0.35">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0" x14ac:dyDescent="0.35">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0" x14ac:dyDescent="0.35">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0" x14ac:dyDescent="0.35">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0" x14ac:dyDescent="0.35">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0" x14ac:dyDescent="0.35">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0" x14ac:dyDescent="0.35">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0" x14ac:dyDescent="0.35">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0" x14ac:dyDescent="0.35">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0" x14ac:dyDescent="0.35">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0" x14ac:dyDescent="0.35">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0" x14ac:dyDescent="0.35">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0" x14ac:dyDescent="0.35">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0" x14ac:dyDescent="0.35">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0" x14ac:dyDescent="0.35">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0" x14ac:dyDescent="0.35">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0" x14ac:dyDescent="0.35">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0" x14ac:dyDescent="0.35">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0" x14ac:dyDescent="0.35">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0" x14ac:dyDescent="0.35">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0" x14ac:dyDescent="0.35">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0" x14ac:dyDescent="0.35">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0" x14ac:dyDescent="0.35">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0" x14ac:dyDescent="0.35">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0" x14ac:dyDescent="0.35">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0" x14ac:dyDescent="0.35">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0" x14ac:dyDescent="0.35">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0" x14ac:dyDescent="0.35">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0" x14ac:dyDescent="0.35">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0" x14ac:dyDescent="0.35">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0" x14ac:dyDescent="0.35">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0" x14ac:dyDescent="0.35">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x14ac:dyDescent="0.35">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0" x14ac:dyDescent="0.35">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0" x14ac:dyDescent="0.35">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0" x14ac:dyDescent="0.35">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x14ac:dyDescent="0.35">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x14ac:dyDescent="0.35">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0" x14ac:dyDescent="0.35">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0" x14ac:dyDescent="0.35">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x14ac:dyDescent="0.35">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0" x14ac:dyDescent="0.35">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x14ac:dyDescent="0.35">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x14ac:dyDescent="0.35">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x14ac:dyDescent="0.35">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0" x14ac:dyDescent="0.35">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0" x14ac:dyDescent="0.35">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0" x14ac:dyDescent="0.35">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0" x14ac:dyDescent="0.35">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0" x14ac:dyDescent="0.35">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x14ac:dyDescent="0.35">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x14ac:dyDescent="0.35">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x14ac:dyDescent="0.35">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0" x14ac:dyDescent="0.35">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0" x14ac:dyDescent="0.35">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0" x14ac:dyDescent="0.35">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0" x14ac:dyDescent="0.35">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0" x14ac:dyDescent="0.35">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0" x14ac:dyDescent="0.35">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0" x14ac:dyDescent="0.35">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0" x14ac:dyDescent="0.35">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0" x14ac:dyDescent="0.35">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x14ac:dyDescent="0.35">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x14ac:dyDescent="0.35">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0" x14ac:dyDescent="0.35">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0" x14ac:dyDescent="0.35">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0" x14ac:dyDescent="0.35">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0" x14ac:dyDescent="0.35">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0" x14ac:dyDescent="0.35">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0" x14ac:dyDescent="0.35">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0" x14ac:dyDescent="0.35">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0" x14ac:dyDescent="0.35">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0" x14ac:dyDescent="0.35">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0" x14ac:dyDescent="0.35">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x14ac:dyDescent="0.35">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0" x14ac:dyDescent="0.35">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0" x14ac:dyDescent="0.35">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0" x14ac:dyDescent="0.35">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0" x14ac:dyDescent="0.35">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x14ac:dyDescent="0.35">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0" x14ac:dyDescent="0.35">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x14ac:dyDescent="0.35">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0" x14ac:dyDescent="0.35">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0" x14ac:dyDescent="0.35">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x14ac:dyDescent="0.35">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0" x14ac:dyDescent="0.35">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x14ac:dyDescent="0.35">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x14ac:dyDescent="0.35">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0" x14ac:dyDescent="0.35">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x14ac:dyDescent="0.35">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0" x14ac:dyDescent="0.35">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0" x14ac:dyDescent="0.35">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0" x14ac:dyDescent="0.35">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0" x14ac:dyDescent="0.35">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0" x14ac:dyDescent="0.35">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0" x14ac:dyDescent="0.35">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0" x14ac:dyDescent="0.35">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0" x14ac:dyDescent="0.35">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0" x14ac:dyDescent="0.35">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0" x14ac:dyDescent="0.35">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0" x14ac:dyDescent="0.35">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0" x14ac:dyDescent="0.35">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0" x14ac:dyDescent="0.35">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0" x14ac:dyDescent="0.35">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0" x14ac:dyDescent="0.35">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0" x14ac:dyDescent="0.35">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0" x14ac:dyDescent="0.35">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0" x14ac:dyDescent="0.35">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0" x14ac:dyDescent="0.35">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0" x14ac:dyDescent="0.35">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0" x14ac:dyDescent="0.35">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0" x14ac:dyDescent="0.35">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0" x14ac:dyDescent="0.35">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0" x14ac:dyDescent="0.35">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0" x14ac:dyDescent="0.35">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0" x14ac:dyDescent="0.35">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0" x14ac:dyDescent="0.35">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0" x14ac:dyDescent="0.35">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0" x14ac:dyDescent="0.35">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0" x14ac:dyDescent="0.35">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0" x14ac:dyDescent="0.35">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0" x14ac:dyDescent="0.35">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0" x14ac:dyDescent="0.35">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0" x14ac:dyDescent="0.35">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0" x14ac:dyDescent="0.35">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0" x14ac:dyDescent="0.35">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0" x14ac:dyDescent="0.35">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0" x14ac:dyDescent="0.35">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0" x14ac:dyDescent="0.35">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0" x14ac:dyDescent="0.35">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0" x14ac:dyDescent="0.35">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0" x14ac:dyDescent="0.35">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0" x14ac:dyDescent="0.35">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0" x14ac:dyDescent="0.35">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0" x14ac:dyDescent="0.35">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0" x14ac:dyDescent="0.35">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0" x14ac:dyDescent="0.35">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0" x14ac:dyDescent="0.35">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0" x14ac:dyDescent="0.35">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0" x14ac:dyDescent="0.35">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0" x14ac:dyDescent="0.35">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0" x14ac:dyDescent="0.35">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0" x14ac:dyDescent="0.35">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0" x14ac:dyDescent="0.35">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0" x14ac:dyDescent="0.35">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0" x14ac:dyDescent="0.35">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0" x14ac:dyDescent="0.35">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0" x14ac:dyDescent="0.35">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0" x14ac:dyDescent="0.35">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0" x14ac:dyDescent="0.35">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0" x14ac:dyDescent="0.35">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0" x14ac:dyDescent="0.35">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0" x14ac:dyDescent="0.35">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0" x14ac:dyDescent="0.35">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0" x14ac:dyDescent="0.35">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0" x14ac:dyDescent="0.35">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0" x14ac:dyDescent="0.35">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0" x14ac:dyDescent="0.35">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0" x14ac:dyDescent="0.35">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0" x14ac:dyDescent="0.35">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0" x14ac:dyDescent="0.35">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0" x14ac:dyDescent="0.35">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0" x14ac:dyDescent="0.35">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0" x14ac:dyDescent="0.35">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0" x14ac:dyDescent="0.35">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0" x14ac:dyDescent="0.35">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0" x14ac:dyDescent="0.35">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0" x14ac:dyDescent="0.35">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0" x14ac:dyDescent="0.35">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0" x14ac:dyDescent="0.35">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0" x14ac:dyDescent="0.35">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0" x14ac:dyDescent="0.35">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0" x14ac:dyDescent="0.35">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0" x14ac:dyDescent="0.35">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0" x14ac:dyDescent="0.35">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0" x14ac:dyDescent="0.35">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0" x14ac:dyDescent="0.35">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0" x14ac:dyDescent="0.35">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0" x14ac:dyDescent="0.35">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0" x14ac:dyDescent="0.35">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0" x14ac:dyDescent="0.35">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0" x14ac:dyDescent="0.35">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0" x14ac:dyDescent="0.35">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0" x14ac:dyDescent="0.35">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0" x14ac:dyDescent="0.35">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0" x14ac:dyDescent="0.35">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0" x14ac:dyDescent="0.35">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0" x14ac:dyDescent="0.35">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0" x14ac:dyDescent="0.35">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0" x14ac:dyDescent="0.35">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0" x14ac:dyDescent="0.35">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0" x14ac:dyDescent="0.35">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0" x14ac:dyDescent="0.35">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0" x14ac:dyDescent="0.35">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0" x14ac:dyDescent="0.35">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0" x14ac:dyDescent="0.35">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0" x14ac:dyDescent="0.35">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0" x14ac:dyDescent="0.35">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0" x14ac:dyDescent="0.35">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0" x14ac:dyDescent="0.35">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0" x14ac:dyDescent="0.35">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0" x14ac:dyDescent="0.35">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0" x14ac:dyDescent="0.35">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0" x14ac:dyDescent="0.35">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0" x14ac:dyDescent="0.35">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0" x14ac:dyDescent="0.35">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0" x14ac:dyDescent="0.35">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0" x14ac:dyDescent="0.35">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0" x14ac:dyDescent="0.35">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0" x14ac:dyDescent="0.35">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0" x14ac:dyDescent="0.35">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0" x14ac:dyDescent="0.35">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0" x14ac:dyDescent="0.35">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0" x14ac:dyDescent="0.35">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0" x14ac:dyDescent="0.35">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0" x14ac:dyDescent="0.35">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0" x14ac:dyDescent="0.35">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0" x14ac:dyDescent="0.35">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0" x14ac:dyDescent="0.35">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0" x14ac:dyDescent="0.35">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0" x14ac:dyDescent="0.35">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0" x14ac:dyDescent="0.35">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0" x14ac:dyDescent="0.35">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0" x14ac:dyDescent="0.35">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0" x14ac:dyDescent="0.35">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0" x14ac:dyDescent="0.35">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0" x14ac:dyDescent="0.35">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0" x14ac:dyDescent="0.35">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0" x14ac:dyDescent="0.35">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0" x14ac:dyDescent="0.35">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0" x14ac:dyDescent="0.35">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0" x14ac:dyDescent="0.35">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0" x14ac:dyDescent="0.35">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0" x14ac:dyDescent="0.35">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0" x14ac:dyDescent="0.35">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0" x14ac:dyDescent="0.35">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0" x14ac:dyDescent="0.35">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0" x14ac:dyDescent="0.35">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0" x14ac:dyDescent="0.35">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0" x14ac:dyDescent="0.35">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0" x14ac:dyDescent="0.35">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0" x14ac:dyDescent="0.35">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0" x14ac:dyDescent="0.35">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0" x14ac:dyDescent="0.35">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0" x14ac:dyDescent="0.35">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0" x14ac:dyDescent="0.35">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0" x14ac:dyDescent="0.35">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0" x14ac:dyDescent="0.35">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0" x14ac:dyDescent="0.35">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0" x14ac:dyDescent="0.35">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0" x14ac:dyDescent="0.35">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0" x14ac:dyDescent="0.35">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0" x14ac:dyDescent="0.35">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0" x14ac:dyDescent="0.35">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0" x14ac:dyDescent="0.35">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0" x14ac:dyDescent="0.35">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0" x14ac:dyDescent="0.35">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0" x14ac:dyDescent="0.35">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0" x14ac:dyDescent="0.35">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0" x14ac:dyDescent="0.35">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0" x14ac:dyDescent="0.35">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0" x14ac:dyDescent="0.35">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0" x14ac:dyDescent="0.35">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0" x14ac:dyDescent="0.35">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0" x14ac:dyDescent="0.35">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0" x14ac:dyDescent="0.35">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0" x14ac:dyDescent="0.35">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0" x14ac:dyDescent="0.35">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0" x14ac:dyDescent="0.35">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0" x14ac:dyDescent="0.35">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0" x14ac:dyDescent="0.35">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0" x14ac:dyDescent="0.35">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0" x14ac:dyDescent="0.35">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0" x14ac:dyDescent="0.35">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0" x14ac:dyDescent="0.35">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0" x14ac:dyDescent="0.35">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0" x14ac:dyDescent="0.35">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0" x14ac:dyDescent="0.35">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0" x14ac:dyDescent="0.35">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0" x14ac:dyDescent="0.35">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0" x14ac:dyDescent="0.35">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0" x14ac:dyDescent="0.35">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0" x14ac:dyDescent="0.35">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0" x14ac:dyDescent="0.35">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0" x14ac:dyDescent="0.35">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0" x14ac:dyDescent="0.35">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0" x14ac:dyDescent="0.35">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0" x14ac:dyDescent="0.35">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0" x14ac:dyDescent="0.35">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0" x14ac:dyDescent="0.35">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0" x14ac:dyDescent="0.35">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0" x14ac:dyDescent="0.35">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0" x14ac:dyDescent="0.35">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0" x14ac:dyDescent="0.35">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0" x14ac:dyDescent="0.35">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0" x14ac:dyDescent="0.35">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0" x14ac:dyDescent="0.35">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0" x14ac:dyDescent="0.35">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0" x14ac:dyDescent="0.35">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0" x14ac:dyDescent="0.35">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0" x14ac:dyDescent="0.35">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0" x14ac:dyDescent="0.35">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0" x14ac:dyDescent="0.35">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0" x14ac:dyDescent="0.35">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0" x14ac:dyDescent="0.35">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0" x14ac:dyDescent="0.35">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0" x14ac:dyDescent="0.35">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0" x14ac:dyDescent="0.35">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0" x14ac:dyDescent="0.35">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0" x14ac:dyDescent="0.35">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0" x14ac:dyDescent="0.35">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0" x14ac:dyDescent="0.35">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0" x14ac:dyDescent="0.35">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0" x14ac:dyDescent="0.35">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0" x14ac:dyDescent="0.35">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0" x14ac:dyDescent="0.35">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0" x14ac:dyDescent="0.35">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0" x14ac:dyDescent="0.35">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0" x14ac:dyDescent="0.35">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0" x14ac:dyDescent="0.35">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0" x14ac:dyDescent="0.35">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0" x14ac:dyDescent="0.35">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0" x14ac:dyDescent="0.35">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0" x14ac:dyDescent="0.35">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0" x14ac:dyDescent="0.35">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0" x14ac:dyDescent="0.35">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0" x14ac:dyDescent="0.35">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0" x14ac:dyDescent="0.35">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0" x14ac:dyDescent="0.35">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0" x14ac:dyDescent="0.35">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0" x14ac:dyDescent="0.35">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0" x14ac:dyDescent="0.35">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0" x14ac:dyDescent="0.35">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0" x14ac:dyDescent="0.35">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0" x14ac:dyDescent="0.35">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0" x14ac:dyDescent="0.35">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0" x14ac:dyDescent="0.35">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0" x14ac:dyDescent="0.35">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0" x14ac:dyDescent="0.35">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0" x14ac:dyDescent="0.35">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0" x14ac:dyDescent="0.35">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0" x14ac:dyDescent="0.35">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0" x14ac:dyDescent="0.35">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0" x14ac:dyDescent="0.35">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0" x14ac:dyDescent="0.35">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0" x14ac:dyDescent="0.35">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0" x14ac:dyDescent="0.35">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0" x14ac:dyDescent="0.35">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0" x14ac:dyDescent="0.35">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0" x14ac:dyDescent="0.35">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0" x14ac:dyDescent="0.35">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0" x14ac:dyDescent="0.35">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0" x14ac:dyDescent="0.35">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0" x14ac:dyDescent="0.35">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0" x14ac:dyDescent="0.35">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0" x14ac:dyDescent="0.35">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0" x14ac:dyDescent="0.35">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0" x14ac:dyDescent="0.35">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0" x14ac:dyDescent="0.35">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0" x14ac:dyDescent="0.35">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0" x14ac:dyDescent="0.35">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0" x14ac:dyDescent="0.35">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0" x14ac:dyDescent="0.35">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0" x14ac:dyDescent="0.35">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0" x14ac:dyDescent="0.35">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0" x14ac:dyDescent="0.35">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0" x14ac:dyDescent="0.35">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0" x14ac:dyDescent="0.35">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0" x14ac:dyDescent="0.35">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0" x14ac:dyDescent="0.35">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0" x14ac:dyDescent="0.35">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0" x14ac:dyDescent="0.35">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0" x14ac:dyDescent="0.35">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0" x14ac:dyDescent="0.35">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0" x14ac:dyDescent="0.35">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0" x14ac:dyDescent="0.35">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0" x14ac:dyDescent="0.35">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0" x14ac:dyDescent="0.35">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0" x14ac:dyDescent="0.35">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0" x14ac:dyDescent="0.35">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0" x14ac:dyDescent="0.35">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0" x14ac:dyDescent="0.35">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0" x14ac:dyDescent="0.35">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0" x14ac:dyDescent="0.35">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0" x14ac:dyDescent="0.35">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0" x14ac:dyDescent="0.35">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0" x14ac:dyDescent="0.35">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0" x14ac:dyDescent="0.35">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0" x14ac:dyDescent="0.35">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0" x14ac:dyDescent="0.35">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0" x14ac:dyDescent="0.35">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0" x14ac:dyDescent="0.35">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0" x14ac:dyDescent="0.35">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0" x14ac:dyDescent="0.35">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0" x14ac:dyDescent="0.35">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0" x14ac:dyDescent="0.35">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0" x14ac:dyDescent="0.35">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0" x14ac:dyDescent="0.35">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0" x14ac:dyDescent="0.35">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0" x14ac:dyDescent="0.35">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0" x14ac:dyDescent="0.35">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0" x14ac:dyDescent="0.35">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0" x14ac:dyDescent="0.35">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0" x14ac:dyDescent="0.35">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0" x14ac:dyDescent="0.35">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0" x14ac:dyDescent="0.35">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0" x14ac:dyDescent="0.35">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0" x14ac:dyDescent="0.35">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0" x14ac:dyDescent="0.35">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0" x14ac:dyDescent="0.35">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0" x14ac:dyDescent="0.35">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0" x14ac:dyDescent="0.35">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0" x14ac:dyDescent="0.35">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0" x14ac:dyDescent="0.35">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0" x14ac:dyDescent="0.35">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0" x14ac:dyDescent="0.35">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0" x14ac:dyDescent="0.35">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0" x14ac:dyDescent="0.35">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0" x14ac:dyDescent="0.35">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0" x14ac:dyDescent="0.35">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0" x14ac:dyDescent="0.35">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0" x14ac:dyDescent="0.35">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0" x14ac:dyDescent="0.35">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0" x14ac:dyDescent="0.35">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0" x14ac:dyDescent="0.35">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0" x14ac:dyDescent="0.35">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0" x14ac:dyDescent="0.35">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0" x14ac:dyDescent="0.35">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0" x14ac:dyDescent="0.35">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0" x14ac:dyDescent="0.35">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0" x14ac:dyDescent="0.35">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0" x14ac:dyDescent="0.35">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0" x14ac:dyDescent="0.35">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0" x14ac:dyDescent="0.35">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0" x14ac:dyDescent="0.35">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0" x14ac:dyDescent="0.35">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0" x14ac:dyDescent="0.35">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0" x14ac:dyDescent="0.35">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0" x14ac:dyDescent="0.35">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0" x14ac:dyDescent="0.35">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0" x14ac:dyDescent="0.35">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0" x14ac:dyDescent="0.35">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0" x14ac:dyDescent="0.35">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0" x14ac:dyDescent="0.35">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0" x14ac:dyDescent="0.35">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0" x14ac:dyDescent="0.35">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0" x14ac:dyDescent="0.35">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0" x14ac:dyDescent="0.35">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0" x14ac:dyDescent="0.35">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0" x14ac:dyDescent="0.35">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0" x14ac:dyDescent="0.35">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0" x14ac:dyDescent="0.35">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0" x14ac:dyDescent="0.35">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0" x14ac:dyDescent="0.35">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0" x14ac:dyDescent="0.35">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0" x14ac:dyDescent="0.35">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0" x14ac:dyDescent="0.35">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0" x14ac:dyDescent="0.35">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0" x14ac:dyDescent="0.35">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0" x14ac:dyDescent="0.35">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0" x14ac:dyDescent="0.35">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0" x14ac:dyDescent="0.35">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0" x14ac:dyDescent="0.35">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0" x14ac:dyDescent="0.35">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35">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0" x14ac:dyDescent="0.35">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0" x14ac:dyDescent="0.35">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0" x14ac:dyDescent="0.35">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0" x14ac:dyDescent="0.35">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0" x14ac:dyDescent="0.35">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0" x14ac:dyDescent="0.35">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0" x14ac:dyDescent="0.35">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0" x14ac:dyDescent="0.35">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0" x14ac:dyDescent="0.35">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0" x14ac:dyDescent="0.35">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0" x14ac:dyDescent="0.35">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0" x14ac:dyDescent="0.35">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0" x14ac:dyDescent="0.35">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0" x14ac:dyDescent="0.35">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0" x14ac:dyDescent="0.35">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0" x14ac:dyDescent="0.35">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0" x14ac:dyDescent="0.35">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0" x14ac:dyDescent="0.35">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0" x14ac:dyDescent="0.35">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0" x14ac:dyDescent="0.35">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0" x14ac:dyDescent="0.35">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0" x14ac:dyDescent="0.35">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0" x14ac:dyDescent="0.35">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0" x14ac:dyDescent="0.35">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0" x14ac:dyDescent="0.35">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0" x14ac:dyDescent="0.35">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0" x14ac:dyDescent="0.35">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0" x14ac:dyDescent="0.35">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0" x14ac:dyDescent="0.35">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0" x14ac:dyDescent="0.35">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0" x14ac:dyDescent="0.35">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0" x14ac:dyDescent="0.35">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0" x14ac:dyDescent="0.35">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0" x14ac:dyDescent="0.35">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0" x14ac:dyDescent="0.35">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0" x14ac:dyDescent="0.35">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0" x14ac:dyDescent="0.35">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0" x14ac:dyDescent="0.35">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0" x14ac:dyDescent="0.35">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0" x14ac:dyDescent="0.35">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0" x14ac:dyDescent="0.35">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0" x14ac:dyDescent="0.35">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0" x14ac:dyDescent="0.35">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0" x14ac:dyDescent="0.35">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0" x14ac:dyDescent="0.35">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0" x14ac:dyDescent="0.35">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0" x14ac:dyDescent="0.35">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0" x14ac:dyDescent="0.35">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0" x14ac:dyDescent="0.35">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0" x14ac:dyDescent="0.35">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0" x14ac:dyDescent="0.35">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0" x14ac:dyDescent="0.35">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0" x14ac:dyDescent="0.35">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0" x14ac:dyDescent="0.35">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0" x14ac:dyDescent="0.35">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0" x14ac:dyDescent="0.35">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0" x14ac:dyDescent="0.35">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0" x14ac:dyDescent="0.35">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0" x14ac:dyDescent="0.35">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0" x14ac:dyDescent="0.35">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0" x14ac:dyDescent="0.35">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0" x14ac:dyDescent="0.35">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0" x14ac:dyDescent="0.35">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0" x14ac:dyDescent="0.35">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0" x14ac:dyDescent="0.35">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0" x14ac:dyDescent="0.35">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0" x14ac:dyDescent="0.35">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0" x14ac:dyDescent="0.35">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0" x14ac:dyDescent="0.35">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0" x14ac:dyDescent="0.35">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0" x14ac:dyDescent="0.35">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0" x14ac:dyDescent="0.35">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0" x14ac:dyDescent="0.35">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0" x14ac:dyDescent="0.35">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0" x14ac:dyDescent="0.35">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0" x14ac:dyDescent="0.35">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0" x14ac:dyDescent="0.35">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0" x14ac:dyDescent="0.35">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0" x14ac:dyDescent="0.35">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0" x14ac:dyDescent="0.35">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0" x14ac:dyDescent="0.35">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0" x14ac:dyDescent="0.35">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0" x14ac:dyDescent="0.35">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0" x14ac:dyDescent="0.35">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0" x14ac:dyDescent="0.35">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0" x14ac:dyDescent="0.35">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0" x14ac:dyDescent="0.35">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0" x14ac:dyDescent="0.35">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0" x14ac:dyDescent="0.35">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0" x14ac:dyDescent="0.35">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0" x14ac:dyDescent="0.35">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0" x14ac:dyDescent="0.35">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0" x14ac:dyDescent="0.35">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0" x14ac:dyDescent="0.35">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0" x14ac:dyDescent="0.35">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0" x14ac:dyDescent="0.35">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0" x14ac:dyDescent="0.35">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0" x14ac:dyDescent="0.35">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0" x14ac:dyDescent="0.35">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0" x14ac:dyDescent="0.35">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0" x14ac:dyDescent="0.35">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0" x14ac:dyDescent="0.35">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0" x14ac:dyDescent="0.35">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0" x14ac:dyDescent="0.35">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0" x14ac:dyDescent="0.35">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0" x14ac:dyDescent="0.35">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0" x14ac:dyDescent="0.35">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0" x14ac:dyDescent="0.35">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0" x14ac:dyDescent="0.35">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0" x14ac:dyDescent="0.35">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0" x14ac:dyDescent="0.35">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0" x14ac:dyDescent="0.35">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0" x14ac:dyDescent="0.35">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0" x14ac:dyDescent="0.35">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0" x14ac:dyDescent="0.35">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0" x14ac:dyDescent="0.35">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0" x14ac:dyDescent="0.35">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0" x14ac:dyDescent="0.35">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0" x14ac:dyDescent="0.35">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0" x14ac:dyDescent="0.35">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0" x14ac:dyDescent="0.35">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0" x14ac:dyDescent="0.35">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0" x14ac:dyDescent="0.35">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0" x14ac:dyDescent="0.35">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0" x14ac:dyDescent="0.35">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0" x14ac:dyDescent="0.35">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0" x14ac:dyDescent="0.35">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0" x14ac:dyDescent="0.35">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0" x14ac:dyDescent="0.35">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0" x14ac:dyDescent="0.35">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0" x14ac:dyDescent="0.35">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0" x14ac:dyDescent="0.35">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0" x14ac:dyDescent="0.35">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0" x14ac:dyDescent="0.35">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0" x14ac:dyDescent="0.35">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0" x14ac:dyDescent="0.35">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0" x14ac:dyDescent="0.35">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0" x14ac:dyDescent="0.35">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0" x14ac:dyDescent="0.35">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0" x14ac:dyDescent="0.35">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0" x14ac:dyDescent="0.35">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0" x14ac:dyDescent="0.35">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0" x14ac:dyDescent="0.35">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0" x14ac:dyDescent="0.35">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0" x14ac:dyDescent="0.35">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0" x14ac:dyDescent="0.35">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0" x14ac:dyDescent="0.35">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0" x14ac:dyDescent="0.35">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0" x14ac:dyDescent="0.35">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0" x14ac:dyDescent="0.35">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0" x14ac:dyDescent="0.35">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0" x14ac:dyDescent="0.35">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0" x14ac:dyDescent="0.35">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0" x14ac:dyDescent="0.35">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0" x14ac:dyDescent="0.35">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0" x14ac:dyDescent="0.35">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0" x14ac:dyDescent="0.35">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0" x14ac:dyDescent="0.35">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0" x14ac:dyDescent="0.35">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0" x14ac:dyDescent="0.35">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0" x14ac:dyDescent="0.35">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0" x14ac:dyDescent="0.35">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0" x14ac:dyDescent="0.35">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0" x14ac:dyDescent="0.35">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0" x14ac:dyDescent="0.35">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0" x14ac:dyDescent="0.35">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0" x14ac:dyDescent="0.35">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0" x14ac:dyDescent="0.35">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0" x14ac:dyDescent="0.35">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0" x14ac:dyDescent="0.35">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0" x14ac:dyDescent="0.35">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0" x14ac:dyDescent="0.35">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0" x14ac:dyDescent="0.35">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0" x14ac:dyDescent="0.35">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0" x14ac:dyDescent="0.35">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0" x14ac:dyDescent="0.35">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0" x14ac:dyDescent="0.35">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0" x14ac:dyDescent="0.35">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0" x14ac:dyDescent="0.35">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0" x14ac:dyDescent="0.35">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0" x14ac:dyDescent="0.35">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0" x14ac:dyDescent="0.35">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0" x14ac:dyDescent="0.35">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0" x14ac:dyDescent="0.35">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0" x14ac:dyDescent="0.35">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0" x14ac:dyDescent="0.35">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0" x14ac:dyDescent="0.35">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0" x14ac:dyDescent="0.35">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0" x14ac:dyDescent="0.35">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0" x14ac:dyDescent="0.35">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0" x14ac:dyDescent="0.35">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0" x14ac:dyDescent="0.35">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0" x14ac:dyDescent="0.35">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0" x14ac:dyDescent="0.35">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0" x14ac:dyDescent="0.35">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0" x14ac:dyDescent="0.35">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0" x14ac:dyDescent="0.35">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0" x14ac:dyDescent="0.35">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0" x14ac:dyDescent="0.35">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0" x14ac:dyDescent="0.35">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0" x14ac:dyDescent="0.35">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0" x14ac:dyDescent="0.35">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0" x14ac:dyDescent="0.35">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0" x14ac:dyDescent="0.35">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0" x14ac:dyDescent="0.35">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0" x14ac:dyDescent="0.35">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0" x14ac:dyDescent="0.35">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0" x14ac:dyDescent="0.35">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0" x14ac:dyDescent="0.35">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0" x14ac:dyDescent="0.35">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0" x14ac:dyDescent="0.35">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0" x14ac:dyDescent="0.35">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0" x14ac:dyDescent="0.35">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0" x14ac:dyDescent="0.35">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0" x14ac:dyDescent="0.35">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0" x14ac:dyDescent="0.35">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0" x14ac:dyDescent="0.35">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0" x14ac:dyDescent="0.35">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0" x14ac:dyDescent="0.35">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0" x14ac:dyDescent="0.35">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0" x14ac:dyDescent="0.35">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0" x14ac:dyDescent="0.35">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0" x14ac:dyDescent="0.35">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0" x14ac:dyDescent="0.35">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0" x14ac:dyDescent="0.35">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0" x14ac:dyDescent="0.35">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0" x14ac:dyDescent="0.35">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0" x14ac:dyDescent="0.35">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0" x14ac:dyDescent="0.35">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0" x14ac:dyDescent="0.35">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0" x14ac:dyDescent="0.35">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0" x14ac:dyDescent="0.35">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0" x14ac:dyDescent="0.35">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0" x14ac:dyDescent="0.35">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0" x14ac:dyDescent="0.35">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0" x14ac:dyDescent="0.35">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0" x14ac:dyDescent="0.35">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0" x14ac:dyDescent="0.35">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0" x14ac:dyDescent="0.35">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0" x14ac:dyDescent="0.35">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0" x14ac:dyDescent="0.35">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0" x14ac:dyDescent="0.35">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0" x14ac:dyDescent="0.35">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0" x14ac:dyDescent="0.35">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0" x14ac:dyDescent="0.35">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0" x14ac:dyDescent="0.35">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0" x14ac:dyDescent="0.35">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0" x14ac:dyDescent="0.35">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x14ac:dyDescent="0.35">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0" x14ac:dyDescent="0.35">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0" x14ac:dyDescent="0.35">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x14ac:dyDescent="0.35">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0" x14ac:dyDescent="0.35">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0" x14ac:dyDescent="0.35">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0" x14ac:dyDescent="0.35">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0" x14ac:dyDescent="0.35">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0" x14ac:dyDescent="0.35">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x14ac:dyDescent="0.35">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0" x14ac:dyDescent="0.35">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x14ac:dyDescent="0.35">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0" x14ac:dyDescent="0.35">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0" x14ac:dyDescent="0.35">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0" x14ac:dyDescent="0.35">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0" x14ac:dyDescent="0.35">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x14ac:dyDescent="0.35">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x14ac:dyDescent="0.35">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0" x14ac:dyDescent="0.35">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0" x14ac:dyDescent="0.35">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x14ac:dyDescent="0.35">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x14ac:dyDescent="0.35">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0" x14ac:dyDescent="0.35">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0" x14ac:dyDescent="0.35">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0" x14ac:dyDescent="0.35">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0" x14ac:dyDescent="0.35">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0" x14ac:dyDescent="0.35">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0" x14ac:dyDescent="0.35">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0" x14ac:dyDescent="0.35">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0" x14ac:dyDescent="0.35">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0" x14ac:dyDescent="0.35">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0" x14ac:dyDescent="0.35">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0" x14ac:dyDescent="0.35">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0" x14ac:dyDescent="0.35">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0" x14ac:dyDescent="0.35">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0" x14ac:dyDescent="0.35">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0" x14ac:dyDescent="0.35">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0" x14ac:dyDescent="0.35">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0" x14ac:dyDescent="0.35">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0" x14ac:dyDescent="0.35">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0" x14ac:dyDescent="0.35">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0" x14ac:dyDescent="0.35">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x14ac:dyDescent="0.35">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0" x14ac:dyDescent="0.35">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0" x14ac:dyDescent="0.35">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0" x14ac:dyDescent="0.35">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0" x14ac:dyDescent="0.35">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0" x14ac:dyDescent="0.35">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x14ac:dyDescent="0.35">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0" x14ac:dyDescent="0.35">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0" x14ac:dyDescent="0.35">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0" x14ac:dyDescent="0.35">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0" x14ac:dyDescent="0.35">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0" x14ac:dyDescent="0.35">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x14ac:dyDescent="0.35">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x14ac:dyDescent="0.35">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0" x14ac:dyDescent="0.35">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0" x14ac:dyDescent="0.35">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0" x14ac:dyDescent="0.35">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0" x14ac:dyDescent="0.35">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0" x14ac:dyDescent="0.35">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0" x14ac:dyDescent="0.35">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x14ac:dyDescent="0.35">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0" x14ac:dyDescent="0.35">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0" x14ac:dyDescent="0.35">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0" x14ac:dyDescent="0.35">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0" x14ac:dyDescent="0.35">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x14ac:dyDescent="0.35">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x14ac:dyDescent="0.35">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x14ac:dyDescent="0.35">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x14ac:dyDescent="0.35">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x14ac:dyDescent="0.35">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x14ac:dyDescent="0.35">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x14ac:dyDescent="0.35">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0" x14ac:dyDescent="0.35">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0" x14ac:dyDescent="0.35">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0" x14ac:dyDescent="0.35">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0" x14ac:dyDescent="0.35">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0" x14ac:dyDescent="0.35">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0" x14ac:dyDescent="0.35">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0" x14ac:dyDescent="0.35">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0" x14ac:dyDescent="0.35">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0" x14ac:dyDescent="0.35">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0" x14ac:dyDescent="0.35">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0" x14ac:dyDescent="0.35">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0" x14ac:dyDescent="0.35">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0" x14ac:dyDescent="0.35">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0" x14ac:dyDescent="0.35">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0" x14ac:dyDescent="0.35">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0" x14ac:dyDescent="0.35">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0" x14ac:dyDescent="0.35">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0" x14ac:dyDescent="0.35">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0" x14ac:dyDescent="0.35">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0" x14ac:dyDescent="0.35">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0" x14ac:dyDescent="0.35">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0" x14ac:dyDescent="0.35">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0" x14ac:dyDescent="0.35">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0" x14ac:dyDescent="0.35">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0" x14ac:dyDescent="0.35">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0" x14ac:dyDescent="0.35">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0" x14ac:dyDescent="0.35">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0" x14ac:dyDescent="0.35">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0" x14ac:dyDescent="0.35">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0" x14ac:dyDescent="0.35">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0" x14ac:dyDescent="0.35">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0" x14ac:dyDescent="0.35">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0" x14ac:dyDescent="0.35">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x14ac:dyDescent="0.35">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0" x14ac:dyDescent="0.35">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0" x14ac:dyDescent="0.35">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0" x14ac:dyDescent="0.35">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0" x14ac:dyDescent="0.35">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0" x14ac:dyDescent="0.35">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0" x14ac:dyDescent="0.35">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x14ac:dyDescent="0.35">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0" x14ac:dyDescent="0.35">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0" x14ac:dyDescent="0.35">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0" x14ac:dyDescent="0.35">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0" x14ac:dyDescent="0.35">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0" x14ac:dyDescent="0.35">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x14ac:dyDescent="0.35">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0" x14ac:dyDescent="0.35">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0" x14ac:dyDescent="0.35">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0" x14ac:dyDescent="0.35">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0" x14ac:dyDescent="0.35">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x14ac:dyDescent="0.35">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0" x14ac:dyDescent="0.35">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0" x14ac:dyDescent="0.35">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0" x14ac:dyDescent="0.35">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0" x14ac:dyDescent="0.35">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0" x14ac:dyDescent="0.35">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0" x14ac:dyDescent="0.35">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0" x14ac:dyDescent="0.35">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0" x14ac:dyDescent="0.35">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0" x14ac:dyDescent="0.35">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0" x14ac:dyDescent="0.35">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0" x14ac:dyDescent="0.35">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0" x14ac:dyDescent="0.35">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0" x14ac:dyDescent="0.35">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0" x14ac:dyDescent="0.35">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0" x14ac:dyDescent="0.35">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0" x14ac:dyDescent="0.35">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0" x14ac:dyDescent="0.35">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0" x14ac:dyDescent="0.35">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0" x14ac:dyDescent="0.35">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0" x14ac:dyDescent="0.35">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0" x14ac:dyDescent="0.35">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0" x14ac:dyDescent="0.35">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0" x14ac:dyDescent="0.35">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0" x14ac:dyDescent="0.35">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0" x14ac:dyDescent="0.35">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0" x14ac:dyDescent="0.35">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0" x14ac:dyDescent="0.35">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0" x14ac:dyDescent="0.35">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0" x14ac:dyDescent="0.35">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0" x14ac:dyDescent="0.35">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0" x14ac:dyDescent="0.35">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0" x14ac:dyDescent="0.35">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0" x14ac:dyDescent="0.35">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0" x14ac:dyDescent="0.35">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0" x14ac:dyDescent="0.35">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0" x14ac:dyDescent="0.35">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0" x14ac:dyDescent="0.35">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0" x14ac:dyDescent="0.35">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0" x14ac:dyDescent="0.35">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0" x14ac:dyDescent="0.35">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0" x14ac:dyDescent="0.35">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0" x14ac:dyDescent="0.35">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0" x14ac:dyDescent="0.35">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0" x14ac:dyDescent="0.35">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0" x14ac:dyDescent="0.35">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0" x14ac:dyDescent="0.35">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0" x14ac:dyDescent="0.35">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0" x14ac:dyDescent="0.35">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0" x14ac:dyDescent="0.35">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0" x14ac:dyDescent="0.35">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0" x14ac:dyDescent="0.35">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0" x14ac:dyDescent="0.35">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0" x14ac:dyDescent="0.35">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0" x14ac:dyDescent="0.35">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0" x14ac:dyDescent="0.35">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0" x14ac:dyDescent="0.35">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0" x14ac:dyDescent="0.35">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0" x14ac:dyDescent="0.35">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0" x14ac:dyDescent="0.35">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0" x14ac:dyDescent="0.35">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0" x14ac:dyDescent="0.35">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0" x14ac:dyDescent="0.35">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0" x14ac:dyDescent="0.35">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0" x14ac:dyDescent="0.35">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0" x14ac:dyDescent="0.35">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0" x14ac:dyDescent="0.35">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0" x14ac:dyDescent="0.35">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0" x14ac:dyDescent="0.35">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0" x14ac:dyDescent="0.35">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0" x14ac:dyDescent="0.35">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0" x14ac:dyDescent="0.35">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0" x14ac:dyDescent="0.35">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0" x14ac:dyDescent="0.35">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0" x14ac:dyDescent="0.35">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0" x14ac:dyDescent="0.35">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0" x14ac:dyDescent="0.35">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0" x14ac:dyDescent="0.35">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0" x14ac:dyDescent="0.35">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0" x14ac:dyDescent="0.35">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0" x14ac:dyDescent="0.35">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0" x14ac:dyDescent="0.35">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0" x14ac:dyDescent="0.35">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0" x14ac:dyDescent="0.35">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0" x14ac:dyDescent="0.35">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0" x14ac:dyDescent="0.35">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0" x14ac:dyDescent="0.35">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0" x14ac:dyDescent="0.35">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0" x14ac:dyDescent="0.35">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0" x14ac:dyDescent="0.35">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0" x14ac:dyDescent="0.35">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0" x14ac:dyDescent="0.35">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0" x14ac:dyDescent="0.35">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0" x14ac:dyDescent="0.35">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0" x14ac:dyDescent="0.35">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0" x14ac:dyDescent="0.35">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0" x14ac:dyDescent="0.35">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0" x14ac:dyDescent="0.35">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0" x14ac:dyDescent="0.35">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0" x14ac:dyDescent="0.35">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0" x14ac:dyDescent="0.35">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0" x14ac:dyDescent="0.35">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0" x14ac:dyDescent="0.35">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0" x14ac:dyDescent="0.35">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0" x14ac:dyDescent="0.35">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0" x14ac:dyDescent="0.35">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0" x14ac:dyDescent="0.35">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0" x14ac:dyDescent="0.35">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0" x14ac:dyDescent="0.35">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0" x14ac:dyDescent="0.35">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0" x14ac:dyDescent="0.35">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0" x14ac:dyDescent="0.35">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0" x14ac:dyDescent="0.35">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0" x14ac:dyDescent="0.35">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0" x14ac:dyDescent="0.35">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0" x14ac:dyDescent="0.35">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0" x14ac:dyDescent="0.35">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0" x14ac:dyDescent="0.35">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0" x14ac:dyDescent="0.35">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0" x14ac:dyDescent="0.35">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20" x14ac:dyDescent="0.35">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0" x14ac:dyDescent="0.35">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0" x14ac:dyDescent="0.35">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0" x14ac:dyDescent="0.35">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20" x14ac:dyDescent="0.35">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20" x14ac:dyDescent="0.35">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0" x14ac:dyDescent="0.35">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20" x14ac:dyDescent="0.35">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20" x14ac:dyDescent="0.35">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0" x14ac:dyDescent="0.35">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20" x14ac:dyDescent="0.35">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0" x14ac:dyDescent="0.35">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0" x14ac:dyDescent="0.35">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0" x14ac:dyDescent="0.35">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20" x14ac:dyDescent="0.35">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0" x14ac:dyDescent="0.35">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0" x14ac:dyDescent="0.35">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0" x14ac:dyDescent="0.35">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0" x14ac:dyDescent="0.35">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0" x14ac:dyDescent="0.35">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20" x14ac:dyDescent="0.35">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0" x14ac:dyDescent="0.35">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0" x14ac:dyDescent="0.35">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0" x14ac:dyDescent="0.35">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0" x14ac:dyDescent="0.35">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0" x14ac:dyDescent="0.35">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0" x14ac:dyDescent="0.35">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0" x14ac:dyDescent="0.35">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0" x14ac:dyDescent="0.35">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0" x14ac:dyDescent="0.35">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0" x14ac:dyDescent="0.35">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0" x14ac:dyDescent="0.35">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20" x14ac:dyDescent="0.35">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0" x14ac:dyDescent="0.35">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0" x14ac:dyDescent="0.35">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0" x14ac:dyDescent="0.35">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0" x14ac:dyDescent="0.35">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0" x14ac:dyDescent="0.35">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0" x14ac:dyDescent="0.35">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0" x14ac:dyDescent="0.35">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0" x14ac:dyDescent="0.35">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0" x14ac:dyDescent="0.35">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0" x14ac:dyDescent="0.35">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0" x14ac:dyDescent="0.35">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0" x14ac:dyDescent="0.35">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0" x14ac:dyDescent="0.35">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0" x14ac:dyDescent="0.35">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0" x14ac:dyDescent="0.35">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0" x14ac:dyDescent="0.35">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0" x14ac:dyDescent="0.35">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0" x14ac:dyDescent="0.35">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0" x14ac:dyDescent="0.35">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0" x14ac:dyDescent="0.35">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0" x14ac:dyDescent="0.35">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20" x14ac:dyDescent="0.35">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0" x14ac:dyDescent="0.35">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20" x14ac:dyDescent="0.35">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0" x14ac:dyDescent="0.35">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20" x14ac:dyDescent="0.35">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0" x14ac:dyDescent="0.35">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0" x14ac:dyDescent="0.35">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0" x14ac:dyDescent="0.35">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0" x14ac:dyDescent="0.35">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0" x14ac:dyDescent="0.35">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0" x14ac:dyDescent="0.35">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0" x14ac:dyDescent="0.35">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0" x14ac:dyDescent="0.35">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0" x14ac:dyDescent="0.35">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0" x14ac:dyDescent="0.35">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0" x14ac:dyDescent="0.35">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0" x14ac:dyDescent="0.35">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0" x14ac:dyDescent="0.35">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0" x14ac:dyDescent="0.35">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0" x14ac:dyDescent="0.35">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0" x14ac:dyDescent="0.35">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0" x14ac:dyDescent="0.35">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0" x14ac:dyDescent="0.35">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0" x14ac:dyDescent="0.35">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0" x14ac:dyDescent="0.35">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0" x14ac:dyDescent="0.35">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0" x14ac:dyDescent="0.35">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0" x14ac:dyDescent="0.35">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0" x14ac:dyDescent="0.35">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0" x14ac:dyDescent="0.35">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0" x14ac:dyDescent="0.35">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0" x14ac:dyDescent="0.35">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0" x14ac:dyDescent="0.35">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35">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35">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0" x14ac:dyDescent="0.35">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35">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35">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35">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0" x14ac:dyDescent="0.35">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0" x14ac:dyDescent="0.35">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35">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0" x14ac:dyDescent="0.35">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35">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35">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0" x14ac:dyDescent="0.35">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35">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35">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35">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35">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35">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35">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35">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35">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35">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35">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35">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35">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35">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0" x14ac:dyDescent="0.35">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0" x14ac:dyDescent="0.35">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0" x14ac:dyDescent="0.35">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0" x14ac:dyDescent="0.35">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0" x14ac:dyDescent="0.35">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0" x14ac:dyDescent="0.35">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0" x14ac:dyDescent="0.35">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0" x14ac:dyDescent="0.35">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0" x14ac:dyDescent="0.35">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0" x14ac:dyDescent="0.35">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0" x14ac:dyDescent="0.35">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0" x14ac:dyDescent="0.35">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0" x14ac:dyDescent="0.35">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0" x14ac:dyDescent="0.35">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0" x14ac:dyDescent="0.35">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0" x14ac:dyDescent="0.35">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0" x14ac:dyDescent="0.35">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0" x14ac:dyDescent="0.35">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0" x14ac:dyDescent="0.35">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0" x14ac:dyDescent="0.35">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0" x14ac:dyDescent="0.35">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0" x14ac:dyDescent="0.35">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0" x14ac:dyDescent="0.35">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0" x14ac:dyDescent="0.35">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0" x14ac:dyDescent="0.35">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0" x14ac:dyDescent="0.35">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0" x14ac:dyDescent="0.35">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0" x14ac:dyDescent="0.35">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0" x14ac:dyDescent="0.35">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0" x14ac:dyDescent="0.35">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0" x14ac:dyDescent="0.35">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0" x14ac:dyDescent="0.35">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0" x14ac:dyDescent="0.35">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0" x14ac:dyDescent="0.35">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0" x14ac:dyDescent="0.35">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0" x14ac:dyDescent="0.35">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0" x14ac:dyDescent="0.35">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0" x14ac:dyDescent="0.35">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0" x14ac:dyDescent="0.35">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0" x14ac:dyDescent="0.35">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0" x14ac:dyDescent="0.35">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0" x14ac:dyDescent="0.35">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0" x14ac:dyDescent="0.35">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0" x14ac:dyDescent="0.35">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0" x14ac:dyDescent="0.35">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0" x14ac:dyDescent="0.35">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0" x14ac:dyDescent="0.35">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35">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0" x14ac:dyDescent="0.35">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35">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35">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0" x14ac:dyDescent="0.35">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0" x14ac:dyDescent="0.35">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35">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35">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35">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35">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0" x14ac:dyDescent="0.35">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0" x14ac:dyDescent="0.35">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35">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0" x14ac:dyDescent="0.35">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0" x14ac:dyDescent="0.35">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35">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35">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35">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35">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0" x14ac:dyDescent="0.35">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35">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35">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35">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0" x14ac:dyDescent="0.35">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35">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35">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35">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35">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35">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35">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35">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35">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0" x14ac:dyDescent="0.35">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35">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35">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0" x14ac:dyDescent="0.35">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0" x14ac:dyDescent="0.35">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0" x14ac:dyDescent="0.35">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0" x14ac:dyDescent="0.35">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35">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35">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35">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35">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35">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0" x14ac:dyDescent="0.35">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0" x14ac:dyDescent="0.35">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0" x14ac:dyDescent="0.35">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0" x14ac:dyDescent="0.35">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0" x14ac:dyDescent="0.35">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0" x14ac:dyDescent="0.35">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0" x14ac:dyDescent="0.35">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0" x14ac:dyDescent="0.35">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0" x14ac:dyDescent="0.35">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35">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0" x14ac:dyDescent="0.35">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0" x14ac:dyDescent="0.35">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0" x14ac:dyDescent="0.35">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0" x14ac:dyDescent="0.35">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0" x14ac:dyDescent="0.35">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0" x14ac:dyDescent="0.35">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0" x14ac:dyDescent="0.35">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0" x14ac:dyDescent="0.35">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0" x14ac:dyDescent="0.35">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0" x14ac:dyDescent="0.35">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0" x14ac:dyDescent="0.35">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0" x14ac:dyDescent="0.35">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0" x14ac:dyDescent="0.35">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0" x14ac:dyDescent="0.35">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0" x14ac:dyDescent="0.35">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0" x14ac:dyDescent="0.35">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0" x14ac:dyDescent="0.35">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0" x14ac:dyDescent="0.35">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0" x14ac:dyDescent="0.35">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0" x14ac:dyDescent="0.35">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0" x14ac:dyDescent="0.35">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0" x14ac:dyDescent="0.35">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0" x14ac:dyDescent="0.35">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0" x14ac:dyDescent="0.35">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0" x14ac:dyDescent="0.35">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0" x14ac:dyDescent="0.35">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0" x14ac:dyDescent="0.35">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0" x14ac:dyDescent="0.35">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0" x14ac:dyDescent="0.35">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0" x14ac:dyDescent="0.35">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0" x14ac:dyDescent="0.35">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0" x14ac:dyDescent="0.35">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0" x14ac:dyDescent="0.35">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0" x14ac:dyDescent="0.35">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0" x14ac:dyDescent="0.35">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0" x14ac:dyDescent="0.35">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0" x14ac:dyDescent="0.35">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35">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0" x14ac:dyDescent="0.35">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0" x14ac:dyDescent="0.35">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0" x14ac:dyDescent="0.35">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0" x14ac:dyDescent="0.35">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35">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35">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35">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0" x14ac:dyDescent="0.35">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35">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0" x14ac:dyDescent="0.35">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35">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0" x14ac:dyDescent="0.35">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0" x14ac:dyDescent="0.35">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35">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35">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0" x14ac:dyDescent="0.35">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0" x14ac:dyDescent="0.35">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0" x14ac:dyDescent="0.35">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0" x14ac:dyDescent="0.35">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0" x14ac:dyDescent="0.35">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35">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35">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0" x14ac:dyDescent="0.35">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0" x14ac:dyDescent="0.35">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0" x14ac:dyDescent="0.35">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0" x14ac:dyDescent="0.35">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0" x14ac:dyDescent="0.35">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0" x14ac:dyDescent="0.35">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0" x14ac:dyDescent="0.35">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0" x14ac:dyDescent="0.35">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0" x14ac:dyDescent="0.35">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0" x14ac:dyDescent="0.35">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0" x14ac:dyDescent="0.35">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0" x14ac:dyDescent="0.35">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0" x14ac:dyDescent="0.35">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0" x14ac:dyDescent="0.35">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0" x14ac:dyDescent="0.35">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0" x14ac:dyDescent="0.35">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0" x14ac:dyDescent="0.35">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0" x14ac:dyDescent="0.35">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0" x14ac:dyDescent="0.35">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0" x14ac:dyDescent="0.35">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0" x14ac:dyDescent="0.35">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0" x14ac:dyDescent="0.35">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0" x14ac:dyDescent="0.35">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0" x14ac:dyDescent="0.35">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0" x14ac:dyDescent="0.35">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0" x14ac:dyDescent="0.35">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0" x14ac:dyDescent="0.35">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0" x14ac:dyDescent="0.35">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0" x14ac:dyDescent="0.35">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0" x14ac:dyDescent="0.35">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0" x14ac:dyDescent="0.35">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0" x14ac:dyDescent="0.35">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0" x14ac:dyDescent="0.35">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0" x14ac:dyDescent="0.35">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0" x14ac:dyDescent="0.35">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0" x14ac:dyDescent="0.35">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0" x14ac:dyDescent="0.35">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0" x14ac:dyDescent="0.35">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0" x14ac:dyDescent="0.35">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0" x14ac:dyDescent="0.35">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0" x14ac:dyDescent="0.35">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0" x14ac:dyDescent="0.35">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0" x14ac:dyDescent="0.35">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0" x14ac:dyDescent="0.35">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0" x14ac:dyDescent="0.35">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0" x14ac:dyDescent="0.35">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0" x14ac:dyDescent="0.35">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0" x14ac:dyDescent="0.35">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0" x14ac:dyDescent="0.35">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0" x14ac:dyDescent="0.35">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0" x14ac:dyDescent="0.35">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0" x14ac:dyDescent="0.35">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0" x14ac:dyDescent="0.35">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0" x14ac:dyDescent="0.35">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0" x14ac:dyDescent="0.35">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0" x14ac:dyDescent="0.35">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0" x14ac:dyDescent="0.35">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0" x14ac:dyDescent="0.35">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0" x14ac:dyDescent="0.35">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0" x14ac:dyDescent="0.35">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0" x14ac:dyDescent="0.35">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0" x14ac:dyDescent="0.35">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0" x14ac:dyDescent="0.35">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0" x14ac:dyDescent="0.35">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0" x14ac:dyDescent="0.35">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0" x14ac:dyDescent="0.35">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0" x14ac:dyDescent="0.35">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0" x14ac:dyDescent="0.35">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0" x14ac:dyDescent="0.35">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0" x14ac:dyDescent="0.35">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0" x14ac:dyDescent="0.35">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0" x14ac:dyDescent="0.35">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0" x14ac:dyDescent="0.35">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0" x14ac:dyDescent="0.35">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0" x14ac:dyDescent="0.35">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0" x14ac:dyDescent="0.35">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0" x14ac:dyDescent="0.35">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0" x14ac:dyDescent="0.35">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0" x14ac:dyDescent="0.35">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0" x14ac:dyDescent="0.35">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0" x14ac:dyDescent="0.35">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35">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35">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35">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35">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35">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35">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35">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35">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35">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35">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35">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35">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35">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35">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35">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35">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35">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35">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35">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35">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35">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35">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35">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35">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0" x14ac:dyDescent="0.35">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35">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35">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35">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35">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35">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0" x14ac:dyDescent="0.35">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0" x14ac:dyDescent="0.35">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0" x14ac:dyDescent="0.35">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0" x14ac:dyDescent="0.35">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0" x14ac:dyDescent="0.35">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0" x14ac:dyDescent="0.35">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0" x14ac:dyDescent="0.35">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0" x14ac:dyDescent="0.35">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0" x14ac:dyDescent="0.35">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0" x14ac:dyDescent="0.35">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0" x14ac:dyDescent="0.35">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0" x14ac:dyDescent="0.35">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0" x14ac:dyDescent="0.35">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0" x14ac:dyDescent="0.35">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0" x14ac:dyDescent="0.35">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0" x14ac:dyDescent="0.35">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0" x14ac:dyDescent="0.35">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0" x14ac:dyDescent="0.35">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0" x14ac:dyDescent="0.35">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0" x14ac:dyDescent="0.35">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0" x14ac:dyDescent="0.35">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0" x14ac:dyDescent="0.35">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0" x14ac:dyDescent="0.35">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0" x14ac:dyDescent="0.35">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0" x14ac:dyDescent="0.35">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0" x14ac:dyDescent="0.35">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0" x14ac:dyDescent="0.35">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0" x14ac:dyDescent="0.35">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0" x14ac:dyDescent="0.35">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0" x14ac:dyDescent="0.35">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0" x14ac:dyDescent="0.35">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0" x14ac:dyDescent="0.35">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0" x14ac:dyDescent="0.35">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0" x14ac:dyDescent="0.35">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0" x14ac:dyDescent="0.35">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0" x14ac:dyDescent="0.35">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0" x14ac:dyDescent="0.35">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0" x14ac:dyDescent="0.35">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0" x14ac:dyDescent="0.35">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0" x14ac:dyDescent="0.35">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0" x14ac:dyDescent="0.35">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0" x14ac:dyDescent="0.35">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0" x14ac:dyDescent="0.35">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0" x14ac:dyDescent="0.35">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0" x14ac:dyDescent="0.35">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0" x14ac:dyDescent="0.35">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0" x14ac:dyDescent="0.35">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0" x14ac:dyDescent="0.35">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0" x14ac:dyDescent="0.35">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0" x14ac:dyDescent="0.35">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0" x14ac:dyDescent="0.35">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0" x14ac:dyDescent="0.35">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0" x14ac:dyDescent="0.35">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0" x14ac:dyDescent="0.35">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0" x14ac:dyDescent="0.35">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0" x14ac:dyDescent="0.35">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0" x14ac:dyDescent="0.35">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0" x14ac:dyDescent="0.35">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0" x14ac:dyDescent="0.35">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0" x14ac:dyDescent="0.35">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0" x14ac:dyDescent="0.35">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0" x14ac:dyDescent="0.35">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0" x14ac:dyDescent="0.35">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0" x14ac:dyDescent="0.35">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0" x14ac:dyDescent="0.35">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0" x14ac:dyDescent="0.35">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0" x14ac:dyDescent="0.35">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0" x14ac:dyDescent="0.35">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0" x14ac:dyDescent="0.35">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0" x14ac:dyDescent="0.35">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0" x14ac:dyDescent="0.35">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0" x14ac:dyDescent="0.35">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0" x14ac:dyDescent="0.35">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0" x14ac:dyDescent="0.35">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0" x14ac:dyDescent="0.35">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0" x14ac:dyDescent="0.35">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0" x14ac:dyDescent="0.35">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0" x14ac:dyDescent="0.35">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0" x14ac:dyDescent="0.35">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20" x14ac:dyDescent="0.35">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0" x14ac:dyDescent="0.35">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0" x14ac:dyDescent="0.35">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20" x14ac:dyDescent="0.35">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0" x14ac:dyDescent="0.35">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20" x14ac:dyDescent="0.35">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20" x14ac:dyDescent="0.35">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0" x14ac:dyDescent="0.35">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20" x14ac:dyDescent="0.35">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0" x14ac:dyDescent="0.35">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20" x14ac:dyDescent="0.35">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20" x14ac:dyDescent="0.35">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0" x14ac:dyDescent="0.35">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20" x14ac:dyDescent="0.35">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0" x14ac:dyDescent="0.35">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0" x14ac:dyDescent="0.35">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20" x14ac:dyDescent="0.35">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0" x14ac:dyDescent="0.35">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0" x14ac:dyDescent="0.35">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0" x14ac:dyDescent="0.35">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20" x14ac:dyDescent="0.35">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0" x14ac:dyDescent="0.35">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0" x14ac:dyDescent="0.35">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0" x14ac:dyDescent="0.35">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20" x14ac:dyDescent="0.35">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0" x14ac:dyDescent="0.35">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0" x14ac:dyDescent="0.35">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0" x14ac:dyDescent="0.35">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20" x14ac:dyDescent="0.35">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0" x14ac:dyDescent="0.35">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0" x14ac:dyDescent="0.35">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20" x14ac:dyDescent="0.35">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0" x14ac:dyDescent="0.35">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20" x14ac:dyDescent="0.35">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20" x14ac:dyDescent="0.35">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0" x14ac:dyDescent="0.35">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0" x14ac:dyDescent="0.35">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20" x14ac:dyDescent="0.35">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0" x14ac:dyDescent="0.35">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20" x14ac:dyDescent="0.35">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0" x14ac:dyDescent="0.35">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20" x14ac:dyDescent="0.35">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0" x14ac:dyDescent="0.35">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0" x14ac:dyDescent="0.35">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0" x14ac:dyDescent="0.35">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20" x14ac:dyDescent="0.35">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0" x14ac:dyDescent="0.35">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0" x14ac:dyDescent="0.35">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0" x14ac:dyDescent="0.35">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0" x14ac:dyDescent="0.35">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20" x14ac:dyDescent="0.35">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20" x14ac:dyDescent="0.35">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20" x14ac:dyDescent="0.35">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20" x14ac:dyDescent="0.35">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0" x14ac:dyDescent="0.35">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0" x14ac:dyDescent="0.35">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0" x14ac:dyDescent="0.35">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0" x14ac:dyDescent="0.35">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0" x14ac:dyDescent="0.35">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0" x14ac:dyDescent="0.35">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0" x14ac:dyDescent="0.35">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0" x14ac:dyDescent="0.35">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0" x14ac:dyDescent="0.35">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0" x14ac:dyDescent="0.35">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35">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35">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35">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35">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35">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35">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0" x14ac:dyDescent="0.35">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0" x14ac:dyDescent="0.35">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0" x14ac:dyDescent="0.35">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0" x14ac:dyDescent="0.35">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0" x14ac:dyDescent="0.35">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0" x14ac:dyDescent="0.35">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0" x14ac:dyDescent="0.35">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0" x14ac:dyDescent="0.35">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0" x14ac:dyDescent="0.35">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0" x14ac:dyDescent="0.35">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0" x14ac:dyDescent="0.35">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0" x14ac:dyDescent="0.35">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0" x14ac:dyDescent="0.35">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0" x14ac:dyDescent="0.35">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0" x14ac:dyDescent="0.35">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0" x14ac:dyDescent="0.35">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0" x14ac:dyDescent="0.35">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0" x14ac:dyDescent="0.35">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0" x14ac:dyDescent="0.35">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0" x14ac:dyDescent="0.35">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0" x14ac:dyDescent="0.35">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0" x14ac:dyDescent="0.35">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0" x14ac:dyDescent="0.35">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0" x14ac:dyDescent="0.35">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0" x14ac:dyDescent="0.35">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0" x14ac:dyDescent="0.35">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0" x14ac:dyDescent="0.35">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x14ac:dyDescent="0.35">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x14ac:dyDescent="0.35">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x14ac:dyDescent="0.35">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x14ac:dyDescent="0.35">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x14ac:dyDescent="0.35">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x14ac:dyDescent="0.35">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x14ac:dyDescent="0.35">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35">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x14ac:dyDescent="0.35">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35">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35">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35">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35">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x14ac:dyDescent="0.35">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x14ac:dyDescent="0.35">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x14ac:dyDescent="0.35">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x14ac:dyDescent="0.35">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x14ac:dyDescent="0.35">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35">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35">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35">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x14ac:dyDescent="0.35">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x14ac:dyDescent="0.35">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x14ac:dyDescent="0.35">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35">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35">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x14ac:dyDescent="0.35">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x14ac:dyDescent="0.35">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x14ac:dyDescent="0.35">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35">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35">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35">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35">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35">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35">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35">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x14ac:dyDescent="0.35">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ht="20" x14ac:dyDescent="0.35">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0" x14ac:dyDescent="0.35">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20" x14ac:dyDescent="0.35">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0" x14ac:dyDescent="0.35">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20" x14ac:dyDescent="0.35">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20" x14ac:dyDescent="0.35">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20" x14ac:dyDescent="0.35">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0" x14ac:dyDescent="0.35">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0" x14ac:dyDescent="0.35">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0" x14ac:dyDescent="0.35">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40" x14ac:dyDescent="0.35">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0" x14ac:dyDescent="0.35">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0" x14ac:dyDescent="0.35">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50" x14ac:dyDescent="0.35">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1640625" defaultRowHeight="19.5" customHeight="1" x14ac:dyDescent="0.35"/>
  <cols>
    <col min="1" max="1" width="3.81640625" style="21" customWidth="1"/>
    <col min="2" max="2" width="57.81640625" style="19" customWidth="1"/>
    <col min="3" max="3" width="2.54296875" style="19" customWidth="1"/>
    <col min="4" max="4" width="134.453125" style="20" customWidth="1"/>
    <col min="5" max="5" width="2.54296875" style="21" customWidth="1"/>
    <col min="6" max="6" width="22.453125" style="21" customWidth="1"/>
    <col min="7" max="7" width="2.54296875" style="21" customWidth="1"/>
    <col min="8" max="8" width="54" style="21" customWidth="1"/>
    <col min="9" max="9" width="2.54296875" style="21" customWidth="1"/>
    <col min="10" max="10" width="59.453125" style="21" customWidth="1"/>
    <col min="11" max="11" width="4.54296875" style="21" customWidth="1"/>
    <col min="12" max="12" width="50.81640625" style="21" customWidth="1"/>
    <col min="13" max="13" width="5.54296875" style="21" customWidth="1"/>
    <col min="14" max="14" width="51.54296875" style="21" customWidth="1"/>
    <col min="15" max="15" width="5.54296875" style="21" customWidth="1"/>
    <col min="16" max="16" width="51.453125" style="21" customWidth="1"/>
    <col min="17" max="16384" width="8.81640625" style="21"/>
  </cols>
  <sheetData>
    <row r="1" spans="2:10" ht="37.5" customHeight="1" x14ac:dyDescent="0.35">
      <c r="B1" s="18" t="s">
        <v>10597</v>
      </c>
    </row>
    <row r="2" spans="2:10" s="22" customFormat="1" ht="31.5" customHeight="1" x14ac:dyDescent="0.35">
      <c r="B2" s="22">
        <v>1</v>
      </c>
      <c r="D2" s="22">
        <v>2</v>
      </c>
      <c r="F2" s="22">
        <v>3</v>
      </c>
    </row>
    <row r="3" spans="2:10" s="13" customFormat="1" ht="28.5" customHeight="1" x14ac:dyDescent="0.35">
      <c r="B3" s="23" t="s">
        <v>10598</v>
      </c>
      <c r="C3" s="23"/>
      <c r="D3" s="23" t="s">
        <v>10599</v>
      </c>
      <c r="E3" s="23"/>
      <c r="F3" s="23" t="s">
        <v>10600</v>
      </c>
      <c r="G3" s="23"/>
      <c r="H3" s="23"/>
    </row>
    <row r="4" spans="2:10" ht="19.5" customHeight="1" x14ac:dyDescent="0.35">
      <c r="B4" s="53" t="s">
        <v>10601</v>
      </c>
      <c r="F4" s="24" t="s">
        <v>10602</v>
      </c>
      <c r="G4" s="24" t="s">
        <v>10603</v>
      </c>
      <c r="H4" s="20" t="s">
        <v>10604</v>
      </c>
    </row>
    <row r="5" spans="2:10" ht="19.5" customHeight="1" x14ac:dyDescent="0.35">
      <c r="B5" s="53"/>
      <c r="F5" s="25" t="s">
        <v>10605</v>
      </c>
      <c r="G5" s="25"/>
      <c r="H5" s="26" t="s">
        <v>10606</v>
      </c>
    </row>
    <row r="6" spans="2:10" ht="19.5" customHeight="1" x14ac:dyDescent="0.35">
      <c r="F6" s="25" t="s">
        <v>10607</v>
      </c>
      <c r="G6" s="25"/>
      <c r="H6" s="26" t="s">
        <v>6828</v>
      </c>
    </row>
    <row r="7" spans="2:10" ht="19.5" customHeight="1" x14ac:dyDescent="0.35">
      <c r="F7" s="25" t="s">
        <v>10608</v>
      </c>
      <c r="G7" s="25"/>
      <c r="H7" s="26" t="s">
        <v>10609</v>
      </c>
    </row>
    <row r="8" spans="2:10" ht="19.5" customHeight="1" x14ac:dyDescent="0.35">
      <c r="F8" s="25" t="s">
        <v>10610</v>
      </c>
      <c r="G8" s="25"/>
      <c r="H8" s="26">
        <v>5432</v>
      </c>
    </row>
    <row r="9" spans="2:10" ht="19.5" customHeight="1" x14ac:dyDescent="0.35">
      <c r="F9" s="25" t="s">
        <v>10611</v>
      </c>
      <c r="G9" s="25"/>
      <c r="H9" s="26" t="s">
        <v>10612</v>
      </c>
    </row>
    <row r="10" spans="2:10" ht="19.5" customHeight="1" x14ac:dyDescent="0.35">
      <c r="F10" s="25" t="s">
        <v>10613</v>
      </c>
      <c r="G10" s="25"/>
      <c r="H10" s="26" t="s">
        <v>10614</v>
      </c>
      <c r="J10" s="13"/>
    </row>
    <row r="11" spans="2:10" ht="20.25" customHeight="1" x14ac:dyDescent="0.35">
      <c r="J11" s="13"/>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8" t="s">
        <v>10615</v>
      </c>
      <c r="C27" s="21"/>
      <c r="D27" s="21"/>
    </row>
    <row r="28" spans="2:8" ht="33" customHeight="1" x14ac:dyDescent="0.35">
      <c r="B28" s="22">
        <v>4</v>
      </c>
      <c r="C28" s="22"/>
      <c r="D28" s="22"/>
      <c r="E28" s="22"/>
      <c r="F28" s="22"/>
      <c r="G28" s="22"/>
      <c r="H28" s="22"/>
    </row>
    <row r="29" spans="2:8" ht="30.5" x14ac:dyDescent="0.35">
      <c r="B29" s="13" t="s">
        <v>10616</v>
      </c>
      <c r="C29" s="13"/>
      <c r="D29" s="13"/>
      <c r="E29" s="13"/>
      <c r="F29" s="13"/>
      <c r="G29" s="13"/>
      <c r="H29" s="13"/>
    </row>
    <row r="30" spans="2:8" ht="19.5" customHeight="1" x14ac:dyDescent="0.35">
      <c r="B30" s="13"/>
      <c r="C30" s="21"/>
      <c r="D30" s="13"/>
      <c r="F30" s="13"/>
      <c r="H30" s="13"/>
    </row>
    <row r="31" spans="2:8" ht="19.5" customHeight="1" x14ac:dyDescent="0.35">
      <c r="B31" s="13"/>
      <c r="C31" s="21"/>
      <c r="D31" s="13"/>
      <c r="F31" s="13"/>
      <c r="H31" s="13"/>
    </row>
    <row r="32" spans="2:8" ht="19.5" customHeight="1" x14ac:dyDescent="0.35">
      <c r="B32" s="13"/>
      <c r="C32" s="21"/>
      <c r="D32" s="13"/>
      <c r="F32" s="13"/>
      <c r="H32" s="13"/>
    </row>
    <row r="33" spans="2:8" ht="19.5" customHeight="1" x14ac:dyDescent="0.35">
      <c r="B33" s="13"/>
      <c r="C33" s="21"/>
      <c r="D33" s="13"/>
      <c r="F33" s="13"/>
      <c r="H33" s="13"/>
    </row>
    <row r="34" spans="2:8" ht="19.5" customHeight="1" x14ac:dyDescent="0.35">
      <c r="B34" s="13"/>
      <c r="C34" s="21"/>
      <c r="D34" s="13"/>
      <c r="F34" s="13"/>
      <c r="H34" s="13"/>
    </row>
    <row r="35" spans="2:8" ht="19.5" customHeight="1" x14ac:dyDescent="0.35">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Yasemin Agi</cp:lastModifiedBy>
  <cp:revision/>
  <dcterms:created xsi:type="dcterms:W3CDTF">2022-11-07T18:03:41Z</dcterms:created>
  <dcterms:modified xsi:type="dcterms:W3CDTF">2026-06-17T04:49:26Z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