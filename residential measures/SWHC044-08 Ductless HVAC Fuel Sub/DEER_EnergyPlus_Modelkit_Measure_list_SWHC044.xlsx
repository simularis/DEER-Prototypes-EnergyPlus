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Projects\SWHC044-08\residential measures\SWHC044-08 Ductless HVAC Fuel Sub\"/>
    </mc:Choice>
  </mc:AlternateContent>
  <xr:revisionPtr revIDLastSave="0" documentId="13_ncr:1_{5EAC5888-9307-4580-A623-03CAFB54DE43}" xr6:coauthVersionLast="47" xr6:coauthVersionMax="47" xr10:uidLastSave="{00000000-0000-0000-0000-000000000000}"/>
  <bookViews>
    <workbookView xWindow="-120" yWindow="-120" windowWidth="29040" windowHeight="1572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Measure_list!$A$5:$AG$891</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91" i="1" l="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G849" i="1" l="1"/>
  <c r="G865" i="1"/>
  <c r="G870" i="1"/>
  <c r="G876" i="1"/>
  <c r="U891" i="1"/>
  <c r="T891" i="1"/>
  <c r="J891" i="1"/>
  <c r="I891" i="1"/>
  <c r="H891" i="1"/>
  <c r="U890" i="1"/>
  <c r="T890" i="1"/>
  <c r="J890" i="1"/>
  <c r="F890" i="1" s="1"/>
  <c r="G890" i="1" s="1"/>
  <c r="I890" i="1"/>
  <c r="H890" i="1"/>
  <c r="U889" i="1"/>
  <c r="T889" i="1"/>
  <c r="J889" i="1"/>
  <c r="I889" i="1"/>
  <c r="H889" i="1"/>
  <c r="U888" i="1"/>
  <c r="T888" i="1"/>
  <c r="J888" i="1"/>
  <c r="F888" i="1" s="1"/>
  <c r="G888" i="1" s="1"/>
  <c r="I888" i="1"/>
  <c r="H888" i="1"/>
  <c r="U887" i="1"/>
  <c r="T887" i="1"/>
  <c r="J887" i="1"/>
  <c r="F887" i="1" s="1"/>
  <c r="G887" i="1" s="1"/>
  <c r="I887" i="1"/>
  <c r="H887" i="1"/>
  <c r="U886" i="1"/>
  <c r="T886" i="1"/>
  <c r="J886" i="1"/>
  <c r="I886" i="1"/>
  <c r="H886" i="1"/>
  <c r="U885" i="1"/>
  <c r="T885" i="1"/>
  <c r="J885" i="1"/>
  <c r="F885" i="1" s="1"/>
  <c r="G885" i="1" s="1"/>
  <c r="I885" i="1"/>
  <c r="H885" i="1"/>
  <c r="U884" i="1"/>
  <c r="T884" i="1"/>
  <c r="J884" i="1"/>
  <c r="F884" i="1" s="1"/>
  <c r="G884" i="1" s="1"/>
  <c r="I884" i="1"/>
  <c r="H884" i="1"/>
  <c r="U883" i="1"/>
  <c r="T883" i="1"/>
  <c r="J883" i="1"/>
  <c r="I883" i="1"/>
  <c r="H883" i="1"/>
  <c r="U882" i="1"/>
  <c r="T882" i="1"/>
  <c r="J882" i="1"/>
  <c r="I882" i="1"/>
  <c r="H882" i="1"/>
  <c r="U881" i="1"/>
  <c r="T881" i="1"/>
  <c r="J881" i="1"/>
  <c r="I881" i="1"/>
  <c r="H881" i="1"/>
  <c r="U880" i="1"/>
  <c r="T880" i="1"/>
  <c r="J880" i="1"/>
  <c r="F880" i="1" s="1"/>
  <c r="G880" i="1" s="1"/>
  <c r="I880" i="1"/>
  <c r="H880" i="1"/>
  <c r="H874" i="1"/>
  <c r="I874" i="1"/>
  <c r="J874" i="1"/>
  <c r="H875" i="1"/>
  <c r="I875" i="1"/>
  <c r="J875" i="1"/>
  <c r="H876" i="1"/>
  <c r="I876" i="1"/>
  <c r="J876" i="1"/>
  <c r="F876" i="1" s="1"/>
  <c r="H877" i="1"/>
  <c r="I877" i="1"/>
  <c r="J877" i="1"/>
  <c r="F877" i="1" s="1"/>
  <c r="G877" i="1" s="1"/>
  <c r="H878" i="1"/>
  <c r="I878" i="1"/>
  <c r="J878" i="1"/>
  <c r="H879" i="1"/>
  <c r="I879" i="1"/>
  <c r="J879" i="1"/>
  <c r="T874" i="1"/>
  <c r="U874" i="1"/>
  <c r="T875" i="1"/>
  <c r="U875" i="1"/>
  <c r="T876" i="1"/>
  <c r="U876" i="1"/>
  <c r="T877" i="1"/>
  <c r="U877" i="1"/>
  <c r="T878" i="1"/>
  <c r="U878" i="1"/>
  <c r="T879" i="1"/>
  <c r="U879" i="1"/>
  <c r="H868" i="1"/>
  <c r="I868" i="1"/>
  <c r="J868" i="1"/>
  <c r="F868" i="1" s="1"/>
  <c r="G868" i="1" s="1"/>
  <c r="H869" i="1"/>
  <c r="I869" i="1"/>
  <c r="J869" i="1"/>
  <c r="H870" i="1"/>
  <c r="I870" i="1"/>
  <c r="J870" i="1"/>
  <c r="F870" i="1" s="1"/>
  <c r="H871" i="1"/>
  <c r="I871" i="1"/>
  <c r="J871" i="1"/>
  <c r="F871" i="1" s="1"/>
  <c r="G871" i="1" s="1"/>
  <c r="H872" i="1"/>
  <c r="I872" i="1"/>
  <c r="J872" i="1"/>
  <c r="H873" i="1"/>
  <c r="I873" i="1"/>
  <c r="J873" i="1"/>
  <c r="F873" i="1" s="1"/>
  <c r="G873" i="1" s="1"/>
  <c r="T868" i="1"/>
  <c r="U868" i="1"/>
  <c r="T869" i="1"/>
  <c r="U869" i="1"/>
  <c r="T870" i="1"/>
  <c r="U870" i="1"/>
  <c r="T871" i="1"/>
  <c r="U871" i="1"/>
  <c r="T872" i="1"/>
  <c r="U872" i="1"/>
  <c r="T873" i="1"/>
  <c r="U873" i="1"/>
  <c r="J845" i="1"/>
  <c r="J846" i="1"/>
  <c r="J847" i="1"/>
  <c r="F847" i="1" s="1"/>
  <c r="G847" i="1" s="1"/>
  <c r="J848" i="1"/>
  <c r="J849" i="1"/>
  <c r="F849" i="1" s="1"/>
  <c r="J850" i="1"/>
  <c r="J851" i="1"/>
  <c r="J852" i="1"/>
  <c r="J853" i="1"/>
  <c r="F853" i="1" s="1"/>
  <c r="G853" i="1" s="1"/>
  <c r="J854" i="1"/>
  <c r="F854" i="1" s="1"/>
  <c r="G854" i="1" s="1"/>
  <c r="J855" i="1"/>
  <c r="J856" i="1"/>
  <c r="F856" i="1" s="1"/>
  <c r="G856" i="1" s="1"/>
  <c r="J857" i="1"/>
  <c r="J858" i="1"/>
  <c r="F858" i="1" s="1"/>
  <c r="G858" i="1" s="1"/>
  <c r="J859" i="1"/>
  <c r="F859" i="1" s="1"/>
  <c r="G859" i="1" s="1"/>
  <c r="J860" i="1"/>
  <c r="F860" i="1" s="1"/>
  <c r="G860" i="1" s="1"/>
  <c r="J861" i="1"/>
  <c r="J862" i="1"/>
  <c r="J863" i="1"/>
  <c r="F863" i="1" s="1"/>
  <c r="G863" i="1" s="1"/>
  <c r="J864" i="1"/>
  <c r="J865" i="1"/>
  <c r="F865" i="1" s="1"/>
  <c r="J866" i="1"/>
  <c r="J867" i="1"/>
  <c r="J844" i="1"/>
  <c r="I845" i="1"/>
  <c r="I846" i="1"/>
  <c r="I847" i="1"/>
  <c r="I848" i="1"/>
  <c r="I849" i="1"/>
  <c r="I850" i="1"/>
  <c r="I851" i="1"/>
  <c r="I852" i="1"/>
  <c r="I853" i="1"/>
  <c r="I854" i="1"/>
  <c r="I855" i="1"/>
  <c r="I856" i="1"/>
  <c r="I857" i="1"/>
  <c r="I858" i="1"/>
  <c r="I859" i="1"/>
  <c r="I860" i="1"/>
  <c r="I861" i="1"/>
  <c r="I862" i="1"/>
  <c r="I863" i="1"/>
  <c r="I864" i="1"/>
  <c r="I865" i="1"/>
  <c r="I866" i="1"/>
  <c r="I867" i="1"/>
  <c r="I844" i="1"/>
  <c r="H845" i="1"/>
  <c r="H846" i="1"/>
  <c r="H847" i="1"/>
  <c r="H848" i="1"/>
  <c r="H849" i="1"/>
  <c r="H850" i="1"/>
  <c r="H851" i="1"/>
  <c r="H852" i="1"/>
  <c r="H853" i="1"/>
  <c r="H854" i="1"/>
  <c r="H855" i="1"/>
  <c r="H856" i="1"/>
  <c r="H857" i="1"/>
  <c r="H858" i="1"/>
  <c r="H859" i="1"/>
  <c r="H860" i="1"/>
  <c r="H861" i="1"/>
  <c r="H862" i="1"/>
  <c r="H863" i="1"/>
  <c r="H864" i="1"/>
  <c r="H865" i="1"/>
  <c r="H866" i="1"/>
  <c r="H867" i="1"/>
  <c r="H844" i="1"/>
  <c r="T850" i="1"/>
  <c r="U850" i="1"/>
  <c r="T851" i="1"/>
  <c r="U851" i="1"/>
  <c r="T852" i="1"/>
  <c r="U852" i="1"/>
  <c r="T853" i="1"/>
  <c r="U853" i="1"/>
  <c r="T854" i="1"/>
  <c r="U854" i="1"/>
  <c r="T855" i="1"/>
  <c r="U855" i="1"/>
  <c r="T856" i="1"/>
  <c r="U856" i="1"/>
  <c r="T857" i="1"/>
  <c r="U857" i="1"/>
  <c r="T858" i="1"/>
  <c r="U858" i="1"/>
  <c r="T859" i="1"/>
  <c r="U859" i="1"/>
  <c r="T860" i="1"/>
  <c r="U860" i="1"/>
  <c r="T861" i="1"/>
  <c r="U861" i="1"/>
  <c r="T862" i="1"/>
  <c r="U862" i="1"/>
  <c r="T863" i="1"/>
  <c r="U863" i="1"/>
  <c r="T864" i="1"/>
  <c r="U864" i="1"/>
  <c r="T865" i="1"/>
  <c r="U865" i="1"/>
  <c r="T866" i="1"/>
  <c r="U866" i="1"/>
  <c r="T867" i="1"/>
  <c r="U867" i="1"/>
  <c r="U845" i="1"/>
  <c r="U846" i="1"/>
  <c r="U847" i="1"/>
  <c r="U848" i="1"/>
  <c r="U849" i="1"/>
  <c r="T845" i="1"/>
  <c r="T846" i="1"/>
  <c r="T847" i="1"/>
  <c r="T848" i="1"/>
  <c r="T849" i="1"/>
  <c r="U844" i="1"/>
  <c r="T844" i="1"/>
  <c r="D843" i="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F886" i="1" l="1"/>
  <c r="G886" i="1" s="1"/>
  <c r="F844" i="1"/>
  <c r="G844" i="1" s="1"/>
  <c r="F852" i="1"/>
  <c r="G852" i="1" s="1"/>
  <c r="F889" i="1"/>
  <c r="G889" i="1" s="1"/>
  <c r="F867" i="1"/>
  <c r="G867" i="1" s="1"/>
  <c r="F851" i="1"/>
  <c r="G851" i="1" s="1"/>
  <c r="F866" i="1"/>
  <c r="G866" i="1" s="1"/>
  <c r="F850" i="1"/>
  <c r="G850" i="1" s="1"/>
  <c r="F869" i="1"/>
  <c r="G869" i="1" s="1"/>
  <c r="F881" i="1"/>
  <c r="G881" i="1" s="1"/>
  <c r="F864" i="1"/>
  <c r="G864" i="1" s="1"/>
  <c r="F848" i="1"/>
  <c r="G848" i="1" s="1"/>
  <c r="F875" i="1"/>
  <c r="G875" i="1" s="1"/>
  <c r="F862" i="1"/>
  <c r="G862" i="1" s="1"/>
  <c r="F846" i="1"/>
  <c r="G846" i="1" s="1"/>
  <c r="F861" i="1"/>
  <c r="G861" i="1" s="1"/>
  <c r="F845" i="1"/>
  <c r="G845" i="1" s="1"/>
  <c r="F874" i="1"/>
  <c r="G874" i="1" s="1"/>
  <c r="F882" i="1"/>
  <c r="G882" i="1" s="1"/>
  <c r="F879" i="1"/>
  <c r="G879" i="1" s="1"/>
  <c r="F872" i="1"/>
  <c r="G872" i="1" s="1"/>
  <c r="F857" i="1"/>
  <c r="G857" i="1" s="1"/>
  <c r="F878" i="1"/>
  <c r="G878" i="1" s="1"/>
  <c r="F891" i="1"/>
  <c r="G891" i="1" s="1"/>
  <c r="F855" i="1"/>
  <c r="G855" i="1" s="1"/>
  <c r="F883" i="1"/>
  <c r="G883" i="1" s="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S703" i="1" s="1"/>
  <c r="N703" i="1" s="1"/>
  <c r="U702" i="1"/>
  <c r="T702" i="1"/>
  <c r="U701" i="1"/>
  <c r="T701" i="1"/>
  <c r="S701" i="1" s="1"/>
  <c r="N701" i="1" s="1"/>
  <c r="U700" i="1"/>
  <c r="T700" i="1"/>
  <c r="U699" i="1"/>
  <c r="T699" i="1"/>
  <c r="U698" i="1"/>
  <c r="T698" i="1"/>
  <c r="S698" i="1" s="1"/>
  <c r="N698" i="1" s="1"/>
  <c r="U697" i="1"/>
  <c r="T697" i="1"/>
  <c r="U696" i="1"/>
  <c r="T696" i="1"/>
  <c r="G707" i="1"/>
  <c r="G706" i="1"/>
  <c r="G705" i="1"/>
  <c r="G704" i="1"/>
  <c r="G703" i="1"/>
  <c r="G702" i="1"/>
  <c r="G701" i="1"/>
  <c r="G700" i="1"/>
  <c r="G699" i="1"/>
  <c r="G698" i="1"/>
  <c r="G697" i="1"/>
  <c r="G696" i="1"/>
  <c r="S704" i="1" l="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S695" i="1" s="1"/>
  <c r="N695" i="1" s="1"/>
  <c r="U694" i="1"/>
  <c r="T694" i="1"/>
  <c r="U693" i="1"/>
  <c r="T693" i="1"/>
  <c r="U692" i="1"/>
  <c r="T692" i="1"/>
  <c r="U691" i="1"/>
  <c r="T691" i="1"/>
  <c r="U690" i="1"/>
  <c r="T690" i="1"/>
  <c r="U689" i="1"/>
  <c r="T689" i="1"/>
  <c r="U688" i="1"/>
  <c r="T688" i="1"/>
  <c r="U687" i="1"/>
  <c r="T687" i="1"/>
  <c r="S687" i="1" s="1"/>
  <c r="N687" i="1" s="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3" i="1" l="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S379" i="1" s="1"/>
  <c r="N379" i="1" s="1"/>
  <c r="T380" i="1"/>
  <c r="S380" i="1" s="1"/>
  <c r="N380" i="1" s="1"/>
  <c r="T381" i="1"/>
  <c r="S381" i="1" s="1"/>
  <c r="N381" i="1" s="1"/>
  <c r="T382" i="1"/>
  <c r="S382" i="1" s="1"/>
  <c r="N382" i="1" s="1"/>
  <c r="T383" i="1"/>
  <c r="S383" i="1" s="1"/>
  <c r="N383" i="1" s="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T409" i="1"/>
  <c r="T410" i="1"/>
  <c r="T411" i="1"/>
  <c r="T412" i="1"/>
  <c r="T413" i="1"/>
  <c r="T414" i="1"/>
  <c r="T415" i="1"/>
  <c r="T416" i="1"/>
  <c r="T417" i="1"/>
  <c r="T418" i="1"/>
  <c r="S418" i="1" s="1"/>
  <c r="N418" i="1" s="1"/>
  <c r="T419" i="1"/>
  <c r="S419" i="1" s="1"/>
  <c r="N419" i="1" s="1"/>
  <c r="T420" i="1"/>
  <c r="S420" i="1" s="1"/>
  <c r="N420" i="1" s="1"/>
  <c r="T421" i="1"/>
  <c r="S421" i="1" s="1"/>
  <c r="N421" i="1" s="1"/>
  <c r="T422" i="1"/>
  <c r="S422" i="1" s="1"/>
  <c r="N422" i="1" s="1"/>
  <c r="T423" i="1"/>
  <c r="S423" i="1" s="1"/>
  <c r="N423" i="1" s="1"/>
  <c r="T424" i="1"/>
  <c r="T425" i="1"/>
  <c r="S425" i="1" s="1"/>
  <c r="N425" i="1" s="1"/>
  <c r="T426" i="1"/>
  <c r="T427" i="1"/>
  <c r="S427" i="1" s="1"/>
  <c r="N427" i="1" s="1"/>
  <c r="T428" i="1"/>
  <c r="S428" i="1" s="1"/>
  <c r="N428" i="1" s="1"/>
  <c r="T429" i="1"/>
  <c r="T430" i="1"/>
  <c r="T431" i="1"/>
  <c r="T432" i="1"/>
  <c r="T433" i="1"/>
  <c r="T434" i="1"/>
  <c r="T435" i="1"/>
  <c r="T436" i="1"/>
  <c r="T437" i="1"/>
  <c r="T438" i="1"/>
  <c r="S438" i="1" s="1"/>
  <c r="N438" i="1" s="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S460" i="1" s="1"/>
  <c r="N460" i="1" s="1"/>
  <c r="T461" i="1"/>
  <c r="S461" i="1" s="1"/>
  <c r="N461" i="1" s="1"/>
  <c r="T462" i="1"/>
  <c r="S462" i="1" s="1"/>
  <c r="N462" i="1" s="1"/>
  <c r="T463" i="1"/>
  <c r="S463" i="1" s="1"/>
  <c r="N463" i="1" s="1"/>
  <c r="T464" i="1"/>
  <c r="S464" i="1" s="1"/>
  <c r="N464" i="1" s="1"/>
  <c r="T465" i="1"/>
  <c r="S465" i="1" s="1"/>
  <c r="N465" i="1" s="1"/>
  <c r="T466" i="1"/>
  <c r="T467" i="1"/>
  <c r="S467" i="1" s="1"/>
  <c r="N467" i="1" s="1"/>
  <c r="T468" i="1"/>
  <c r="S468" i="1" s="1"/>
  <c r="N468" i="1" s="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S503" i="1" s="1"/>
  <c r="N503" i="1" s="1"/>
  <c r="T504" i="1"/>
  <c r="S504" i="1" s="1"/>
  <c r="N504" i="1" s="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S647" i="1" s="1"/>
  <c r="N647" i="1" s="1"/>
  <c r="T648" i="1"/>
  <c r="S648" i="1" s="1"/>
  <c r="N648" i="1" s="1"/>
  <c r="T649" i="1"/>
  <c r="T650" i="1"/>
  <c r="T651" i="1"/>
  <c r="T652" i="1"/>
  <c r="T653" i="1"/>
  <c r="T654" i="1"/>
  <c r="T655" i="1"/>
  <c r="T656" i="1"/>
  <c r="T657" i="1"/>
  <c r="T658" i="1"/>
  <c r="S658" i="1" s="1"/>
  <c r="N658" i="1" s="1"/>
  <c r="T659" i="1"/>
  <c r="S659" i="1" s="1"/>
  <c r="N659" i="1" s="1"/>
  <c r="T660" i="1"/>
  <c r="S660" i="1" s="1"/>
  <c r="N660" i="1" s="1"/>
  <c r="T661" i="1"/>
  <c r="S661" i="1" s="1"/>
  <c r="N661" i="1" s="1"/>
  <c r="T662" i="1"/>
  <c r="S662" i="1" s="1"/>
  <c r="N662" i="1" s="1"/>
  <c r="T663" i="1"/>
  <c r="S663" i="1" s="1"/>
  <c r="N663" i="1" s="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521" i="1" l="1"/>
  <c r="N521" i="1" s="1"/>
  <c r="S408" i="1"/>
  <c r="N408"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<sst xmlns="http://schemas.openxmlformats.org/spreadsheetml/2006/main" count="78783" uniqueCount="10787">
  <si>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</si>
  <si>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</si>
  <si>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</si>
  <si>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</si>
  <si>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</si>
  <si>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</si>
  <si>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</si>
  <si>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</si>
  <si>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</si>
  <si>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</si>
  <si>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</si>
  <si>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</si>
  <si>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</si>
  <si>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</si>
  <si>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</si>
  <si>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</si>
  <si>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</si>
  <si>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</si>
  <si>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</si>
  <si>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</si>
  <si>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</si>
  <si>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</si>
  <si>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</si>
  <si>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</si>
  <si>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</si>
  <si>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</si>
  <si>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</si>
  <si>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</si>
  <si>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</si>
  <si>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</si>
  <si>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</si>
  <si>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</si>
  <si>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</si>
  <si>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</si>
  <si>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</si>
  <si>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</si>
  <si>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</si>
  <si>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</si>
  <si>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</si>
  <si>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</si>
  <si>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</si>
  <si>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</si>
  <si>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</si>
  <si>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</si>
  <si>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</si>
  <si>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</si>
  <si>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</si>
  <si>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</si>
  <si>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</si>
  <si>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</si>
  <si>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</si>
  <si>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</si>
  <si>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</si>
  <si>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</si>
  <si>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</si>
  <si>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</si>
  <si>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</si>
  <si>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</si>
  <si>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</si>
  <si>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</si>
  <si>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</si>
  <si>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</si>
  <si>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</si>
  <si>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</si>
  <si>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</si>
  <si>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</si>
  <si>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</si>
  <si>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</si>
  <si>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</si>
  <si>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</si>
  <si>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</si>
  <si>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</si>
  <si>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</si>
  <si>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</si>
  <si>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</si>
  <si>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</si>
  <si>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</si>
  <si>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</si>
  <si>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</si>
  <si>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</si>
  <si>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</si>
  <si>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</si>
  <si>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</si>
  <si>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</si>
  <si>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</si>
  <si>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</si>
  <si>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</si>
  <si>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</si>
  <si>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</si>
  <si>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</si>
  <si>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</si>
  <si>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</si>
  <si>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</si>
  <si>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</si>
  <si>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</si>
  <si>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</si>
  <si>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</si>
  <si>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</si>
  <si>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</si>
  <si>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</si>
  <si>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</si>
  <si>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</si>
  <si>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</si>
  <si>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</si>
  <si>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</si>
  <si>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</si>
  <si>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</si>
  <si>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</si>
  <si>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</si>
  <si>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</si>
  <si>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</si>
  <si>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</si>
  <si>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</si>
  <si>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</si>
  <si>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</si>
  <si>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</si>
  <si>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</si>
  <si>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</si>
  <si>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</si>
  <si>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</si>
  <si>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</si>
  <si>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</si>
  <si>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</si>
  <si>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</si>
  <si>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</si>
  <si>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</si>
  <si>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</si>
  <si>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</si>
  <si>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</si>
  <si>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</si>
  <si>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</si>
  <si>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</si>
  <si>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</si>
  <si>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</si>
  <si>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</si>
  <si>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</si>
  <si>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</si>
  <si>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</si>
  <si>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</si>
  <si>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</si>
  <si>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</si>
  <si>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</si>
  <si>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</si>
  <si>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</si>
  <si>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</si>
  <si>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</si>
  <si>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</si>
  <si>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</si>
  <si>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</si>
  <si>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</si>
  <si>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</si>
  <si>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</si>
  <si>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</si>
  <si>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</si>
  <si>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</si>
  <si>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</si>
  <si>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</si>
  <si>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</si>
  <si>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</si>
  <si>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</si>
  <si>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</si>
  <si>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</si>
  <si>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</si>
  <si>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</si>
  <si>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</si>
  <si>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</si>
  <si>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</si>
  <si>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</si>
  <si>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</si>
  <si>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</si>
  <si>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</si>
  <si>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</si>
  <si>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</si>
  <si>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</si>
  <si>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</si>
  <si>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</si>
  <si>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</si>
  <si>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</si>
  <si>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</si>
  <si>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</si>
  <si>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</si>
  <si>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</si>
  <si>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</si>
  <si>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</si>
  <si>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</si>
  <si>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</si>
  <si>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</si>
  <si>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</si>
  <si>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</si>
  <si>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</si>
  <si>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</si>
  <si>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</si>
  <si>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</si>
  <si>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</si>
  <si>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</si>
  <si>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</si>
  <si>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</si>
  <si>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</si>
  <si>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</si>
  <si>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</si>
  <si>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</si>
  <si>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</si>
  <si>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</si>
  <si>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</si>
  <si>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</si>
  <si>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</si>
  <si>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</si>
  <si>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</si>
  <si>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</si>
  <si>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</si>
  <si>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</si>
  <si>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</si>
  <si>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</si>
  <si>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</si>
  <si>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</si>
  <si>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</si>
  <si>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</si>
  <si>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</si>
  <si>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</si>
  <si>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</si>
  <si>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</si>
  <si>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</si>
  <si>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</si>
  <si>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</si>
  <si>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</si>
  <si>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</si>
  <si>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</si>
  <si>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</si>
  <si>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</si>
  <si>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</si>
  <si>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</si>
  <si>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</si>
  <si>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</si>
  <si>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</si>
  <si>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</si>
  <si>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</si>
  <si>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</si>
  <si>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</si>
  <si>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</si>
  <si>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</si>
  <si>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</si>
  <si>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</si>
  <si>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</si>
  <si>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</si>
  <si>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</si>
  <si>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</si>
  <si>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</si>
  <si>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</si>
  <si>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</si>
  <si>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</si>
  <si>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</si>
  <si>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</si>
  <si>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</si>
  <si>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</si>
  <si>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</si>
  <si>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</si>
  <si>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</si>
  <si>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</si>
  <si>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</si>
  <si>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</si>
  <si>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</si>
  <si>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</si>
  <si>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</si>
  <si>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</si>
  <si>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</si>
  <si>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</si>
  <si>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</si>
  <si>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</si>
  <si>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</si>
  <si>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</si>
  <si>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</si>
  <si>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</si>
  <si>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</si>
  <si>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</si>
  <si>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</si>
  <si>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</si>
  <si>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</si>
  <si>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</si>
  <si>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</si>
  <si>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</si>
  <si>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</si>
  <si>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</si>
  <si>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</si>
  <si>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</si>
  <si>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</si>
  <si>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</si>
  <si>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</si>
  <si>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</si>
  <si>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</si>
  <si>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</si>
  <si>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</si>
  <si>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</si>
  <si>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</si>
  <si>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</si>
  <si>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</si>
  <si>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</si>
  <si>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</si>
  <si>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</si>
  <si>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</si>
  <si>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</si>
  <si>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</si>
  <si>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</si>
  <si>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</si>
  <si>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</si>
  <si>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</si>
  <si>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</si>
  <si>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</si>
  <si>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</si>
  <si>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</si>
  <si>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</si>
  <si>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</si>
  <si>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</si>
  <si>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</si>
  <si>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</si>
  <si>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</si>
  <si>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</si>
  <si>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</si>
  <si>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</si>
  <si>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</si>
  <si>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</si>
  <si>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</si>
  <si>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</si>
  <si>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</si>
  <si>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</si>
  <si>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</si>
  <si>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</si>
  <si>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</si>
  <si>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</si>
  <si>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</si>
  <si>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</si>
  <si>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</si>
  <si>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</si>
  <si>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</si>
  <si>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</si>
  <si>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</si>
  <si>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</si>
  <si>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</si>
  <si>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</si>
  <si>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</si>
  <si>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</si>
  <si>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</si>
  <si>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</si>
  <si>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</si>
  <si>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</si>
  <si>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</si>
  <si>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</si>
  <si>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</si>
  <si>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</si>
  <si>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</si>
  <si>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</si>
  <si>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</si>
  <si>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</si>
  <si>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</si>
  <si>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</si>
  <si>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</si>
  <si>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</si>
  <si>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</si>
  <si>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</si>
  <si>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</si>
  <si>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</si>
  <si>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</si>
  <si>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</si>
  <si>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</si>
  <si>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</si>
  <si>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</si>
  <si>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</si>
  <si>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</si>
  <si>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</si>
  <si>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</si>
  <si>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</si>
  <si>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</si>
  <si>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</si>
  <si>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</si>
  <si>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</si>
  <si>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</si>
  <si>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</si>
  <si>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</si>
  <si>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</si>
  <si>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</si>
  <si>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</si>
  <si>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</si>
  <si>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</si>
  <si>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</si>
  <si>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</si>
  <si>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</si>
  <si>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</si>
  <si>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</si>
  <si>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</si>
  <si>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</si>
  <si>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</si>
  <si>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</si>
  <si>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</si>
  <si>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</si>
  <si>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</si>
  <si>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</si>
  <si>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</si>
  <si>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</si>
  <si>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</si>
  <si>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</si>
  <si>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</si>
  <si>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</si>
  <si>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</si>
  <si>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</si>
  <si>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</si>
  <si>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</si>
  <si>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</si>
  <si>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</si>
  <si>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</si>
  <si>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</si>
  <si>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</si>
  <si>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</si>
  <si>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</si>
  <si>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</si>
  <si>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</si>
  <si>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</si>
  <si>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</si>
  <si>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</si>
  <si>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</si>
  <si>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</si>
  <si>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</si>
  <si>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</si>
  <si>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</si>
  <si>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</si>
  <si>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</si>
  <si>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</si>
  <si>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</si>
  <si>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</si>
  <si>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</si>
  <si>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</si>
  <si>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</si>
  <si>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</si>
  <si>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</si>
  <si>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</si>
  <si>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</si>
  <si>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</si>
  <si>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</si>
  <si>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</si>
  <si>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</si>
  <si>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</si>
  <si>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</si>
  <si>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</si>
  <si>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</si>
  <si>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</si>
  <si>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</si>
  <si>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</si>
  <si>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</si>
  <si>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</si>
  <si>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</si>
  <si>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</si>
  <si>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</si>
  <si>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</si>
  <si>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</si>
  <si>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</si>
  <si>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</si>
  <si>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</si>
  <si>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</si>
  <si>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</si>
  <si>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</si>
  <si>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</si>
  <si>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</si>
  <si>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</si>
  <si>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</si>
  <si>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</si>
  <si>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</si>
  <si>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</si>
  <si>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</si>
  <si>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</si>
  <si>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</si>
  <si>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</si>
  <si>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</si>
  <si>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</si>
  <si>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</si>
  <si>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</si>
  <si>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</si>
  <si>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</si>
  <si>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</si>
  <si>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</si>
  <si>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</si>
  <si>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</si>
  <si>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</si>
  <si>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</si>
  <si>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</si>
  <si>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</si>
  <si>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</si>
  <si>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</si>
  <si>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</si>
  <si>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</si>
  <si>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</si>
  <si>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</si>
  <si>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</si>
  <si>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</si>
  <si>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</si>
  <si>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</si>
  <si>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</si>
  <si>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</si>
  <si>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</si>
  <si>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</si>
  <si>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</si>
  <si>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</si>
  <si>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</si>
  <si>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</si>
  <si>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</si>
  <si>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</si>
  <si>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</si>
  <si>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</si>
  <si>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</si>
  <si>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</si>
  <si>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</si>
  <si>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</si>
  <si>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</si>
  <si>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</si>
  <si>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</si>
  <si>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</si>
  <si>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</si>
  <si>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</si>
  <si>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</si>
  <si>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</si>
  <si>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</si>
  <si>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</si>
  <si>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</si>
  <si>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</si>
  <si>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</si>
  <si>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</si>
  <si>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</si>
  <si>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</si>
  <si>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</si>
  <si>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</si>
  <si>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</si>
  <si>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</si>
  <si>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</si>
  <si>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</si>
  <si>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</si>
  <si>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</si>
  <si>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</si>
  <si>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</si>
  <si>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</si>
  <si>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</si>
  <si>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</si>
  <si>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</si>
  <si>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</si>
  <si>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</si>
  <si>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</si>
  <si>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</si>
  <si>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</si>
  <si>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</si>
  <si>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</si>
  <si>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</si>
  <si>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</si>
  <si>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</si>
  <si>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</si>
  <si>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</si>
  <si>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</si>
  <si>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</si>
  <si>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</si>
  <si>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</si>
  <si>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</si>
  <si>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</si>
  <si>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</si>
  <si>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</si>
  <si>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</si>
  <si>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</si>
  <si>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</si>
  <si>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</si>
  <si>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</si>
  <si>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</si>
  <si>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</si>
  <si>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</si>
  <si>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</si>
  <si>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</si>
  <si>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</si>
  <si>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</si>
  <si>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</si>
  <si>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</si>
  <si>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</si>
  <si>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</si>
  <si>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</si>
  <si>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</si>
  <si>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</si>
  <si>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</si>
  <si>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</si>
  <si>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</si>
  <si>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</si>
  <si>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</si>
  <si>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</si>
  <si>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</si>
  <si>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</si>
  <si>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</si>
  <si>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</si>
  <si>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</si>
  <si>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</si>
  <si>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</si>
  <si>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</si>
  <si>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</si>
  <si>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</si>
  <si>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</si>
  <si>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</si>
  <si>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</si>
  <si>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</si>
  <si>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</si>
  <si>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</si>
  <si>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</si>
  <si>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</si>
  <si>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</si>
  <si>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</si>
  <si>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</si>
  <si>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</si>
  <si>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</si>
  <si>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</si>
  <si>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</si>
  <si>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</si>
  <si>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</si>
  <si>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</si>
  <si>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</si>
  <si>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</si>
  <si>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</si>
  <si>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</si>
  <si>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</si>
  <si>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</si>
  <si>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</si>
  <si>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</si>
  <si>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</si>
  <si>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</si>
  <si>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</si>
  <si>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</si>
  <si>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</si>
  <si>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</si>
  <si>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</si>
  <si>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</si>
  <si>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</si>
  <si>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</si>
  <si>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</si>
  <si>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</si>
  <si>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</si>
  <si>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</si>
  <si>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</si>
  <si>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</si>
  <si>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</si>
  <si>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</si>
  <si>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</si>
  <si>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</si>
  <si>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</si>
  <si>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</si>
  <si>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</si>
  <si>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</si>
  <si>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</si>
  <si>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</si>
  <si>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</si>
  <si>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</si>
  <si>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</si>
  <si>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</si>
  <si>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</si>
  <si>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</si>
  <si>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</si>
  <si>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</si>
  <si>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</si>
  <si>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</si>
  <si>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</si>
  <si>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</si>
  <si>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</si>
  <si>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</si>
  <si>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</si>
  <si>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</si>
  <si>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</si>
  <si>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</si>
  <si>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</si>
  <si>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</si>
  <si>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</si>
  <si>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</si>
  <si>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</si>
  <si>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</si>
  <si>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</si>
  <si>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</si>
  <si>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</si>
  <si>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</si>
  <si>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</si>
  <si>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</si>
  <si>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</si>
  <si>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</si>
  <si>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</si>
  <si>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</si>
  <si>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</si>
  <si>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</si>
  <si>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</si>
  <si>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</si>
  <si>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</si>
  <si>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</si>
  <si>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</si>
  <si>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</si>
  <si>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</si>
  <si>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</si>
  <si>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</si>
  <si>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</si>
  <si>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</si>
  <si>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</si>
  <si>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</si>
  <si>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</si>
  <si>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</si>
  <si>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</si>
  <si>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</si>
  <si>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</si>
  <si>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</si>
  <si>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</si>
  <si>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</si>
  <si>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</si>
  <si>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</si>
  <si>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</si>
  <si>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</si>
  <si>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</si>
  <si>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</si>
  <si>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</si>
  <si>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</si>
  <si>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</si>
  <si>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</si>
  <si>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</si>
  <si>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</si>
  <si>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</si>
  <si>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</si>
  <si>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</si>
  <si>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</si>
  <si>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</si>
  <si>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</si>
  <si>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</si>
  <si>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</si>
  <si>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</si>
  <si>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</si>
  <si>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</si>
  <si>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</si>
  <si>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</si>
  <si>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</si>
  <si>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</si>
  <si>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</si>
  <si>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</si>
  <si>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</si>
  <si>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</si>
  <si>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</si>
  <si>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</si>
  <si>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</si>
  <si>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</si>
  <si>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</si>
  <si>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</si>
  <si>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</si>
  <si>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</si>
  <si>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</si>
  <si>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</si>
  <si>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</si>
  <si>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</si>
  <si>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</si>
  <si>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</si>
  <si>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</si>
  <si>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</si>
  <si>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</si>
  <si>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</si>
  <si>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</si>
  <si>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</si>
  <si>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</si>
  <si>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</si>
  <si>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</si>
  <si>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</si>
  <si>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</si>
  <si>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</si>
  <si>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</si>
  <si>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</si>
  <si>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</si>
  <si>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</si>
  <si>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</si>
  <si>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</si>
  <si>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</si>
  <si>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</si>
  <si>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</si>
  <si>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</si>
  <si>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</si>
  <si>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</si>
  <si>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</si>
  <si>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</si>
  <si>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</si>
  <si>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</si>
  <si>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</si>
  <si>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</si>
  <si>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</si>
  <si>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</si>
  <si>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</si>
  <si>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</si>
  <si>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</si>
  <si>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</si>
  <si>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</si>
  <si>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</si>
  <si>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</si>
  <si>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</si>
  <si>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</si>
  <si>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</si>
  <si>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</si>
  <si>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</si>
  <si>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</si>
  <si>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</si>
  <si>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</si>
  <si>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</si>
  <si>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</si>
  <si>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</si>
  <si>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</si>
  <si>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</si>
  <si>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</si>
  <si>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</si>
  <si>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</si>
  <si>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</si>
  <si>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</si>
  <si>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</si>
  <si>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</si>
  <si>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</si>
  <si>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</si>
  <si>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</si>
  <si>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</si>
  <si>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</si>
  <si>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</si>
  <si>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</si>
  <si>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</si>
  <si>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</si>
  <si>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</si>
  <si>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</si>
  <si>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</si>
  <si>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</si>
  <si>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</si>
  <si>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</si>
  <si>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</si>
  <si>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</si>
  <si>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</si>
  <si>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</si>
  <si>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</si>
  <si>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</si>
  <si>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</si>
  <si>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</si>
  <si>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</si>
  <si>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</si>
  <si>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</si>
  <si>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</si>
  <si>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</si>
  <si>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</si>
  <si>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</si>
  <si>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</si>
  <si>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</si>
  <si>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</si>
  <si>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</si>
  <si>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</si>
  <si>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</si>
  <si>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</si>
  <si>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</si>
  <si>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</si>
  <si>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</si>
  <si>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</si>
  <si>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</si>
  <si>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</si>
  <si>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</si>
  <si>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</si>
  <si>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</si>
  <si>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</si>
  <si>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</si>
  <si>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</si>
  <si>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</si>
  <si>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</si>
  <si>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</si>
  <si>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</si>
  <si>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</si>
  <si>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</si>
  <si>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</si>
  <si>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</si>
  <si>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</si>
  <si>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</si>
  <si>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</si>
  <si>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</si>
  <si>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</si>
  <si>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</si>
  <si>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</si>
  <si>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</si>
  <si>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</si>
  <si>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</si>
  <si>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</si>
  <si>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</si>
  <si>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</si>
  <si>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</si>
  <si>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</si>
  <si>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</si>
  <si>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</si>
  <si>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</si>
  <si>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</si>
  <si>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</si>
  <si>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</si>
  <si>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</si>
  <si>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</si>
  <si>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</si>
  <si>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</si>
  <si>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</si>
  <si>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</si>
  <si>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</si>
  <si>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</si>
  <si>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</si>
  <si>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</si>
  <si>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</si>
  <si>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</si>
  <si>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</si>
  <si>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</si>
  <si>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</si>
  <si>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</si>
  <si>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</si>
  <si>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</si>
  <si>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</si>
  <si>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</si>
  <si>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</si>
  <si>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</si>
  <si>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</si>
  <si>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</si>
  <si>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</si>
  <si>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</si>
  <si>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</si>
  <si>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</si>
  <si>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</si>
  <si>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</si>
  <si>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</si>
  <si>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</si>
  <si>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</si>
  <si>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</si>
  <si>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</si>
  <si>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</si>
  <si>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</si>
  <si>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</si>
  <si>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</si>
  <si>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</si>
  <si>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</si>
  <si>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</si>
  <si>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</si>
  <si>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</si>
  <si>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</si>
  <si>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</si>
  <si>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</si>
  <si>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</si>
  <si>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</si>
  <si>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</si>
  <si>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</si>
  <si>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</si>
  <si>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</si>
  <si>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</si>
  <si>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</si>
  <si>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</si>
  <si>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</si>
  <si>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</si>
  <si>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</si>
  <si>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</si>
  <si>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</si>
  <si>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</si>
  <si>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</si>
  <si>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</si>
  <si>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</si>
  <si>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</si>
  <si>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</si>
  <si>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</si>
  <si>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</si>
  <si>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</si>
  <si>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</si>
  <si>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</si>
  <si>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</si>
  <si>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</si>
  <si>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</si>
  <si>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</si>
  <si>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</si>
  <si>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</si>
  <si>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</si>
  <si>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</si>
  <si>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</si>
  <si>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</si>
  <si>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</si>
  <si>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</si>
  <si>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</si>
  <si>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</si>
  <si>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</si>
  <si>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</si>
  <si>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</si>
  <si>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</si>
  <si>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</si>
  <si>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</si>
  <si>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</si>
  <si>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</si>
  <si>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</si>
  <si>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</si>
  <si>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</si>
  <si>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</si>
  <si>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</si>
  <si>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</si>
  <si>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</si>
  <si>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</si>
  <si>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</si>
  <si>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</si>
  <si>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</si>
  <si>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</si>
  <si>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</si>
  <si>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</si>
  <si>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</si>
  <si>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</si>
  <si>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</si>
  <si>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</si>
  <si>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</si>
  <si>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</si>
  <si>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</si>
  <si>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</si>
  <si>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</si>
  <si>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</si>
  <si>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</si>
  <si>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</si>
  <si>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</si>
  <si>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</si>
  <si>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</si>
  <si>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</si>
  <si>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</si>
  <si>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</si>
  <si>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</si>
  <si>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</si>
  <si>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</si>
  <si>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</si>
  <si>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</si>
  <si>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</si>
  <si>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</si>
  <si>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</si>
  <si>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</si>
  <si>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</si>
  <si>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</si>
  <si>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</si>
  <si>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</si>
  <si>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</si>
  <si>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</si>
  <si>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</si>
  <si>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</si>
  <si>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</si>
  <si>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</si>
  <si>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</si>
  <si>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</si>
  <si>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</si>
  <si>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</si>
  <si>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</si>
  <si>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</si>
  <si>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</si>
  <si>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</si>
  <si>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</si>
  <si>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</si>
  <si>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</si>
  <si>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</si>
  <si>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</si>
  <si>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</si>
  <si>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</si>
  <si>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</si>
  <si>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</si>
  <si>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</si>
  <si>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</si>
  <si>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</si>
  <si>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</si>
  <si>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</si>
  <si>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</si>
  <si>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</si>
  <si>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</si>
  <si>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</si>
  <si>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</si>
  <si>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</si>
  <si>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</si>
  <si>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</si>
  <si>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</si>
  <si>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</si>
  <si>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</si>
  <si>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</si>
  <si>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</si>
  <si>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</si>
  <si>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</si>
  <si>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</si>
  <si>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</si>
  <si>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</si>
  <si>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</si>
  <si>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</si>
  <si>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</si>
  <si>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</si>
  <si>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</si>
  <si>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</si>
  <si>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</si>
  <si>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</si>
  <si>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</si>
  <si>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</si>
  <si>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</si>
  <si>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</si>
  <si>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</si>
  <si>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</si>
  <si>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</si>
  <si>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</si>
  <si>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</si>
  <si>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</si>
  <si>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</si>
  <si>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</si>
  <si>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</si>
  <si>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</si>
  <si>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</si>
  <si>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</si>
  <si>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</si>
  <si>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</si>
  <si>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</si>
  <si>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</si>
  <si>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</si>
  <si>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</si>
  <si>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</si>
  <si>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</si>
  <si>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</si>
  <si>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</si>
  <si>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</si>
  <si>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</si>
  <si>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</si>
  <si>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</si>
  <si>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</si>
  <si>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</si>
  <si>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</si>
  <si>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</si>
  <si>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</si>
  <si>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</si>
  <si>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</si>
  <si>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</si>
  <si>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</si>
  <si>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</si>
  <si>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</si>
  <si>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</si>
  <si>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</si>
  <si>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</si>
  <si>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</si>
  <si>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</si>
  <si>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</si>
  <si>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</si>
  <si>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</si>
  <si>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</si>
  <si>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</si>
  <si>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</si>
  <si>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</si>
  <si>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</si>
  <si>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</si>
  <si>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</si>
  <si>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</si>
  <si>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</si>
  <si>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</si>
  <si>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</si>
  <si>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</si>
  <si>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</si>
  <si>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</si>
  <si>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</si>
  <si>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</si>
  <si>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</si>
  <si>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</si>
  <si>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</si>
  <si>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</si>
  <si>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</si>
  <si>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</si>
  <si>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</si>
  <si>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</si>
  <si>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</si>
  <si>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</si>
  <si>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</si>
  <si>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</si>
  <si>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</si>
  <si>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</si>
  <si>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</si>
  <si>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</si>
  <si>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</si>
  <si>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</si>
  <si>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</si>
  <si>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</si>
  <si>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</si>
  <si>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</si>
  <si>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</si>
  <si>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</si>
  <si>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</si>
  <si>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</si>
  <si>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</si>
  <si>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</si>
  <si>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</si>
  <si>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</si>
  <si>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</si>
  <si>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</si>
  <si>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</si>
  <si>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</si>
  <si>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</si>
  <si>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</si>
  <si>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</si>
  <si>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</si>
  <si>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</si>
  <si>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</si>
  <si>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</si>
  <si>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</si>
  <si>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</si>
  <si>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</si>
  <si>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</si>
  <si>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</si>
  <si>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</si>
  <si>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</si>
  <si>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</si>
  <si>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</si>
  <si>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</si>
  <si>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</si>
  <si>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</si>
  <si>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</si>
  <si>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</si>
  <si>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</si>
  <si>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</si>
  <si>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</si>
  <si>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</si>
  <si>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</si>
  <si>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</si>
  <si>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</si>
  <si>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</si>
  <si>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</si>
  <si>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</si>
  <si>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</si>
  <si>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</si>
  <si>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</si>
  <si>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</si>
  <si>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</si>
  <si>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</si>
  <si>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</si>
  <si>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</si>
  <si>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</si>
  <si>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</si>
  <si>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</si>
  <si>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</si>
  <si>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</si>
  <si>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</si>
  <si>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</si>
  <si>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</si>
  <si>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</si>
  <si>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</si>
  <si>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</si>
  <si>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</si>
  <si>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</si>
  <si>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</si>
  <si>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</si>
  <si>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</si>
  <si>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</si>
  <si>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</si>
  <si>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</si>
  <si>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</si>
  <si>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</si>
  <si>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</si>
  <si>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</si>
  <si>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</si>
  <si>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</si>
  <si>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</si>
  <si>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</si>
  <si>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</si>
  <si>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</si>
  <si>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</si>
  <si>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</si>
  <si>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</si>
  <si>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</si>
  <si>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</si>
  <si>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</si>
  <si>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</si>
  <si>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</si>
  <si>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</si>
  <si>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</si>
  <si>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</si>
  <si>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</si>
  <si>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</si>
  <si>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</si>
  <si>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</si>
  <si>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</si>
  <si>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</si>
  <si>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</si>
  <si>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</si>
  <si>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</si>
  <si>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</si>
  <si>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</si>
  <si>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</si>
  <si>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</si>
  <si>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</si>
  <si>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</si>
  <si>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</si>
  <si>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</si>
  <si>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</si>
  <si>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</si>
  <si>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</si>
  <si>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</si>
  <si>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</si>
  <si>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</si>
  <si>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</si>
  <si>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</si>
  <si>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</si>
  <si>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</si>
  <si>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</si>
  <si>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</si>
  <si>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</si>
  <si>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</si>
  <si>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</si>
  <si>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</si>
  <si>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</si>
  <si>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</si>
  <si>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</si>
  <si>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</si>
  <si>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</si>
  <si>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</si>
  <si>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</si>
  <si>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</si>
  <si>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</si>
  <si>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</si>
  <si>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</si>
  <si>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</si>
  <si>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</si>
  <si>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</si>
  <si>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</si>
  <si>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</si>
  <si>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</si>
  <si>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</si>
  <si>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</si>
  <si>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</si>
  <si>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</si>
  <si>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</si>
  <si>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</si>
  <si>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</si>
  <si>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</si>
  <si>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</si>
  <si>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</si>
  <si>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</si>
  <si>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</si>
  <si>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</si>
  <si>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</si>
  <si>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</si>
  <si>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</si>
  <si>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</si>
  <si>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</si>
  <si>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</si>
  <si>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</si>
  <si>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</si>
  <si>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</si>
  <si>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</si>
  <si>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</si>
  <si>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</si>
  <si>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</si>
  <si>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</si>
  <si>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</si>
  <si>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</si>
  <si>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</si>
  <si>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</si>
  <si>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</si>
  <si>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</si>
  <si>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</si>
  <si>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</si>
  <si>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</si>
  <si>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</si>
  <si>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</si>
  <si>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</si>
  <si>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</si>
  <si>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</si>
  <si>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</si>
  <si>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</si>
  <si>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</si>
  <si>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</si>
  <si>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</si>
  <si>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</si>
  <si>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</si>
  <si>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</si>
  <si>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</si>
  <si>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</si>
  <si>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</si>
  <si>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</si>
  <si>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</si>
  <si>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</si>
  <si>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</si>
  <si>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</si>
  <si>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</si>
  <si>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</si>
  <si>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</si>
  <si>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</si>
  <si>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</si>
  <si>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</si>
  <si>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</si>
  <si>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</si>
  <si>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</si>
  <si>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</si>
  <si>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</si>
  <si>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</si>
  <si>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</si>
  <si>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</si>
  <si>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</si>
  <si>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</si>
  <si>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</si>
  <si>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</si>
  <si>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</si>
  <si>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</si>
  <si>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</si>
  <si>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</si>
  <si>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</si>
  <si>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</si>
  <si>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</si>
  <si>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</si>
  <si>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</si>
  <si>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</si>
  <si>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</si>
  <si>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</si>
  <si>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</si>
  <si>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</si>
  <si>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</si>
  <si>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</si>
  <si>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</si>
  <si>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</si>
  <si>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</si>
  <si>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</si>
  <si>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</si>
  <si>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</si>
  <si>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</si>
  <si>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</si>
  <si>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</si>
  <si>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</si>
  <si>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</si>
  <si>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</si>
  <si>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</si>
  <si>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</si>
  <si>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</si>
  <si>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</si>
  <si>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</si>
  <si>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</si>
  <si>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</si>
  <si>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</si>
  <si>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</si>
  <si>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</si>
  <si>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</si>
  <si>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</si>
  <si>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</si>
  <si>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</si>
  <si>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</si>
  <si>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</si>
  <si>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</si>
  <si>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</si>
  <si>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</si>
  <si>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</si>
  <si>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</si>
  <si>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</si>
  <si>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</si>
  <si>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</si>
  <si>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</si>
  <si>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</si>
  <si>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</si>
  <si>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</si>
  <si>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</si>
  <si>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</si>
  <si>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</si>
  <si>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</si>
  <si>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</si>
  <si>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</si>
  <si>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</si>
  <si>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</si>
  <si>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</si>
  <si>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</si>
  <si>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</si>
  <si>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</si>
  <si>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</si>
  <si>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</si>
  <si>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</si>
  <si>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</si>
  <si>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</si>
  <si>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</si>
  <si>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</si>
  <si>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</si>
  <si>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</si>
  <si>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</si>
  <si>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</si>
  <si>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</si>
  <si>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</si>
  <si>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</si>
  <si>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</si>
  <si>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</si>
  <si>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</si>
  <si>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</si>
  <si>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</si>
  <si>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</si>
  <si>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</si>
  <si>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</si>
  <si>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</si>
  <si>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</si>
  <si>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</si>
  <si>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</si>
  <si>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</si>
  <si>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</si>
  <si>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</si>
  <si>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</si>
  <si>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</si>
  <si>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</si>
  <si>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</si>
  <si>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</si>
  <si>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</si>
  <si>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</si>
  <si>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</si>
  <si>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</si>
  <si>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</si>
  <si>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</si>
  <si>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</si>
  <si>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</si>
  <si>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</si>
  <si>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</si>
  <si>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</si>
  <si>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</si>
  <si>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</si>
  <si>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</si>
  <si>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</si>
  <si>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</si>
  <si>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</si>
  <si>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</si>
  <si>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</si>
  <si>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</si>
  <si>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</si>
  <si>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</si>
  <si>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</si>
  <si>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</si>
  <si>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</si>
  <si>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</si>
  <si>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</si>
  <si>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</si>
  <si>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</si>
  <si>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</si>
  <si>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</si>
  <si>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</si>
  <si>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</si>
  <si>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</si>
  <si>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</si>
  <si>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</si>
  <si>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</si>
  <si>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</si>
  <si>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</si>
  <si>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</si>
  <si>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</si>
  <si>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</si>
  <si>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</si>
  <si>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</si>
  <si>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</si>
  <si>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</si>
  <si>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</si>
  <si>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</si>
  <si>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</si>
  <si>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</si>
  <si>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</si>
  <si>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</si>
  <si>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</si>
  <si>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</si>
  <si>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</si>
  <si>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</si>
  <si>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</si>
  <si>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</si>
  <si>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</si>
  <si>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</si>
  <si>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</si>
  <si>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</si>
  <si>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</si>
  <si>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</si>
  <si>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</si>
  <si>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</si>
  <si>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</si>
  <si>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</si>
  <si>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</si>
  <si>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</si>
  <si>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</si>
  <si>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</si>
  <si>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</si>
  <si>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</si>
  <si>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</si>
  <si>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</si>
  <si>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</si>
  <si>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</si>
  <si>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</si>
  <si>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</si>
  <si>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</si>
  <si>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</si>
  <si>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</si>
  <si>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</si>
  <si>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</si>
  <si>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</si>
  <si>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</si>
  <si>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</si>
  <si>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</si>
  <si>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</si>
  <si>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</si>
  <si>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</si>
  <si>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</si>
  <si>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</si>
  <si>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</si>
  <si>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</si>
  <si>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</si>
  <si>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</si>
  <si>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</si>
  <si>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</si>
  <si>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</si>
  <si>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</si>
  <si>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</si>
  <si>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</si>
  <si>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</si>
  <si>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</si>
  <si>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</si>
  <si>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</si>
  <si>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</si>
  <si>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</si>
  <si>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</si>
  <si>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</si>
  <si>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</si>
  <si>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</si>
  <si>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</si>
  <si>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</si>
  <si>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</si>
  <si>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</si>
  <si>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</si>
  <si>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</si>
  <si>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</si>
  <si>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</si>
  <si>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</si>
  <si>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</si>
  <si>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</si>
  <si>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</si>
  <si>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</si>
  <si>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</si>
  <si>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</si>
  <si>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</si>
  <si>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</si>
  <si>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</si>
  <si>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</si>
  <si>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</si>
  <si>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</si>
  <si>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</si>
  <si>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</si>
  <si>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</si>
  <si>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</si>
  <si>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</si>
  <si>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</si>
  <si>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</si>
  <si>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</si>
  <si>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</si>
  <si>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</si>
  <si>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</si>
  <si>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</si>
  <si>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</si>
  <si>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</si>
  <si>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</si>
  <si>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</si>
  <si>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</si>
  <si>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</si>
  <si>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</si>
  <si>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</si>
  <si>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</si>
  <si>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</si>
  <si>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</si>
  <si>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</si>
  <si>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</si>
  <si>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</si>
  <si>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</si>
  <si>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</si>
  <si>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</si>
  <si>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</si>
  <si>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</si>
  <si>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</si>
  <si>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</si>
  <si>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</si>
  <si>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</si>
  <si>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</si>
  <si>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</si>
  <si>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</si>
  <si>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</si>
  <si>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</si>
  <si>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</si>
  <si>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</si>
  <si>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</si>
  <si>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</si>
  <si>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</si>
  <si>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</si>
  <si>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</si>
  <si>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</si>
  <si>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</si>
  <si>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</si>
  <si>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</si>
  <si>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</si>
  <si>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</si>
  <si>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</si>
  <si>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</si>
  <si>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</si>
  <si>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</si>
  <si>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</si>
  <si>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</si>
  <si>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</si>
  <si>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</si>
  <si>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</si>
  <si>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</si>
  <si>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</si>
  <si>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</si>
  <si>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</si>
  <si>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</si>
  <si>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</si>
  <si>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</si>
  <si>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</si>
  <si>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</si>
  <si>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</si>
  <si>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</si>
  <si>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</si>
  <si>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</si>
  <si>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</si>
  <si>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</si>
  <si>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</si>
  <si>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</si>
  <si>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</si>
  <si>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</si>
  <si>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</si>
  <si>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</si>
  <si>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</si>
  <si>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</si>
  <si>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</si>
  <si>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</si>
  <si>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</si>
  <si>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</si>
  <si>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</si>
  <si>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</si>
  <si>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</si>
  <si>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</si>
  <si>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</si>
  <si>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</si>
  <si>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</si>
  <si>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</si>
  <si>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</si>
  <si>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</si>
  <si>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</si>
  <si>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</si>
  <si>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</si>
  <si>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</si>
  <si>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</si>
  <si>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</si>
  <si>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</si>
  <si>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</si>
  <si>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</si>
  <si>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</si>
  <si>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</si>
  <si>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</si>
  <si>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</si>
  <si>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</si>
  <si>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</si>
  <si>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</si>
  <si>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</si>
  <si>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</si>
  <si>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</si>
  <si>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</si>
  <si>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</si>
  <si>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</si>
  <si>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</si>
  <si>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</si>
  <si>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</si>
  <si>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</si>
  <si>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</si>
  <si>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</si>
  <si>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</si>
  <si>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</si>
  <si>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</si>
  <si>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</si>
  <si>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</si>
  <si>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</si>
  <si>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</si>
  <si>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</si>
  <si>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</si>
  <si>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</si>
  <si>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</si>
  <si>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</si>
  <si>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</si>
  <si>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</si>
  <si>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</si>
  <si>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</si>
  <si>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</si>
  <si>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</si>
  <si>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</si>
  <si>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</si>
  <si>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</si>
  <si>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</si>
  <si>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</si>
  <si>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</si>
  <si>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</si>
  <si>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</si>
  <si>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</si>
  <si>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</si>
  <si>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</si>
  <si>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</si>
  <si>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</si>
  <si>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</si>
  <si>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</si>
  <si>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</si>
  <si>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</si>
  <si>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</si>
  <si>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</si>
  <si>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</si>
  <si>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</si>
  <si>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</si>
  <si>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</si>
  <si>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</si>
  <si>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</si>
  <si>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</si>
  <si>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</si>
  <si>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</si>
  <si>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</si>
  <si>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</si>
  <si>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</si>
  <si>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</si>
  <si>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</si>
  <si>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</si>
  <si>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</si>
  <si>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</si>
  <si>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</si>
  <si>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</si>
  <si>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</si>
  <si>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</si>
  <si>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</si>
  <si>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</si>
  <si>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</si>
  <si>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</si>
  <si>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</si>
  <si>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</si>
  <si>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</si>
  <si>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</si>
  <si>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</si>
  <si>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</si>
  <si>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</si>
  <si>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</si>
  <si>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</si>
  <si>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</si>
  <si>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</si>
  <si>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</si>
  <si>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</si>
  <si>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</si>
  <si>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</si>
  <si>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</si>
  <si>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</si>
  <si>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</si>
  <si>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</si>
  <si>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</si>
  <si>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</si>
  <si>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</si>
  <si>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</si>
  <si>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</si>
  <si>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</si>
  <si>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</si>
  <si>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</si>
  <si>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</si>
  <si>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</si>
  <si>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</si>
  <si>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</si>
  <si>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</si>
  <si>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</si>
  <si>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</si>
  <si>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</si>
  <si>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</si>
  <si>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</si>
  <si>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</si>
  <si>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</si>
  <si>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</si>
  <si>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</si>
  <si>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</si>
  <si>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</si>
  <si>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</si>
  <si>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</si>
  <si>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</si>
  <si>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</si>
  <si>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</si>
  <si>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</si>
  <si>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</si>
  <si>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</si>
  <si>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</si>
  <si>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</si>
  <si>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</si>
  <si>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</si>
  <si>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</si>
  <si>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</si>
  <si>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</si>
  <si>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</si>
  <si>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</si>
  <si>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</si>
  <si>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</si>
  <si>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</si>
  <si>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</si>
  <si>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</si>
  <si>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</si>
  <si>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</si>
  <si>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</si>
  <si>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</si>
  <si>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</si>
  <si>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</si>
  <si>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</si>
  <si>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</si>
  <si>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</si>
  <si>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</si>
  <si>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</si>
  <si>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</si>
  <si>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</si>
  <si>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</si>
  <si>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</si>
  <si>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</si>
  <si>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</si>
  <si>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</si>
  <si>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</si>
  <si>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</si>
  <si>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</si>
  <si>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</si>
  <si>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</si>
  <si>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</si>
  <si>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</si>
  <si>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</si>
  <si>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</si>
  <si>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</si>
  <si>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</si>
  <si>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</si>
  <si>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</si>
  <si>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</si>
  <si>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</si>
  <si>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</si>
  <si>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</si>
  <si>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</si>
  <si>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</si>
  <si>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</si>
  <si>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</si>
  <si>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</si>
  <si>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</si>
  <si>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</si>
  <si>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</si>
  <si>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</si>
  <si>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</si>
  <si>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</si>
  <si>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</si>
  <si>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</si>
  <si>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</si>
  <si>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</si>
  <si>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</si>
  <si>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</si>
  <si>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</si>
  <si>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</si>
  <si>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</si>
  <si>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</si>
  <si>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</si>
  <si>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</si>
  <si>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</si>
  <si>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</si>
  <si>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</si>
  <si>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</si>
  <si>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</si>
  <si>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</si>
  <si>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</si>
  <si>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</si>
  <si>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</si>
  <si>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</si>
  <si>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</si>
  <si>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</si>
  <si>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</si>
  <si>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</si>
  <si>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</si>
  <si>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</si>
  <si>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</si>
  <si>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</si>
  <si>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</si>
  <si>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</si>
  <si>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</si>
  <si>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</si>
  <si>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</si>
  <si>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</si>
  <si>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</si>
  <si>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</si>
  <si>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</si>
  <si>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</si>
  <si>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</si>
  <si>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</si>
  <si>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</si>
  <si>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</si>
  <si>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</si>
  <si>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</si>
  <si>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</si>
  <si>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</si>
  <si>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</si>
  <si>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</si>
  <si>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</si>
  <si>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</si>
  <si>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</si>
  <si>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</si>
  <si>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</si>
  <si>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</si>
  <si>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</si>
  <si>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</si>
  <si>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</si>
  <si>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</si>
  <si>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</si>
  <si>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</si>
  <si>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</si>
  <si>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</si>
  <si>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</si>
  <si>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</si>
  <si>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</si>
  <si>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</si>
  <si>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</si>
  <si>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</si>
  <si>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</si>
  <si>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</si>
  <si>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</si>
  <si>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</si>
  <si>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</si>
  <si>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</si>
  <si>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</si>
  <si>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</si>
  <si>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</si>
  <si>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</si>
  <si>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</si>
  <si>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</si>
  <si>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</si>
  <si>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</si>
  <si>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</si>
  <si>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</si>
  <si>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</si>
  <si>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</si>
  <si>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</si>
  <si>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</si>
  <si>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</si>
  <si>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</si>
  <si>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</si>
  <si>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</si>
  <si>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</si>
  <si>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</si>
  <si>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</si>
  <si>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</si>
  <si>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</si>
  <si>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</si>
  <si>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</si>
  <si>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</si>
  <si>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</si>
  <si>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</si>
  <si>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</si>
  <si>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</si>
  <si>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</si>
  <si>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</si>
  <si>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</si>
  <si>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</si>
  <si>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</si>
  <si>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</si>
  <si>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</si>
  <si>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</si>
  <si>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</si>
  <si>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</si>
  <si>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</si>
  <si>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</si>
  <si>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</si>
  <si>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</si>
  <si>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</si>
  <si>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</si>
  <si>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</si>
  <si>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</si>
  <si>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</si>
  <si>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</si>
  <si>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</si>
  <si>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</si>
  <si>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</si>
  <si>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</si>
  <si>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</si>
  <si>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</si>
  <si>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</si>
  <si>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</si>
  <si>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</si>
  <si>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</si>
  <si>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</si>
  <si>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</si>
  <si>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</si>
  <si>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</si>
  <si>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</si>
  <si>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</si>
  <si>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</si>
  <si>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</si>
  <si>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</si>
  <si>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</si>
  <si>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</si>
  <si>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</si>
  <si>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</si>
  <si>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</si>
  <si>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</si>
  <si>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</si>
  <si>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</si>
  <si>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</si>
  <si>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</si>
  <si>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</si>
  <si>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</si>
  <si>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</si>
  <si>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</si>
  <si>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</si>
  <si>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</si>
  <si>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</si>
  <si>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</si>
  <si>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</si>
  <si>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</si>
  <si>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</si>
  <si>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</si>
  <si>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</si>
  <si>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</si>
  <si>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</si>
  <si>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</si>
  <si>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</si>
  <si>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</si>
  <si>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</si>
  <si>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</si>
  <si>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</si>
  <si>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</si>
  <si>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</si>
  <si>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</si>
  <si>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</si>
  <si>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</si>
  <si>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</si>
  <si>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</si>
  <si>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</si>
  <si>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</si>
  <si>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</si>
  <si>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</si>
  <si>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</si>
  <si>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</si>
  <si>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</si>
  <si>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</si>
  <si>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</si>
  <si>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</si>
  <si>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</si>
  <si>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</si>
  <si>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</si>
  <si>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</si>
  <si>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</si>
  <si>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</si>
  <si>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</si>
  <si>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</si>
  <si>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</si>
  <si>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</si>
  <si>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</si>
  <si>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</si>
  <si>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</si>
  <si>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</si>
  <si>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</si>
  <si>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</si>
  <si>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</si>
  <si>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</si>
  <si>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</si>
  <si>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</si>
  <si>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</si>
  <si>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</si>
  <si>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</si>
  <si>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</si>
  <si>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</si>
  <si>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</si>
  <si>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</si>
  <si>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</si>
  <si>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</si>
  <si>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</si>
  <si>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</si>
  <si>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</si>
  <si>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</si>
  <si>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</si>
  <si>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</si>
  <si>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</si>
  <si>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</si>
  <si>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</si>
  <si>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</si>
  <si>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</si>
  <si>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</si>
  <si>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</si>
  <si>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</si>
  <si>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</si>
  <si>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</si>
  <si>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</si>
  <si>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</si>
  <si>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</si>
  <si>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</si>
  <si>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</si>
  <si>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</si>
  <si>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</si>
  <si>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</si>
  <si>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</si>
  <si>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</si>
  <si>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</si>
  <si>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</si>
  <si>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</si>
  <si>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</si>
  <si>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</si>
  <si>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</si>
  <si>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</si>
  <si>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</si>
  <si>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</si>
  <si>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</si>
  <si>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</si>
  <si>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</si>
  <si>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</si>
  <si>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</si>
  <si>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</si>
  <si>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</si>
  <si>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</si>
  <si>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</si>
  <si>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</si>
  <si>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</si>
  <si>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</si>
  <si>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</si>
  <si>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</si>
  <si>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</si>
  <si>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</si>
  <si>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</si>
  <si>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</si>
  <si>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</si>
  <si>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</si>
  <si>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</si>
  <si>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</si>
  <si>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</si>
  <si>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</si>
  <si>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</si>
  <si>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</si>
  <si>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</si>
  <si>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</si>
  <si>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</si>
  <si>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</si>
  <si>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</si>
  <si>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</si>
  <si>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</si>
  <si>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</si>
  <si>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</si>
  <si>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</si>
  <si>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</si>
  <si>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</si>
  <si>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</si>
  <si>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</si>
  <si>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</si>
  <si>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</si>
  <si>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</si>
  <si>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</si>
  <si>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</si>
  <si>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</si>
  <si>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</si>
  <si>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</si>
  <si>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</si>
  <si>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</si>
  <si>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</si>
  <si>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</si>
  <si>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</si>
  <si>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</si>
  <si>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</si>
  <si>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</si>
  <si>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</si>
  <si>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</si>
  <si>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</si>
  <si>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</si>
  <si>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</si>
  <si>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</si>
  <si>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</si>
  <si>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</si>
  <si>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</si>
  <si>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</si>
  <si>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</si>
  <si>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</si>
  <si>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</si>
  <si>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</si>
  <si>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</si>
  <si>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</si>
  <si>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</si>
  <si>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</si>
  <si>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</si>
  <si>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</si>
  <si>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</si>
  <si>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</si>
  <si>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</si>
  <si>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</si>
  <si>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</si>
  <si>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</si>
  <si>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</si>
  <si>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</si>
  <si>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</si>
  <si>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</si>
  <si>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</si>
  <si>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</si>
  <si>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</si>
  <si>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</si>
  <si>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</si>
  <si>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</si>
  <si>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</si>
  <si>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</si>
  <si>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</si>
  <si>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</si>
  <si>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</si>
  <si>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</si>
  <si>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</si>
  <si>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</si>
  <si>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</si>
  <si>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</si>
  <si>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</si>
  <si>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</si>
  <si>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</si>
  <si>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</si>
  <si>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</si>
  <si>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</si>
  <si>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</si>
  <si>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</si>
  <si>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</si>
  <si>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</si>
  <si>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</si>
  <si>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</si>
  <si>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</si>
  <si>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</si>
  <si>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</si>
  <si>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</si>
  <si>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</si>
  <si>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</si>
  <si>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</si>
  <si>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</si>
  <si>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</si>
  <si>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</si>
  <si>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</si>
  <si>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</si>
  <si>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</si>
  <si>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</si>
  <si>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</si>
  <si>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</si>
  <si>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</si>
  <si>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</si>
  <si>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</si>
  <si>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</si>
  <si>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</si>
  <si>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</si>
  <si>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</si>
  <si>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</si>
  <si>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</si>
  <si>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</si>
  <si>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</si>
  <si>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</si>
  <si>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</si>
  <si>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</si>
  <si>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</si>
  <si>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</si>
  <si>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</si>
  <si>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</si>
  <si>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</si>
  <si>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</si>
  <si>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</si>
  <si>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</si>
  <si>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</si>
  <si>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</si>
  <si>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</si>
  <si>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</si>
  <si>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</si>
  <si>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</si>
  <si>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</si>
  <si>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</si>
  <si>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</si>
  <si>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</si>
  <si>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</si>
  <si>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</si>
  <si>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</si>
  <si>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</si>
  <si>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</si>
  <si>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</si>
  <si>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</si>
  <si>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</si>
  <si>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</si>
  <si>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</si>
  <si>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</si>
  <si>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</si>
  <si>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</si>
  <si>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</si>
  <si>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</si>
  <si>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</si>
  <si>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</si>
  <si>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</si>
  <si>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</si>
  <si>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</si>
  <si>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</si>
  <si>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</si>
  <si>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</si>
  <si>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</si>
  <si>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</si>
  <si>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</si>
  <si>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</si>
  <si>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</si>
  <si>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</si>
  <si>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</si>
  <si>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</si>
  <si>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</si>
  <si>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</si>
  <si>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</si>
  <si>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</si>
  <si>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</si>
  <si>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</si>
  <si>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</si>
  <si>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</si>
  <si>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</si>
  <si>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</si>
  <si>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</si>
  <si>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</si>
  <si>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</si>
  <si>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</si>
  <si>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</si>
  <si>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</si>
  <si>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</si>
  <si>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</si>
  <si>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</si>
  <si>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</si>
  <si>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</si>
  <si>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</si>
  <si>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</si>
  <si>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</si>
  <si>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</si>
  <si>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</si>
  <si>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</si>
  <si>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</si>
  <si>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</si>
  <si>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</si>
  <si>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</si>
  <si>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</si>
  <si>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</si>
  <si>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</si>
  <si>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</si>
  <si>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</si>
  <si>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</si>
  <si>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</si>
  <si>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</si>
  <si>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</si>
  <si>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</si>
  <si>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</si>
  <si>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</si>
  <si>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</si>
  <si>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</si>
  <si>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</si>
  <si>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</si>
  <si>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</si>
  <si>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</si>
  <si>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</si>
  <si>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</si>
  <si>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</si>
  <si>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</si>
  <si>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</si>
  <si>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</si>
  <si>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</si>
  <si>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</si>
  <si>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</si>
  <si>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</si>
  <si>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</si>
  <si>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</si>
  <si>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</si>
  <si>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</si>
  <si>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</si>
  <si>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</si>
  <si>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</si>
  <si>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</si>
  <si>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</si>
  <si>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</si>
  <si>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</si>
  <si>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</si>
  <si>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</si>
  <si>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</si>
  <si>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</si>
  <si>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</si>
  <si>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</si>
  <si>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</si>
  <si>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</si>
  <si>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</si>
  <si>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</si>
  <si>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</si>
  <si>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</si>
  <si>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</si>
  <si>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</si>
  <si>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</si>
  <si>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</si>
  <si>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</si>
  <si>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</si>
  <si>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</si>
  <si>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</si>
  <si>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</si>
  <si>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</si>
  <si>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</si>
  <si>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</si>
  <si>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</si>
  <si>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</si>
  <si>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</si>
  <si>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</si>
  <si>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</si>
  <si>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</si>
  <si>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</si>
  <si>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</si>
  <si>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</si>
  <si>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</si>
  <si>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</si>
  <si>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</si>
  <si>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</si>
  <si>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</si>
  <si>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</si>
  <si>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</si>
  <si>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</si>
  <si>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</si>
  <si>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</si>
  <si>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</si>
  <si>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</si>
  <si>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</si>
  <si>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</si>
  <si>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</si>
  <si>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</si>
  <si>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</si>
  <si>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</si>
  <si>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</si>
  <si>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</si>
  <si>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</si>
  <si>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</si>
  <si>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</si>
  <si>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</si>
  <si>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</si>
  <si>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</si>
  <si>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</si>
  <si>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</si>
  <si>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</si>
  <si>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</si>
  <si>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</si>
  <si>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</si>
  <si>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</si>
  <si>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</si>
  <si>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</si>
  <si>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</si>
  <si>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</si>
  <si>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</si>
  <si>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</si>
  <si>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</si>
  <si>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</si>
  <si>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</si>
  <si>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</si>
  <si>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</si>
  <si>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</si>
  <si>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</si>
  <si>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</si>
  <si>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</si>
  <si>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</si>
  <si>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</si>
  <si>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</si>
  <si>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</si>
  <si>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</si>
  <si>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</si>
  <si>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</si>
  <si>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</si>
  <si>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</si>
  <si>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</si>
  <si>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</si>
  <si>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</si>
  <si>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</si>
  <si>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</si>
  <si>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</si>
  <si>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</si>
  <si>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</si>
  <si>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</si>
  <si>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</si>
  <si>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</si>
  <si>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</si>
  <si>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</si>
  <si>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</si>
  <si>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</si>
  <si>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</si>
  <si>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</si>
  <si>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</si>
  <si>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</si>
  <si>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</si>
  <si>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</si>
  <si>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</si>
  <si>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</si>
  <si>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</si>
  <si>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</si>
  <si>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</si>
  <si>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</si>
  <si>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</si>
  <si>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</si>
  <si>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</si>
  <si>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</si>
  <si>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</si>
  <si>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</si>
  <si>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</si>
  <si>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</si>
  <si>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</si>
  <si>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</si>
  <si>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</si>
  <si>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</si>
  <si>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</si>
  <si>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</si>
  <si>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</si>
  <si>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</si>
  <si>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</si>
  <si>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</si>
  <si>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</si>
  <si>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</si>
  <si>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</si>
  <si>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</si>
  <si>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</si>
  <si>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</si>
  <si>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</si>
  <si>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</si>
  <si>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</si>
  <si>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</si>
  <si>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</si>
  <si>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</si>
  <si>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</si>
  <si>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</si>
  <si>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</si>
  <si>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</si>
  <si>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</si>
  <si>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</si>
  <si>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</si>
  <si>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</si>
  <si>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</si>
  <si>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</si>
  <si>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</si>
  <si>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</si>
  <si>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</si>
  <si>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</si>
  <si>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</si>
  <si>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</si>
  <si>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</si>
  <si>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</si>
  <si>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</si>
  <si>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</si>
  <si>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</si>
  <si>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</si>
  <si>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</si>
  <si>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</si>
  <si>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</si>
  <si>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</si>
  <si>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</si>
  <si>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</si>
  <si>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</si>
  <si>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</si>
  <si>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</si>
  <si>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</si>
  <si>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</si>
  <si>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</si>
  <si>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</si>
  <si>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</si>
  <si>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</si>
  <si>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</si>
  <si>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</si>
  <si>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</si>
  <si>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</si>
  <si>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</si>
  <si>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</si>
  <si>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</si>
  <si>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</si>
  <si>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</si>
  <si>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</si>
  <si>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</si>
  <si>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</si>
  <si>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</si>
  <si>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</si>
  <si>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</si>
  <si>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</si>
  <si>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</si>
  <si>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</si>
  <si>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</si>
  <si>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</si>
  <si>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</si>
  <si>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</si>
  <si>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</si>
  <si>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</si>
  <si>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</si>
  <si>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</si>
  <si>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</si>
  <si>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</si>
  <si>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</si>
  <si>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</si>
  <si>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</si>
  <si>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</si>
  <si>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</si>
  <si>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</si>
  <si>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</si>
  <si>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</si>
  <si>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</si>
  <si>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</si>
  <si>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</si>
  <si>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</si>
  <si>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</si>
  <si>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</si>
  <si>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</si>
  <si>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</si>
  <si>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</si>
  <si>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</si>
  <si>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</si>
  <si>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</si>
  <si>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</si>
  <si>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</si>
  <si>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</si>
  <si>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</si>
  <si>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</si>
  <si>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</si>
  <si>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</si>
  <si>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</si>
  <si>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</si>
  <si>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</si>
  <si>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</si>
  <si>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</si>
  <si>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</si>
  <si>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</si>
  <si>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</si>
  <si>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</si>
  <si>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</si>
  <si>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</si>
  <si>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</si>
  <si>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</si>
  <si>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</si>
  <si>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</si>
  <si>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</si>
  <si>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</si>
  <si>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</si>
  <si>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</si>
  <si>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</si>
  <si>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</si>
  <si>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</si>
  <si>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</si>
  <si>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</si>
  <si>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</si>
  <si>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</si>
  <si>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</si>
  <si>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</si>
  <si>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</si>
  <si>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</si>
  <si>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</si>
  <si>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</si>
  <si>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</si>
  <si>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</si>
  <si>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</si>
  <si>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</si>
  <si>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</si>
  <si>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</si>
  <si>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</si>
  <si>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</si>
  <si>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</si>
  <si>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</si>
  <si>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</si>
  <si>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</si>
  <si>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</si>
  <si>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</si>
  <si>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</si>
  <si>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</si>
  <si>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</si>
  <si>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</si>
  <si>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</si>
  <si>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</si>
  <si>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</si>
  <si>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</si>
  <si>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</si>
  <si>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</si>
  <si>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</si>
  <si>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</si>
  <si>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</si>
  <si>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</si>
  <si>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</si>
  <si>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</si>
  <si>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</si>
  <si>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</si>
  <si>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</si>
  <si>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</si>
  <si>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</si>
  <si>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</si>
  <si>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</si>
  <si>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</si>
  <si>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</si>
  <si>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</si>
  <si>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</si>
  <si>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</si>
  <si>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</si>
  <si>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</si>
  <si>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</si>
  <si>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</si>
  <si>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</si>
  <si>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</si>
  <si>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</si>
  <si>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</si>
  <si>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</si>
  <si>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</si>
  <si>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</si>
  <si>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</si>
  <si>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</si>
  <si>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</si>
  <si>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</si>
  <si>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</si>
  <si>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</si>
  <si>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</si>
  <si>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</si>
  <si>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</si>
  <si>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</si>
  <si>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</si>
  <si>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</si>
  <si>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</si>
  <si>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</si>
  <si>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</si>
  <si>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</si>
  <si>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</si>
  <si>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</si>
  <si>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</si>
  <si>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</si>
  <si>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</si>
  <si>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</si>
  <si>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</si>
  <si>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</si>
  <si>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</si>
  <si>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</si>
  <si>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</si>
  <si>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</si>
  <si>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</si>
  <si>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</si>
  <si>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</si>
  <si>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</si>
  <si>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</si>
  <si>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</si>
  <si>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</si>
  <si>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</si>
  <si>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</si>
  <si>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</si>
  <si>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</si>
  <si>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</si>
  <si>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</si>
  <si>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</si>
  <si>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</si>
  <si>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</si>
  <si>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</si>
  <si>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</si>
  <si>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</si>
  <si>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</si>
  <si>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</si>
  <si>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</si>
  <si>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</si>
  <si>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</si>
  <si>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</si>
  <si>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</si>
  <si>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</si>
  <si>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</si>
  <si>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</si>
  <si>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</si>
  <si>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</si>
  <si>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</si>
  <si>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</si>
  <si>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</si>
  <si>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</si>
  <si>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</si>
  <si>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</si>
  <si>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</si>
  <si>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</si>
  <si>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</si>
  <si>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</si>
  <si>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</si>
  <si>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</si>
  <si>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</si>
  <si>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</si>
  <si>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</si>
  <si>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</si>
  <si>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</si>
  <si>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</si>
  <si>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</si>
  <si>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</si>
  <si>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</si>
  <si>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</si>
  <si>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</si>
  <si>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</si>
  <si>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</si>
  <si>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</si>
  <si>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</si>
  <si>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</si>
  <si>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</si>
  <si>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</si>
  <si>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</si>
  <si>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</si>
  <si>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</si>
  <si>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</si>
  <si>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</si>
  <si>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</si>
  <si>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</si>
  <si>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</si>
  <si>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</si>
  <si>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</si>
  <si>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</si>
  <si>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</si>
  <si>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</si>
  <si>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</si>
  <si>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</si>
  <si>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</si>
  <si>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</si>
  <si>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</si>
  <si>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</si>
  <si>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</si>
  <si>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</si>
  <si>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</si>
  <si>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</si>
  <si>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</si>
  <si>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</si>
  <si>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</si>
  <si>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</si>
  <si>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</si>
  <si>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</si>
  <si>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</si>
  <si>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</si>
  <si>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</si>
  <si>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</si>
  <si>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</si>
  <si>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</si>
  <si>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</si>
  <si>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</si>
  <si>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</si>
  <si>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</si>
  <si>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</si>
  <si>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</si>
  <si>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</si>
  <si>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</si>
  <si>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</si>
  <si>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</si>
  <si>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</si>
  <si>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</si>
  <si>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</si>
  <si>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</si>
  <si>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</si>
  <si>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</si>
  <si>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</si>
  <si>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</si>
  <si>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</si>
  <si>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</si>
  <si>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</si>
  <si>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</si>
  <si>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</si>
  <si>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</si>
  <si>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</si>
  <si>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</si>
  <si>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</si>
  <si>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</si>
  <si>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</si>
  <si>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</si>
  <si>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</si>
  <si>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</si>
  <si>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</si>
  <si>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</si>
  <si>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</si>
  <si>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</si>
  <si>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</si>
  <si>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</si>
  <si>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</si>
  <si>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</si>
  <si>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</si>
  <si>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</si>
  <si>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</si>
  <si>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</si>
  <si>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</si>
  <si>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</si>
  <si>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</si>
  <si>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</si>
  <si>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</si>
  <si>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</si>
  <si>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</si>
  <si>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</si>
  <si>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</si>
  <si>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</si>
  <si>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</si>
  <si>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</si>
  <si>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</si>
  <si>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</si>
  <si>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</si>
  <si>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</si>
  <si>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</si>
  <si>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</si>
  <si>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</si>
  <si>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</si>
  <si>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</si>
  <si>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</si>
  <si>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</si>
  <si>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</si>
  <si>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</si>
  <si>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</si>
  <si>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</si>
  <si>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</si>
  <si>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</si>
  <si>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</si>
  <si>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</si>
  <si>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</si>
  <si>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</si>
  <si>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</si>
  <si>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</si>
  <si>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</si>
  <si>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</si>
  <si>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</si>
  <si>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</si>
  <si>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</si>
  <si>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</si>
  <si>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</si>
  <si>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</si>
  <si>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</si>
  <si>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</si>
  <si>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</si>
  <si>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</si>
  <si>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</si>
  <si>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</si>
  <si>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</si>
  <si>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</si>
  <si>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</si>
  <si>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</si>
  <si>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</si>
  <si>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</si>
  <si>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</si>
  <si>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</si>
  <si>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</si>
  <si>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</si>
  <si>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</si>
  <si>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</si>
  <si>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</si>
  <si>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</si>
  <si>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</si>
  <si>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</si>
  <si>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</si>
  <si>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</si>
  <si>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</si>
  <si>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</si>
  <si>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</si>
  <si>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</si>
  <si>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</si>
  <si>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</si>
  <si>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</si>
  <si>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</si>
  <si>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</si>
  <si>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</si>
  <si>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</si>
  <si>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</si>
  <si>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</si>
  <si>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</si>
  <si>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</si>
  <si>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</si>
  <si>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</si>
  <si>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</si>
  <si>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</si>
  <si>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</si>
  <si>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</si>
  <si>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</si>
  <si>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</si>
  <si>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</si>
  <si>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</si>
  <si>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</si>
  <si>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</si>
  <si>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</si>
  <si>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</si>
  <si>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</si>
  <si>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</si>
  <si>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</si>
  <si>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</si>
  <si>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</si>
  <si>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</si>
  <si>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</si>
  <si>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</si>
  <si>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</si>
  <si>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</si>
  <si>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</si>
  <si>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</si>
  <si>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</si>
  <si>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</si>
  <si>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</si>
  <si>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</si>
  <si>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</si>
  <si>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</si>
  <si>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</si>
  <si>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</si>
  <si>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</si>
  <si>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</si>
  <si>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</si>
  <si>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</si>
  <si>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</si>
  <si>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</si>
  <si>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</si>
  <si>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</si>
  <si>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</si>
  <si>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</si>
  <si>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</si>
  <si>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</si>
  <si>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</si>
  <si>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</si>
  <si>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</si>
  <si>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</si>
  <si>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</si>
  <si>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</si>
  <si>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</si>
  <si>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</si>
  <si>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</si>
  <si>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</si>
  <si>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</si>
  <si>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</si>
  <si>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</si>
  <si>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</si>
  <si>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</si>
  <si>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</si>
  <si>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</si>
  <si>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</si>
  <si>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</si>
  <si>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</si>
  <si>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</si>
  <si>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</si>
  <si>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</si>
  <si>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</si>
  <si>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</si>
  <si>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</si>
  <si>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</si>
  <si>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</si>
  <si>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</si>
  <si>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</si>
  <si>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</si>
  <si>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</si>
  <si>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</si>
  <si>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</si>
  <si>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</si>
  <si>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</si>
  <si>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</si>
  <si>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</si>
  <si>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</si>
  <si>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</si>
  <si>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</si>
  <si>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</si>
  <si>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</si>
  <si>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</si>
  <si>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</si>
  <si>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</si>
  <si>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</si>
  <si>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</si>
  <si>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</si>
  <si>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</si>
  <si>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</si>
  <si>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</si>
  <si>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</si>
  <si>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</si>
  <si>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</si>
  <si>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</si>
  <si>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</si>
  <si>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</si>
  <si>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</si>
  <si>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</si>
  <si>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</si>
  <si>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</si>
  <si>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</si>
  <si>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</si>
  <si>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</si>
  <si>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</si>
  <si>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</si>
  <si>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</si>
  <si>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</si>
  <si>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</si>
  <si>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</si>
  <si>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</si>
  <si>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</si>
  <si>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</si>
  <si>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</si>
  <si>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</si>
  <si>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</si>
  <si>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</si>
  <si>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</si>
  <si>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</si>
  <si>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</si>
  <si>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</si>
  <si>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</si>
  <si>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</si>
  <si>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</si>
  <si>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</si>
  <si>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</si>
  <si>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</si>
  <si>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</si>
  <si>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</si>
  <si>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</si>
  <si>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</si>
  <si>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</si>
  <si>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</si>
  <si>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</si>
  <si>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</si>
  <si>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</si>
  <si>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</si>
  <si>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</si>
  <si>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</si>
  <si>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</si>
  <si>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</si>
  <si>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</si>
  <si>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</si>
  <si>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</si>
  <si>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</si>
  <si>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</si>
  <si>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</si>
  <si>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</si>
  <si>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</si>
  <si>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</si>
  <si>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</si>
  <si>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</si>
  <si>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</si>
  <si>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</si>
  <si>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</si>
  <si>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</si>
  <si>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</si>
  <si>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</si>
  <si>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</si>
  <si>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</si>
  <si>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</si>
  <si>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</si>
  <si>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</si>
  <si>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</si>
  <si>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</si>
  <si>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</si>
  <si>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</si>
  <si>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</si>
  <si>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</si>
  <si>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</si>
  <si>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</si>
  <si>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</si>
  <si>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</si>
  <si>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</si>
  <si>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</si>
  <si>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</si>
  <si>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</si>
  <si>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</si>
  <si>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</si>
  <si>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</si>
  <si>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</si>
  <si>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</si>
  <si>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</si>
  <si>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</si>
  <si>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</si>
  <si>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</si>
  <si>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</si>
  <si>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</si>
  <si>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</si>
  <si>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</si>
  <si>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</si>
  <si>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</si>
  <si>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</si>
  <si>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</si>
  <si>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</si>
  <si>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</si>
  <si>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</si>
  <si>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</si>
  <si>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</si>
  <si>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</si>
  <si>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</si>
  <si>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</si>
  <si>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</si>
  <si>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</si>
  <si>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</si>
  <si>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</si>
  <si>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</si>
  <si>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</si>
  <si>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</si>
  <si>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</si>
  <si>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</si>
  <si>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</si>
  <si>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</si>
  <si>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</si>
  <si>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</si>
  <si>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</si>
  <si>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</si>
  <si>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</si>
  <si>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</si>
  <si>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</si>
  <si>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</si>
  <si>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</si>
  <si>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</si>
  <si>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</si>
  <si>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</si>
  <si>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</si>
  <si>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</si>
  <si>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</si>
  <si>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</si>
  <si>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</si>
  <si>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</si>
  <si>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</si>
  <si>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</si>
  <si>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</si>
  <si>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</si>
  <si>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</si>
  <si>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</si>
  <si>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</si>
  <si>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</si>
  <si>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</si>
  <si>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</si>
  <si>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</si>
  <si>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</si>
  <si>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</si>
  <si>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</si>
  <si>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</si>
  <si>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</si>
  <si>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</si>
  <si>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</si>
  <si>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</si>
  <si>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</si>
  <si>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</si>
  <si>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</si>
  <si>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</si>
  <si>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</si>
  <si>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</si>
  <si>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</si>
  <si>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</si>
  <si>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</si>
  <si>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</si>
  <si>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</si>
  <si>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</si>
  <si>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</si>
  <si>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</si>
  <si>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</si>
  <si>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</si>
  <si>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</si>
  <si>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</si>
  <si>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</si>
  <si>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</si>
  <si>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</si>
  <si>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</si>
  <si>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</si>
  <si>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</si>
  <si>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</si>
  <si>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</si>
  <si>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</si>
  <si>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</si>
  <si>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</si>
  <si>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</si>
  <si>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</si>
  <si>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</si>
  <si>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</si>
  <si>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</si>
  <si>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</si>
  <si>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</si>
  <si>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</si>
  <si>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</si>
  <si>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</si>
  <si>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</si>
  <si>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</si>
  <si>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</si>
  <si>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</si>
  <si>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</si>
  <si>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</si>
  <si>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</si>
  <si>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</si>
  <si>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</si>
  <si>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</si>
  <si>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</si>
  <si>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</si>
  <si>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</si>
  <si>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</si>
  <si>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</si>
  <si>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</si>
  <si>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</si>
  <si>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</si>
  <si>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</si>
  <si>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</si>
  <si>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</si>
  <si>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</si>
  <si>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</si>
  <si>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</si>
  <si>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</si>
  <si>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</si>
  <si>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</si>
  <si>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</si>
  <si>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</si>
  <si>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</si>
  <si>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</si>
  <si>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</si>
  <si>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</si>
  <si>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</si>
  <si>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</si>
  <si>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</si>
  <si>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</si>
  <si>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</si>
  <si>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</si>
  <si>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</si>
  <si>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</si>
  <si>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</si>
  <si>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</si>
  <si>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</si>
  <si>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</si>
  <si>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</si>
  <si>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</si>
  <si>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</si>
  <si>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</si>
  <si>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</si>
  <si>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</si>
  <si>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</si>
  <si>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</si>
  <si>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</si>
  <si>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</si>
  <si>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</si>
  <si>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</si>
  <si>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</si>
  <si>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</si>
  <si>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</si>
  <si>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</si>
  <si>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</si>
  <si>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</si>
  <si>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</si>
  <si>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</si>
  <si>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</si>
  <si>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</si>
  <si>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</si>
  <si>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</si>
  <si>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</si>
  <si>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</si>
  <si>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</si>
  <si>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</si>
  <si>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</si>
  <si>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</si>
  <si>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</si>
  <si>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</si>
  <si>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</si>
  <si>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</si>
  <si>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</si>
  <si>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</si>
  <si>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</si>
  <si>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</si>
  <si>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</si>
  <si>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</si>
  <si>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</si>
  <si>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</si>
  <si>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</si>
  <si>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</si>
  <si>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</si>
  <si>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</si>
  <si>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</si>
  <si>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</si>
  <si>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</si>
  <si>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</si>
  <si>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</si>
  <si>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</si>
  <si>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</si>
  <si>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</si>
  <si>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</si>
  <si>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</si>
  <si>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</si>
  <si>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</si>
  <si>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</si>
  <si>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</si>
  <si>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</si>
  <si>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</si>
  <si>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</si>
  <si>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</si>
  <si>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</si>
  <si>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</si>
  <si>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</si>
  <si>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</si>
  <si>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</si>
  <si>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</si>
  <si>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</si>
  <si>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</si>
  <si>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</si>
  <si>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</si>
  <si>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</si>
  <si>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</si>
  <si>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</si>
  <si>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</si>
  <si>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</si>
  <si>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</si>
  <si>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</si>
  <si>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</si>
  <si>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</si>
  <si>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</si>
  <si>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</si>
  <si>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</si>
  <si>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</si>
  <si>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</si>
  <si>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</si>
  <si>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</si>
  <si>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</si>
  <si>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</si>
  <si>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</si>
  <si>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</si>
  <si>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</si>
  <si>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</si>
  <si>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</si>
  <si>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</si>
  <si>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</si>
  <si>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</si>
  <si>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</si>
  <si>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</si>
  <si>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</si>
  <si>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</si>
  <si>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</si>
  <si>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</si>
  <si>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</si>
  <si>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</si>
  <si>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</si>
  <si>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</si>
  <si>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</si>
  <si>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</si>
  <si>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</si>
  <si>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</si>
  <si>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</si>
  <si>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</si>
  <si>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</si>
  <si>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</si>
  <si>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</si>
  <si>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</si>
  <si>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</si>
  <si>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</si>
  <si>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</si>
  <si>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</si>
  <si>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</si>
  <si>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</si>
  <si>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</si>
  <si>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</si>
  <si>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</si>
  <si>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</si>
  <si>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</si>
  <si>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</si>
  <si>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</si>
  <si>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</si>
  <si>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</si>
  <si>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</si>
  <si>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</si>
  <si>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</si>
  <si>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</si>
  <si>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</si>
  <si>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</si>
  <si>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</si>
  <si>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</si>
  <si>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</si>
  <si>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</si>
  <si>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</si>
  <si>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</si>
  <si>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</si>
  <si>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</si>
  <si>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</si>
  <si>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</si>
  <si>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</si>
  <si>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</si>
  <si>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</si>
  <si>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</si>
  <si>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</si>
  <si>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</si>
  <si>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</si>
  <si>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</si>
  <si>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</si>
  <si>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</si>
  <si>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</si>
  <si>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</si>
  <si>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</si>
  <si>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</si>
  <si>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</si>
  <si>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</si>
  <si>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</si>
  <si>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</si>
  <si>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</si>
  <si>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</si>
  <si>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</si>
  <si>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</si>
  <si>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</si>
  <si>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</si>
  <si>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</si>
  <si>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</si>
  <si>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</si>
  <si>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</si>
  <si>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</si>
  <si>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</si>
  <si>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</si>
  <si>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</si>
  <si>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</si>
  <si>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</si>
  <si>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</si>
  <si>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</si>
  <si>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</si>
  <si>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</si>
  <si>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</si>
  <si>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</si>
  <si>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</si>
  <si>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</si>
  <si>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</si>
  <si>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</si>
  <si>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</si>
  <si>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</si>
  <si>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</si>
  <si>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</si>
  <si>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</si>
  <si>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</si>
  <si>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</si>
  <si>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</si>
  <si>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</si>
  <si>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</si>
  <si>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</si>
  <si>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</si>
  <si>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</si>
  <si>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</si>
  <si>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</si>
  <si>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</si>
  <si>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</si>
  <si>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</si>
  <si>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</si>
  <si>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</si>
  <si>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</si>
  <si>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</si>
  <si>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</si>
  <si>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</si>
  <si>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</si>
  <si>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</si>
  <si>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</si>
  <si>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</si>
  <si>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</si>
  <si>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</si>
  <si>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</si>
  <si>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</si>
  <si>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</si>
  <si>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</si>
  <si>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</si>
  <si>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</si>
  <si>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</si>
  <si>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</si>
  <si>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</si>
  <si>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</si>
  <si>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</si>
  <si>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</si>
  <si>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</si>
  <si>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</si>
  <si>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</si>
  <si>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</si>
  <si>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</si>
  <si>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</si>
  <si>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</si>
  <si>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</si>
  <si>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</si>
  <si>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</si>
  <si>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</si>
  <si>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</si>
  <si>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</si>
  <si>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</si>
  <si>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</si>
  <si>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</si>
  <si>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</si>
  <si>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</si>
  <si>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</si>
  <si>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</si>
  <si>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</si>
  <si>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</si>
  <si>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</si>
  <si>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</si>
  <si>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</si>
  <si>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</si>
  <si>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</si>
  <si>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</si>
  <si>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</si>
  <si>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</si>
  <si>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</si>
  <si>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</si>
  <si>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</si>
  <si>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</si>
  <si>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</si>
  <si>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</si>
  <si>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</si>
  <si>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</si>
  <si>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</si>
  <si>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</si>
  <si>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</si>
  <si>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</si>
  <si>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</si>
  <si>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</si>
  <si>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</si>
  <si>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</si>
  <si>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</si>
  <si>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</si>
  <si>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</si>
  <si>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</si>
  <si>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</si>
  <si>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</si>
  <si>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</si>
  <si>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</si>
  <si>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</si>
  <si>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</si>
  <si>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</si>
  <si>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</si>
  <si>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</si>
  <si>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</si>
  <si>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</si>
  <si>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</si>
  <si>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</si>
  <si>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</si>
  <si>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</si>
  <si>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</si>
  <si>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</si>
  <si>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</si>
  <si>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</si>
  <si>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</si>
  <si>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</si>
  <si>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</si>
  <si>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</si>
  <si>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</si>
  <si>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</si>
  <si>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</si>
  <si>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</si>
  <si>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</si>
  <si>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</si>
  <si>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</si>
  <si>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</si>
  <si>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</si>
  <si>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</si>
  <si>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</si>
  <si>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</si>
  <si>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</si>
  <si>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</si>
  <si>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</si>
  <si>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</si>
  <si>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</si>
  <si>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</si>
  <si>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</si>
  <si>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</si>
  <si>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</si>
  <si>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</si>
  <si>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</si>
  <si>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</si>
  <si>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</si>
  <si>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</si>
  <si>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</si>
  <si>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</si>
  <si>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</si>
  <si>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</si>
  <si>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</si>
  <si>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</si>
  <si>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</si>
  <si>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</si>
  <si>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</si>
  <si>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</si>
  <si>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</si>
  <si>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</si>
  <si>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</si>
  <si>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</si>
  <si>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</si>
  <si>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</si>
  <si>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</si>
  <si>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</si>
  <si>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</si>
  <si>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</si>
  <si>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</si>
  <si>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</si>
  <si>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</si>
  <si>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</si>
  <si>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</si>
  <si>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</si>
  <si>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</si>
  <si>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</si>
  <si>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</si>
  <si>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</si>
  <si>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</si>
  <si>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</si>
  <si>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</si>
  <si>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</si>
  <si>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</si>
  <si>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</si>
  <si>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</si>
  <si>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</si>
  <si>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</si>
  <si>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</si>
  <si>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</si>
  <si>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</si>
  <si>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</si>
  <si>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</si>
  <si>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</si>
  <si>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</si>
  <si>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</si>
  <si>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</si>
  <si>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</si>
  <si>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</si>
  <si>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</si>
  <si>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</si>
  <si>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</si>
  <si>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</si>
  <si>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</si>
  <si>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</si>
  <si>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</si>
  <si>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</si>
  <si>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</si>
  <si>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</si>
  <si>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</si>
  <si>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</si>
  <si>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</si>
  <si>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</si>
  <si>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</si>
  <si>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</si>
  <si>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</si>
  <si>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</si>
  <si>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</si>
  <si>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</si>
  <si>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</si>
  <si>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</si>
  <si>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</si>
  <si>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</si>
  <si>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</si>
  <si>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</si>
  <si>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</si>
  <si>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</si>
  <si>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</si>
  <si>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</si>
  <si>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</si>
  <si>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</si>
  <si>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</si>
  <si>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</si>
  <si>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</si>
  <si>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</si>
  <si>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</si>
  <si>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</si>
  <si>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</si>
  <si>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</si>
  <si>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</si>
  <si>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</si>
  <si>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</si>
  <si>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</si>
  <si>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</si>
  <si>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</si>
  <si>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</si>
  <si>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</si>
  <si>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</si>
  <si>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</si>
  <si>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</si>
  <si>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</si>
  <si>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</si>
  <si>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</si>
  <si>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</si>
  <si>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</si>
  <si>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</si>
  <si>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</si>
  <si>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</si>
  <si>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</si>
  <si>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</si>
  <si>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</si>
  <si>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</si>
  <si>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</si>
  <si>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</si>
  <si>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</si>
  <si>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</si>
  <si>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</si>
  <si>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</si>
  <si>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</si>
  <si>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</si>
  <si>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</si>
  <si>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</si>
  <si>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</si>
  <si>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</si>
  <si>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</si>
  <si>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</si>
  <si>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</si>
  <si>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</si>
  <si>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</si>
  <si>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</si>
  <si>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</si>
  <si>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</si>
  <si>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</si>
  <si>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</si>
  <si>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</si>
  <si>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</si>
  <si>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</si>
  <si>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</si>
  <si>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</si>
  <si>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</si>
  <si>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</si>
  <si>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</si>
  <si>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</si>
  <si>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</si>
  <si>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</si>
  <si>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</si>
  <si>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</si>
  <si>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</si>
  <si>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</si>
  <si>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</si>
  <si>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</si>
  <si>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</si>
  <si>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</si>
  <si>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</si>
  <si>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</si>
  <si>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</si>
  <si>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</si>
  <si>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</si>
  <si>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</si>
  <si>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</si>
  <si>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</si>
  <si>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</si>
  <si>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</si>
  <si>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</si>
  <si>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</si>
  <si>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</si>
  <si>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</si>
  <si>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</si>
  <si>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</si>
  <si>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</si>
  <si>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</si>
  <si>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</si>
  <si>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</si>
  <si>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</si>
  <si>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</si>
  <si>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</si>
  <si>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</si>
  <si>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</si>
  <si>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</si>
  <si>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</si>
  <si>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</si>
  <si>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</si>
  <si>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</si>
  <si>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</si>
  <si>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</si>
  <si>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</si>
  <si>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</si>
  <si>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</si>
  <si>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</si>
  <si>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</si>
  <si>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</si>
  <si>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</si>
  <si>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</si>
  <si>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</si>
  <si>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</si>
  <si>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</si>
  <si>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</si>
  <si>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</si>
  <si>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</si>
  <si>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</si>
  <si>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</si>
  <si>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</si>
  <si>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</si>
  <si>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</si>
  <si>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</si>
  <si>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</si>
  <si>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</si>
  <si>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</si>
  <si>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</si>
  <si>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</si>
  <si>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</si>
  <si>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</si>
  <si>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</si>
  <si>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</si>
  <si>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</si>
  <si>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</si>
  <si>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</si>
  <si>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</si>
  <si>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</si>
  <si>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</si>
  <si>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</si>
  <si>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</si>
  <si>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</si>
  <si>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</si>
  <si>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</si>
  <si>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</si>
  <si>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</si>
  <si>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</si>
  <si>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</si>
  <si>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</si>
  <si>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</si>
  <si>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</si>
  <si>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</si>
  <si>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</si>
  <si>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</si>
  <si>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</si>
  <si>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</si>
  <si>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</si>
  <si>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</si>
  <si>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</si>
  <si>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</si>
  <si>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</si>
  <si>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</si>
  <si>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</si>
  <si>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</si>
  <si>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</si>
  <si>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</si>
  <si>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</si>
  <si>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</si>
  <si>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</si>
  <si>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</si>
  <si>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</si>
  <si>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</si>
  <si>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</si>
  <si>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</si>
  <si>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</si>
  <si>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</si>
  <si>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</si>
  <si>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</si>
  <si>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</si>
  <si>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</si>
  <si>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</si>
  <si>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</si>
  <si>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</si>
  <si>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</si>
  <si>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</si>
  <si>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</si>
  <si>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</si>
  <si>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</si>
  <si>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</si>
  <si>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</si>
  <si>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</si>
  <si>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</si>
  <si>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</si>
  <si>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</si>
  <si>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</si>
  <si>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</si>
  <si>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</si>
  <si>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</si>
  <si>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</si>
  <si>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</si>
  <si>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</si>
  <si>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</si>
  <si>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</si>
  <si>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</si>
  <si>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</si>
  <si>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</si>
  <si>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</si>
  <si>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</si>
  <si>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</si>
  <si>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</si>
  <si>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</si>
  <si>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</si>
  <si>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</si>
  <si>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</si>
  <si>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</si>
  <si>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</si>
  <si>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</si>
  <si>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</si>
  <si>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</si>
  <si>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</si>
  <si>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</si>
  <si>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</si>
  <si>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</si>
  <si>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</si>
  <si>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</si>
  <si>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</si>
  <si>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</si>
  <si>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</si>
  <si>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</si>
  <si>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</si>
  <si>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</si>
  <si>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</si>
  <si>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</si>
  <si>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</si>
  <si>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</si>
  <si>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</si>
  <si>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</si>
  <si>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</si>
  <si>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</si>
  <si>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</si>
  <si>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</si>
  <si>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</si>
  <si>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</si>
  <si>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</si>
  <si>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</si>
  <si>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</si>
  <si>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</si>
  <si>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</si>
  <si>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</si>
  <si>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</si>
  <si>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</si>
  <si>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</si>
  <si>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</si>
  <si>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</si>
  <si>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</si>
  <si>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</si>
  <si>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</si>
  <si>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</si>
  <si>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</si>
  <si>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</si>
  <si>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</si>
  <si>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</si>
  <si>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</si>
  <si>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</si>
  <si>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</si>
  <si>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</si>
  <si>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</si>
  <si>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</si>
  <si>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</si>
  <si>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</si>
  <si>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</si>
  <si>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</si>
  <si>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</si>
  <si>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</si>
  <si>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</si>
  <si>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</si>
  <si>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</si>
  <si>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</si>
  <si>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</si>
  <si>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</si>
  <si>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</si>
  <si>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</si>
  <si>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</si>
  <si>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</si>
  <si>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</si>
  <si>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</si>
  <si>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</si>
  <si>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</si>
  <si>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</si>
  <si>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</si>
  <si>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</si>
  <si>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</si>
  <si>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</si>
  <si>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</si>
  <si>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</si>
  <si>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</si>
  <si>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</si>
  <si>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</si>
  <si>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</si>
  <si>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</si>
  <si>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</si>
  <si>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</si>
  <si>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</si>
  <si>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</si>
  <si>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</si>
  <si>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</si>
  <si>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</si>
  <si>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</si>
  <si>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</si>
  <si>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</si>
  <si>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</si>
  <si>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</si>
  <si>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</si>
  <si>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</si>
  <si>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</si>
  <si>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</si>
  <si>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</si>
  <si>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</si>
  <si>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</si>
  <si>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</si>
  <si>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</si>
  <si>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</si>
  <si>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</si>
  <si>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</si>
  <si>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</si>
  <si>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</si>
  <si>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</si>
  <si>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</si>
  <si>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</si>
  <si>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</si>
  <si>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</si>
  <si>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</si>
  <si>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</si>
  <si>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</si>
  <si>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</si>
  <si>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</si>
  <si>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</si>
  <si>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</si>
  <si>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</si>
  <si>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</si>
  <si>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</si>
  <si>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</si>
  <si>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</si>
  <si>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</si>
  <si>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</si>
  <si>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</si>
  <si>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</si>
  <si>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</si>
  <si>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</si>
  <si>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</si>
  <si>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</si>
  <si>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</si>
  <si>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</si>
  <si>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</si>
  <si>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</si>
  <si>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</si>
  <si>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</si>
  <si>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</si>
  <si>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</si>
  <si>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</si>
  <si>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</si>
  <si>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</si>
  <si>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</si>
  <si>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</si>
  <si>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</si>
  <si>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</si>
  <si>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</si>
  <si>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</si>
  <si>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</si>
  <si>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</si>
  <si>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</si>
  <si>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</si>
  <si>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</si>
  <si>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</si>
  <si>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</si>
  <si>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</si>
  <si>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</si>
  <si>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</si>
  <si>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</si>
  <si>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</si>
  <si>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</si>
  <si>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</si>
  <si>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</si>
  <si>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</si>
  <si>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</si>
  <si>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</si>
  <si>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</si>
  <si>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</si>
  <si>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</si>
  <si>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</si>
  <si>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</si>
  <si>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</si>
  <si>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</si>
  <si>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</si>
  <si>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</si>
  <si>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</si>
  <si>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</si>
  <si>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</si>
  <si>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</si>
  <si>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</si>
  <si>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</si>
  <si>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</si>
  <si>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</si>
  <si>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</si>
  <si>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</si>
  <si>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</si>
  <si>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</si>
  <si>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</si>
  <si>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</si>
  <si>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</si>
  <si>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</si>
  <si>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</si>
  <si>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</si>
  <si>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</si>
  <si>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</si>
  <si>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</si>
  <si>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</si>
  <si>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</si>
  <si>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</si>
  <si>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</si>
  <si>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</si>
  <si>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</si>
  <si>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</si>
  <si>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</si>
  <si>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</si>
  <si>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</si>
  <si>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</si>
  <si>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</si>
  <si>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</si>
  <si>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</si>
  <si>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</si>
  <si>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</si>
  <si>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</si>
  <si>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</si>
  <si>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</si>
  <si>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</si>
  <si>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</si>
  <si>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</si>
  <si>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</si>
  <si>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</si>
  <si>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</si>
  <si>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</si>
  <si>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</si>
  <si>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</si>
  <si>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</si>
  <si>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</si>
  <si>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</si>
  <si>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</si>
  <si>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</si>
  <si>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</si>
  <si>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</si>
  <si>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</si>
  <si>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</si>
  <si>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</si>
  <si>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</si>
  <si>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</si>
  <si>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</si>
  <si>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</si>
  <si>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</si>
  <si>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</si>
  <si>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</si>
  <si>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</si>
  <si>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</si>
  <si>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</si>
  <si>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</si>
  <si>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</si>
  <si>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</si>
  <si>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</si>
  <si>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</si>
  <si>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</si>
  <si>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</si>
  <si>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</si>
  <si>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</si>
  <si>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</si>
  <si>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</si>
  <si>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</si>
  <si>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</si>
  <si>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</si>
  <si>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</si>
  <si>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</si>
  <si>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</si>
  <si>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</si>
  <si>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</si>
  <si>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</si>
  <si>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</si>
  <si>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</si>
  <si>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</si>
  <si>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</si>
  <si>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</si>
  <si>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</si>
  <si>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</si>
  <si>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</si>
  <si>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</si>
  <si>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</si>
  <si>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</si>
  <si>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</si>
  <si>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</si>
  <si>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</si>
  <si>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</si>
  <si>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</si>
  <si>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</si>
  <si>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</si>
  <si>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</si>
  <si>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</si>
  <si>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</si>
  <si>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</si>
  <si>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</si>
  <si>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</si>
  <si>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</si>
  <si>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</si>
  <si>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</si>
  <si>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</si>
  <si>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</si>
  <si>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</si>
  <si>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</si>
  <si>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</si>
  <si>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</si>
  <si>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</si>
  <si>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</si>
  <si>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</si>
  <si>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</si>
  <si>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</si>
  <si>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</si>
  <si>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</si>
  <si>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</si>
  <si>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</si>
  <si>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</si>
  <si>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</si>
  <si>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</si>
  <si>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</si>
  <si>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</si>
  <si>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</si>
  <si>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</si>
  <si>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</si>
  <si>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</si>
  <si>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</si>
  <si>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</si>
  <si>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</si>
  <si>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</si>
  <si>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</si>
  <si>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</si>
  <si>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</si>
  <si>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</si>
  <si>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</si>
  <si>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</si>
  <si>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</si>
  <si>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</si>
  <si>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</si>
  <si>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</si>
  <si>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</si>
  <si>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</si>
  <si>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</si>
  <si>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</si>
  <si>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</si>
  <si>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</si>
  <si>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</si>
  <si>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</si>
  <si>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</si>
  <si>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</si>
  <si>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</si>
  <si>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</si>
  <si>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</si>
  <si>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</si>
  <si>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</si>
  <si>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</si>
  <si>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</si>
  <si>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</si>
  <si>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</si>
  <si>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</si>
  <si>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</si>
  <si>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</si>
  <si>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</si>
  <si>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</si>
  <si>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</si>
  <si>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</si>
  <si>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</si>
  <si>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</si>
  <si>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</si>
  <si>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</si>
  <si>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</si>
  <si>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</si>
  <si>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</si>
  <si>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</si>
  <si>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</si>
  <si>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</si>
  <si>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</si>
  <si>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</si>
  <si>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</si>
  <si>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</si>
  <si>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</si>
  <si>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</si>
  <si>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</si>
  <si>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</si>
  <si>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</si>
  <si>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</si>
  <si>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</si>
  <si>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</si>
  <si>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</si>
  <si>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</si>
  <si>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</si>
  <si>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</si>
  <si>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</si>
  <si>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</si>
  <si>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</si>
  <si>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</si>
  <si>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</si>
  <si>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</si>
  <si>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</si>
  <si>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</si>
  <si>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</si>
  <si>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</si>
  <si>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</si>
  <si>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</si>
  <si>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</si>
  <si>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</si>
  <si>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</si>
  <si>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</si>
  <si>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</si>
  <si>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</si>
  <si>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</si>
  <si>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</si>
  <si>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</si>
  <si>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</si>
  <si>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</si>
  <si>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</si>
  <si>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</si>
  <si>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</si>
  <si>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</si>
  <si>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</si>
  <si>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</si>
  <si>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</si>
  <si>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</si>
  <si>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</si>
  <si>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</si>
  <si>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</si>
  <si>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</si>
  <si>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</si>
  <si>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</si>
  <si>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</si>
  <si>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</si>
  <si>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</si>
  <si>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</si>
  <si>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</si>
  <si>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</si>
  <si>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</si>
  <si>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</si>
  <si>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</si>
  <si>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</si>
  <si>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</si>
  <si>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</si>
  <si>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</si>
  <si>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</si>
  <si>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</si>
  <si>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</si>
  <si>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</si>
  <si>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</si>
  <si>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</si>
  <si>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</si>
  <si>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</si>
  <si>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</si>
  <si>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</si>
  <si>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</si>
  <si>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</si>
  <si>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</si>
  <si>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</si>
  <si>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</si>
  <si>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</si>
  <si>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</si>
  <si>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</si>
  <si>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</si>
  <si>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</si>
  <si>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</si>
  <si>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</si>
  <si>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</si>
  <si>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</si>
  <si>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</si>
  <si>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</si>
  <si>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</si>
  <si>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</si>
  <si>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</si>
  <si>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</si>
  <si>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</si>
  <si>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</si>
  <si>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</si>
  <si>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</si>
  <si>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</si>
  <si>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</si>
  <si>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</si>
  <si>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</si>
  <si>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</si>
  <si>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</si>
  <si>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</si>
  <si>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</si>
  <si>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</si>
  <si>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</si>
  <si>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</si>
  <si>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</si>
  <si>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</si>
  <si>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</si>
  <si>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</si>
  <si>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</si>
  <si>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</si>
  <si>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</si>
  <si>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</si>
  <si>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</si>
  <si>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</si>
  <si>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</si>
  <si>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</si>
  <si>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</si>
  <si>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</si>
  <si>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</si>
  <si>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</si>
  <si>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</si>
  <si>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</si>
  <si>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</si>
  <si>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</si>
  <si>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</si>
  <si>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</si>
  <si>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</si>
  <si>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</si>
  <si>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</si>
  <si>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</si>
  <si>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</si>
  <si>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</si>
  <si>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</si>
  <si>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</si>
  <si>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</si>
  <si>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</si>
  <si>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</si>
  <si>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</si>
  <si>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</si>
  <si>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</si>
  <si>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</si>
  <si>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</si>
  <si>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</si>
  <si>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</si>
  <si>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</si>
  <si>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</si>
  <si>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</si>
  <si>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</si>
  <si>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</si>
  <si>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</si>
  <si>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</si>
  <si>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</si>
  <si>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</si>
  <si>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</si>
  <si>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</si>
  <si>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</si>
  <si>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</si>
  <si>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</si>
  <si>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</si>
  <si>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</si>
  <si>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</si>
  <si>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</si>
  <si>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</si>
  <si>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</si>
  <si>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</si>
  <si>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</si>
  <si>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</si>
  <si>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</si>
  <si>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</si>
  <si>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</si>
  <si>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</si>
  <si>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</si>
  <si>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</si>
  <si>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</si>
  <si>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</si>
  <si>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</si>
  <si>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</si>
  <si>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</si>
  <si>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</si>
  <si>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</si>
  <si>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</si>
  <si>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</si>
  <si>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</si>
  <si>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</si>
  <si>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</si>
  <si>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</si>
  <si>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</si>
  <si>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</si>
  <si>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</si>
  <si>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</si>
  <si>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</si>
  <si>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</si>
  <si>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</si>
  <si>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</si>
  <si>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</si>
  <si>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</si>
  <si>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</si>
  <si>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</si>
  <si>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</si>
  <si>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</si>
  <si>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</si>
  <si>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</si>
  <si>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</si>
  <si>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</si>
  <si>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</si>
  <si>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</si>
  <si>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</si>
  <si>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</si>
  <si>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</si>
  <si>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</si>
  <si>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</si>
  <si>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</si>
  <si>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</si>
  <si>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</si>
  <si>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</si>
  <si>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</si>
  <si>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</si>
  <si>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</si>
  <si>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</si>
  <si>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</si>
  <si>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</si>
  <si>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</si>
  <si>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</si>
  <si>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</si>
  <si>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</si>
  <si>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</si>
  <si>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</si>
  <si>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</si>
  <si>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</si>
  <si>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</si>
  <si>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</si>
  <si>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</si>
  <si>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</si>
  <si>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</si>
  <si>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</si>
  <si>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</si>
  <si>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</si>
  <si>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</si>
  <si>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</si>
  <si>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</si>
  <si>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</si>
  <si>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</si>
  <si>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</si>
  <si>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</si>
  <si>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</si>
  <si>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</si>
  <si>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</si>
  <si>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</si>
  <si>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</si>
  <si>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</si>
  <si>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</si>
  <si>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</si>
  <si>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</si>
  <si>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</si>
  <si>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</si>
  <si>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</si>
  <si>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</si>
  <si>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</si>
  <si>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</si>
  <si>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</si>
  <si>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</si>
  <si>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</si>
  <si>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</si>
  <si>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</si>
  <si>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</si>
  <si>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</si>
  <si>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</si>
  <si>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</si>
  <si>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</si>
  <si>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</si>
  <si>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</si>
  <si>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</si>
  <si>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</si>
  <si>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</si>
  <si>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</si>
  <si>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</si>
  <si>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</si>
  <si>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</si>
  <si>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</si>
  <si>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</si>
  <si>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</si>
  <si>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</si>
  <si>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</si>
  <si>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</si>
  <si>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</si>
  <si>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</si>
  <si>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</si>
  <si>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</si>
  <si>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</si>
  <si>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</si>
  <si>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</si>
  <si>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</si>
  <si>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</si>
  <si>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</si>
  <si>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</si>
  <si>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</si>
  <si>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</si>
  <si>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</si>
  <si>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</si>
  <si>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</si>
  <si>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</si>
  <si>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</si>
  <si>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</si>
  <si>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</si>
  <si>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</si>
  <si>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</si>
  <si>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</si>
  <si>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</si>
  <si>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</si>
  <si>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</si>
  <si>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</si>
  <si>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</si>
  <si>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</si>
  <si>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</si>
  <si>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</si>
  <si>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</si>
  <si>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</si>
  <si>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</si>
  <si>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</si>
  <si>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</si>
  <si>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</si>
  <si>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</si>
  <si>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</si>
  <si>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</si>
  <si>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</si>
  <si>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</si>
  <si>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</si>
  <si>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</si>
  <si>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</si>
  <si>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</si>
  <si>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</si>
  <si>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</si>
  <si>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</si>
  <si>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</si>
  <si>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</si>
  <si>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</si>
  <si>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</si>
  <si>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</si>
  <si>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</si>
  <si>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</si>
  <si>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</si>
  <si>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</si>
  <si>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</si>
  <si>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</si>
  <si>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</si>
  <si>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</si>
  <si>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</si>
  <si>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</si>
  <si>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</si>
  <si>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</si>
  <si>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</si>
  <si>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</si>
  <si>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</si>
  <si>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</si>
  <si>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</si>
  <si>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</si>
  <si>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</si>
  <si>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</si>
  <si>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</si>
  <si>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</si>
  <si>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</si>
  <si>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</si>
  <si>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</si>
  <si>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</si>
  <si>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</si>
  <si>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</si>
  <si>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</si>
  <si>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</si>
  <si>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</si>
  <si>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</si>
  <si>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</si>
  <si>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</si>
  <si>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</si>
  <si>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</si>
  <si>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</si>
  <si>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</si>
  <si>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</si>
  <si>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</si>
  <si>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</si>
  <si>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</si>
  <si>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</si>
  <si>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</si>
  <si>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</si>
  <si>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</si>
  <si>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</si>
  <si>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</si>
  <si>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</si>
  <si>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</si>
  <si>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</si>
  <si>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</si>
  <si>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</si>
  <si>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</si>
  <si>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</si>
  <si>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</si>
  <si>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</si>
  <si>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</si>
  <si>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</si>
  <si>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</si>
  <si>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</si>
  <si>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</si>
  <si>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</si>
  <si>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</si>
  <si>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</si>
  <si>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</si>
  <si>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</si>
  <si>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</si>
  <si>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</si>
  <si>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</si>
  <si>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</si>
  <si>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</si>
  <si>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</si>
  <si>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</si>
  <si>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</si>
  <si>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</si>
  <si>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</si>
  <si>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</si>
  <si>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</si>
  <si>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</si>
  <si>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</si>
  <si>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</si>
  <si>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</si>
  <si>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</si>
  <si>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</si>
  <si>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</si>
  <si>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</si>
  <si>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</si>
  <si>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</si>
  <si>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</si>
  <si>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</si>
  <si>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</si>
  <si>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</si>
  <si>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</si>
  <si>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</si>
  <si>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</si>
  <si>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</si>
  <si>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</si>
  <si>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</si>
  <si>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</si>
  <si>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</si>
  <si>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</si>
  <si>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</si>
  <si>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</si>
  <si>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</si>
  <si>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</si>
  <si>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</si>
  <si>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</si>
  <si>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</si>
  <si>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</si>
  <si>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</si>
  <si>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</si>
  <si>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</si>
  <si>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</si>
  <si>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</si>
  <si>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</si>
  <si>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</si>
  <si>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</si>
  <si>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</si>
  <si>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</si>
  <si>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</si>
  <si>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</si>
  <si>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</si>
  <si>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</si>
  <si>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</si>
  <si>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</si>
  <si>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</si>
  <si>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</si>
  <si>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</si>
  <si>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</si>
  <si>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</si>
  <si>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</si>
  <si>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</si>
  <si>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</si>
  <si>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</si>
  <si>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</si>
  <si>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</si>
  <si>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</si>
  <si>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</si>
  <si>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</si>
  <si>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</si>
  <si>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</si>
  <si>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</si>
  <si>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</si>
  <si>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</si>
  <si>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</si>
  <si>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</si>
  <si>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</si>
  <si>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</si>
  <si>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</si>
  <si>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</si>
  <si>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</si>
  <si>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</si>
  <si>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</si>
  <si>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</si>
  <si>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</si>
  <si>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</si>
  <si>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</si>
  <si>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</si>
  <si>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</si>
  <si>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</si>
  <si>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</si>
  <si>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</si>
  <si>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</si>
  <si>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</si>
  <si>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</si>
  <si>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</si>
  <si>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</si>
  <si>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</si>
  <si>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</si>
  <si>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</si>
  <si>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</si>
  <si>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</si>
  <si>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</si>
  <si>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</si>
  <si>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</si>
  <si>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</si>
  <si>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</si>
  <si>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</si>
  <si>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</si>
  <si>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</si>
  <si>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</si>
  <si>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</si>
  <si>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</si>
  <si>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</si>
  <si>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</si>
  <si>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</si>
  <si>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</si>
  <si>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</si>
  <si>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</si>
  <si>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</si>
  <si>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</si>
  <si>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</si>
  <si>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</si>
  <si>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</si>
  <si>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</si>
  <si>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</si>
  <si>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</si>
  <si>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</si>
  <si>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</si>
  <si>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</si>
  <si>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</si>
  <si>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</si>
  <si>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</si>
  <si>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</si>
  <si>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</si>
  <si>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</si>
  <si>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</si>
  <si>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</si>
  <si>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</si>
  <si>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</si>
  <si>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</si>
  <si>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</si>
  <si>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</si>
  <si>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</si>
  <si>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</si>
  <si>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</si>
  <si>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</si>
  <si>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</si>
  <si>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</si>
  <si>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</si>
  <si>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</si>
  <si>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</si>
  <si>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</si>
  <si>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</si>
  <si>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</si>
  <si>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</si>
  <si>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</si>
  <si>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</si>
  <si>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</si>
  <si>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</si>
  <si>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</si>
  <si>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</si>
  <si>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</si>
  <si>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</si>
  <si>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</si>
  <si>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</si>
  <si>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</si>
  <si>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</si>
  <si>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</si>
  <si>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</si>
  <si>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</si>
  <si>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</si>
  <si>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</si>
  <si>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</si>
  <si>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</si>
  <si>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</si>
  <si>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</si>
  <si>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</si>
  <si>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</si>
  <si>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</si>
  <si>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</si>
  <si>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</si>
  <si>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</si>
  <si>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</si>
  <si>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</si>
  <si>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</si>
  <si>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</si>
  <si>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</si>
  <si>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</si>
  <si>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</si>
  <si>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</si>
  <si>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</si>
  <si>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</si>
  <si>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</si>
  <si>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</si>
  <si>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</si>
  <si>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</si>
  <si>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</si>
  <si>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</si>
  <si>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</si>
  <si>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</si>
  <si>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</si>
  <si>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</si>
  <si>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</si>
  <si>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</si>
  <si>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</si>
  <si>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</si>
  <si>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</si>
  <si>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</si>
  <si>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</si>
  <si>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</si>
  <si>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</si>
  <si>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</si>
  <si>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</si>
  <si>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</si>
  <si>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</si>
  <si>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</si>
  <si>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</si>
  <si>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</si>
  <si>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</si>
  <si>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</si>
  <si>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</si>
  <si>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</si>
  <si>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</si>
  <si>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</si>
  <si>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</si>
  <si>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</si>
  <si>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</si>
  <si>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</si>
  <si>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</si>
  <si>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</si>
  <si>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</si>
  <si>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</si>
  <si>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</si>
  <si>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</si>
  <si>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</si>
  <si>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</si>
  <si>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</si>
  <si>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</si>
  <si>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</si>
  <si>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</si>
  <si>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</si>
  <si>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</si>
  <si>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</si>
  <si>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</si>
  <si>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</si>
  <si>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</si>
  <si>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</si>
  <si>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</si>
  <si>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</si>
  <si>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</si>
  <si>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</si>
  <si>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</si>
  <si>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</si>
  <si>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</si>
  <si>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</si>
  <si>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</si>
  <si>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</si>
  <si>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</si>
  <si>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</si>
  <si>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</si>
  <si>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</si>
  <si>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</si>
  <si>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</si>
  <si>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</si>
  <si>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</si>
  <si>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</si>
  <si>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</si>
  <si>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</si>
  <si>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</si>
  <si>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</si>
  <si>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</si>
  <si>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</si>
  <si>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</si>
  <si>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</si>
  <si>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</si>
  <si>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</si>
  <si>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</si>
  <si>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</si>
  <si>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</si>
  <si>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</si>
  <si>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</si>
  <si>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</si>
  <si>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</si>
  <si>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</si>
  <si>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</si>
  <si>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</si>
  <si>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</si>
  <si>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</si>
  <si>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</si>
  <si>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</si>
  <si>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</si>
  <si>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</si>
  <si>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</si>
  <si>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</si>
  <si>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</si>
  <si>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</si>
  <si>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</si>
  <si>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</si>
  <si>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</si>
  <si>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</si>
  <si>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</si>
  <si>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</si>
  <si>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</si>
  <si>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</si>
  <si>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</si>
  <si>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</si>
  <si>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</si>
  <si>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</si>
  <si>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</si>
  <si>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</si>
  <si>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</si>
  <si>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</si>
  <si>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</si>
  <si>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</si>
  <si>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</si>
  <si>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</si>
  <si>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</si>
  <si>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</si>
  <si>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</si>
  <si>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</si>
  <si>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</si>
  <si>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</si>
  <si>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</si>
  <si>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</si>
  <si>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</si>
  <si>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</si>
  <si>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</si>
  <si>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</si>
  <si>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</si>
  <si>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</si>
  <si>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</si>
  <si>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</si>
  <si>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</si>
  <si>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</si>
  <si>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</si>
  <si>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</si>
  <si>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</si>
  <si>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</si>
  <si>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</si>
  <si>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</si>
  <si>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</si>
  <si>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</si>
  <si>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</si>
  <si>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</si>
  <si>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</si>
  <si>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</si>
  <si>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</si>
  <si>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</si>
  <si>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</si>
  <si>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</si>
  <si>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</si>
  <si>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</si>
  <si>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</si>
  <si>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</si>
  <si>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</si>
  <si>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</si>
  <si>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</si>
  <si>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</si>
  <si>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</si>
  <si>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</si>
  <si>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</si>
  <si>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</si>
  <si>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</si>
  <si>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</si>
  <si>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</si>
  <si>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</si>
  <si>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</si>
  <si>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</si>
  <si>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</si>
  <si>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</si>
  <si>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</si>
  <si>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</si>
  <si>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</si>
  <si>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</si>
  <si>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</si>
  <si>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</si>
  <si>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</si>
  <si>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</si>
  <si>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</si>
  <si>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</si>
  <si>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</si>
  <si>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</si>
  <si>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</si>
  <si>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</si>
  <si>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</si>
  <si>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</si>
  <si>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</si>
  <si>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</si>
  <si>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</si>
  <si>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</si>
  <si>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</si>
  <si>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</si>
  <si>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</si>
  <si>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</si>
  <si>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</si>
  <si>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</si>
  <si>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</si>
  <si>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</si>
  <si>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</si>
  <si>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</si>
  <si>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</si>
  <si>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</si>
  <si>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</si>
  <si>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</si>
  <si>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</si>
  <si>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</si>
  <si>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</si>
  <si>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</si>
  <si>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</si>
  <si>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</si>
  <si>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</si>
  <si>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</si>
  <si>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</si>
  <si>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</si>
  <si>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</si>
  <si>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</si>
  <si>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</si>
  <si>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</si>
  <si>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</si>
  <si>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</si>
  <si>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</si>
  <si>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</si>
  <si>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</si>
  <si>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</si>
  <si>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</si>
  <si>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</si>
  <si>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</si>
  <si>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</si>
  <si>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</si>
  <si>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</si>
  <si>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</si>
  <si>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</si>
  <si>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</si>
  <si>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</si>
  <si>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</si>
  <si>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</si>
  <si>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</si>
  <si>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</si>
  <si>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</si>
  <si>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</si>
  <si>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</si>
  <si>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</si>
  <si>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</si>
  <si>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</si>
  <si>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</si>
  <si>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</si>
  <si>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</si>
  <si>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</si>
  <si>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</si>
  <si>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</si>
  <si>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</si>
  <si>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</si>
  <si>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</si>
  <si>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</si>
  <si>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</si>
  <si>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</si>
  <si>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</si>
  <si>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</si>
  <si>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</si>
  <si>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</si>
  <si>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</si>
  <si>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</si>
  <si>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</si>
  <si>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</si>
  <si>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</si>
  <si>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</si>
  <si>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</si>
  <si>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</si>
  <si>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</si>
  <si>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</si>
  <si>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</si>
  <si>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</si>
  <si>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</si>
  <si>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</si>
  <si>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</si>
  <si>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</si>
  <si>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</si>
  <si>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</si>
  <si>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</si>
  <si>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</si>
  <si>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</si>
  <si>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</si>
  <si>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</si>
  <si>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</si>
  <si>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</si>
  <si>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</si>
  <si>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</si>
  <si>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</si>
  <si>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</si>
  <si>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</si>
  <si>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</si>
  <si>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</si>
  <si>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</si>
  <si>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</si>
  <si>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</si>
  <si>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</si>
  <si>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</si>
  <si>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</si>
  <si>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</si>
  <si>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</si>
  <si>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</si>
  <si>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</si>
  <si>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</si>
  <si>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</si>
  <si>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</si>
  <si>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</si>
  <si>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</si>
  <si>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</si>
  <si>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</si>
  <si>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</si>
  <si>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</si>
  <si>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</si>
  <si>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</si>
  <si>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</si>
  <si>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</si>
  <si>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</si>
  <si>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</si>
  <si>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</si>
  <si>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</si>
  <si>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</si>
  <si>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</si>
  <si>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</si>
  <si>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</si>
  <si>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</si>
  <si>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</si>
  <si>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</si>
  <si>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</si>
  <si>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</si>
  <si>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</si>
  <si>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</si>
  <si>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</si>
  <si>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</si>
  <si>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</si>
  <si>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</si>
  <si>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</si>
  <si>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</si>
  <si>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</si>
  <si>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</si>
  <si>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</si>
  <si>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</si>
  <si>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</si>
  <si>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</si>
  <si>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</si>
  <si>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</si>
  <si>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</si>
  <si>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</si>
  <si>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</si>
  <si>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</si>
  <si>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</si>
  <si>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</si>
  <si>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</si>
  <si>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</si>
  <si>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</si>
  <si>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</si>
  <si>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</si>
  <si>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</si>
  <si>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</si>
  <si>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</si>
  <si>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</si>
  <si>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</si>
  <si>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</si>
  <si>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</si>
  <si>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</si>
  <si>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</si>
  <si>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</si>
  <si>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</si>
  <si>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</si>
  <si>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</si>
  <si>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</si>
  <si>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</si>
  <si>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</si>
  <si>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</si>
  <si>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</si>
  <si>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</si>
  <si>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</si>
  <si>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</si>
  <si>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</si>
  <si>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</si>
  <si>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</si>
  <si>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</si>
  <si>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</si>
  <si>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</si>
  <si>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</si>
  <si>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</si>
  <si>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</si>
  <si>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</si>
  <si>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</si>
  <si>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</si>
  <si>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</si>
  <si>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</si>
  <si>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</si>
  <si>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</si>
  <si>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</si>
  <si>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</si>
  <si>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</si>
  <si>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</si>
  <si>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</si>
  <si>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</si>
  <si>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</si>
  <si>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</si>
  <si>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</si>
  <si>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</si>
  <si>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</si>
  <si>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</si>
  <si>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</si>
  <si>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</si>
  <si>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</si>
  <si>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</si>
  <si>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</si>
  <si>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</si>
  <si>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</si>
  <si>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</si>
  <si>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</si>
  <si>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</si>
  <si>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</si>
  <si>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</si>
  <si>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</si>
  <si>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</si>
  <si>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</si>
  <si>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</si>
  <si>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</si>
  <si>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</si>
  <si>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</si>
  <si>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</si>
  <si>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</si>
  <si>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</si>
  <si>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</si>
  <si>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</si>
  <si>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</si>
  <si>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</si>
  <si>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</si>
  <si>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</si>
  <si>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</si>
  <si>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</si>
  <si>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</si>
  <si>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</si>
  <si>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</si>
  <si>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</si>
  <si>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</si>
  <si>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</si>
  <si>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</si>
  <si>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</si>
  <si>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</si>
  <si>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</si>
  <si>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</si>
  <si>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</si>
  <si>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</si>
  <si>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</si>
  <si>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</si>
  <si>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</si>
  <si>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</si>
  <si>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</si>
  <si>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</si>
  <si>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</si>
  <si>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</si>
  <si>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</si>
  <si>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</si>
  <si>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</si>
  <si>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</si>
  <si>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</si>
  <si>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</si>
  <si>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</si>
  <si>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</si>
  <si>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</si>
  <si>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</si>
  <si>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</si>
  <si>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</si>
  <si>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</si>
  <si>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</si>
  <si>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</si>
  <si>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</si>
  <si>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</si>
  <si>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</si>
  <si>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</si>
  <si>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</si>
  <si>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</si>
  <si>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</si>
  <si>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</si>
  <si>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</si>
  <si>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</si>
  <si>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</si>
  <si>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</si>
  <si>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</si>
  <si>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</si>
  <si>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</si>
  <si>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</si>
  <si>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</si>
  <si>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</si>
  <si>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</si>
  <si>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</si>
  <si>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</si>
  <si>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</si>
  <si>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</si>
  <si>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</si>
  <si>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</si>
  <si>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</si>
  <si>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</si>
  <si>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</si>
  <si>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</si>
  <si>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</si>
  <si>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</si>
  <si>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</si>
  <si>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</si>
  <si>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</si>
  <si>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</si>
  <si>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</si>
  <si>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</si>
  <si>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</si>
  <si>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</si>
  <si>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</si>
  <si>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</si>
  <si>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</si>
  <si>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</si>
  <si>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</si>
  <si>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</si>
  <si>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</si>
  <si>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</si>
  <si>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</si>
  <si>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</si>
  <si>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</si>
  <si>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</si>
  <si>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</si>
  <si>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</si>
  <si>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</si>
  <si>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</si>
  <si>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</si>
  <si>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</si>
  <si>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</si>
  <si>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</si>
  <si>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</si>
  <si>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</si>
  <si>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</si>
  <si>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</si>
  <si>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</si>
  <si>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</si>
  <si>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</si>
  <si>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</si>
  <si>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</si>
  <si>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</si>
  <si>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</si>
  <si>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</si>
  <si>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</si>
  <si>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</si>
  <si>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</si>
  <si>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</si>
  <si>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</si>
  <si>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</si>
  <si>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</si>
  <si>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</si>
  <si>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</si>
  <si>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</si>
  <si>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</si>
  <si>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</si>
  <si>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</si>
  <si>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</si>
  <si>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</si>
  <si>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</si>
  <si>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</si>
  <si>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</si>
  <si>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</si>
  <si>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</si>
  <si>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</si>
  <si>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</si>
  <si>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</si>
  <si>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</si>
  <si>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</si>
  <si>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</si>
  <si>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</si>
  <si>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</si>
  <si>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</si>
  <si>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</si>
  <si>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</si>
  <si>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</si>
  <si>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</si>
  <si>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</si>
  <si>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</si>
  <si>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</si>
  <si>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</si>
  <si>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</si>
  <si>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</si>
  <si>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</si>
  <si>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</si>
  <si>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</si>
  <si>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</si>
  <si>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</si>
  <si>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</si>
  <si>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</si>
  <si>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</si>
  <si>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</si>
  <si>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</si>
  <si>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</si>
  <si>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</si>
  <si>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</si>
  <si>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</si>
  <si>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</si>
  <si>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</si>
  <si>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</si>
  <si>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</si>
  <si>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</si>
  <si>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</si>
  <si>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</si>
  <si>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</si>
  <si>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</si>
  <si>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</si>
  <si>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</si>
  <si>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</si>
  <si>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</si>
  <si>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</si>
  <si>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</si>
  <si>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</si>
  <si>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</si>
  <si>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</si>
  <si>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</si>
  <si>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</si>
  <si>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</si>
  <si>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</si>
  <si>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</si>
  <si>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</si>
  <si>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</si>
  <si>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</si>
  <si>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</si>
  <si>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</si>
  <si>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</si>
  <si>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</si>
  <si>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</si>
  <si>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</si>
  <si>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</si>
  <si>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</si>
  <si>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</si>
  <si>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</si>
  <si>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</si>
  <si>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</si>
  <si>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</si>
  <si>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</si>
  <si>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</si>
  <si>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</si>
  <si>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</si>
  <si>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</si>
  <si>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</si>
  <si>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</si>
  <si>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</si>
  <si>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</si>
  <si>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</si>
  <si>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</si>
  <si>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</si>
  <si>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</si>
  <si>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</si>
  <si>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</si>
  <si>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</si>
  <si>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</si>
  <si>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</si>
  <si>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</si>
  <si>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</si>
  <si>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</si>
  <si>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</si>
  <si>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</si>
  <si>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</si>
  <si>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</si>
  <si>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</si>
  <si>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</si>
  <si>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</si>
  <si>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</si>
  <si>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</si>
  <si>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</si>
  <si>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</si>
  <si>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</si>
  <si>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</si>
  <si>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</si>
  <si>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</si>
  <si>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</si>
  <si>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</si>
  <si>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</si>
  <si>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</si>
  <si>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</si>
  <si>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</si>
  <si>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</si>
  <si>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</si>
  <si>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</si>
  <si>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</si>
  <si>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</si>
  <si>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</si>
  <si>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</si>
  <si>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</si>
  <si>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</si>
  <si>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</si>
  <si>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</si>
  <si>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</si>
  <si>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</si>
  <si>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</si>
  <si>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</si>
  <si>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</si>
  <si>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</si>
  <si>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</si>
  <si>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</si>
  <si>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</si>
  <si>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</si>
  <si>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</si>
  <si>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</si>
  <si>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</si>
  <si>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</si>
  <si>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</si>
  <si>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</si>
  <si>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</si>
  <si>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</si>
  <si>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</si>
  <si>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</si>
  <si>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</si>
  <si>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</si>
  <si>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</si>
  <si>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</si>
  <si>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</si>
  <si>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</si>
  <si>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</si>
  <si>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</si>
  <si>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</si>
  <si>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</si>
  <si>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</si>
  <si>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</si>
  <si>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</si>
  <si>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</si>
  <si>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</si>
  <si>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</si>
  <si>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</si>
  <si>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</si>
  <si>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</si>
  <si>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</si>
  <si>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</si>
  <si>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</si>
  <si>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</si>
  <si>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</si>
  <si>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</si>
  <si>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</si>
  <si>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</si>
  <si>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</si>
  <si>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</si>
  <si>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</si>
  <si>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</si>
  <si>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</si>
  <si>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</si>
  <si>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</si>
  <si>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</si>
  <si>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</si>
  <si>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</si>
  <si>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</si>
  <si>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</si>
  <si>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</si>
  <si>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</si>
  <si>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</si>
  <si>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</si>
  <si>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</si>
  <si>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</si>
  <si>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</si>
  <si>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</si>
  <si>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</si>
  <si>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</si>
  <si>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</si>
  <si>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</si>
  <si>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</si>
  <si>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</si>
  <si>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</si>
  <si>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</si>
  <si>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</si>
  <si>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</si>
  <si>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</si>
  <si>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</si>
  <si>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</si>
  <si>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</si>
  <si>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</si>
  <si>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</si>
  <si>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</si>
  <si>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</si>
  <si>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</si>
  <si>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</si>
  <si>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</si>
  <si>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</si>
  <si>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</si>
  <si>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</si>
  <si>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</si>
  <si>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</si>
  <si>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</si>
  <si>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</si>
  <si>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</si>
  <si>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</si>
  <si>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</si>
  <si>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</si>
  <si>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</si>
  <si>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</si>
  <si>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</si>
  <si>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</si>
  <si>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</si>
  <si>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</si>
  <si>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</si>
  <si>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</si>
  <si>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</si>
  <si>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</si>
  <si>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</si>
  <si>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</si>
  <si>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</si>
  <si>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</si>
  <si>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</si>
  <si>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</si>
  <si>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</si>
  <si>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</si>
  <si>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</si>
  <si>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</si>
  <si>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</si>
  <si>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</si>
  <si>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</si>
  <si>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</si>
  <si>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</si>
  <si>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</si>
  <si>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</si>
  <si>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</si>
  <si>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</si>
  <si>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</si>
  <si>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</si>
  <si>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</si>
  <si>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</si>
  <si>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</si>
  <si>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</si>
  <si>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</si>
  <si>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</si>
  <si>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</si>
  <si>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</si>
  <si>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</si>
  <si>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</si>
  <si>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</si>
  <si>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</si>
  <si>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</si>
  <si>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</si>
  <si>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</si>
  <si>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</si>
  <si>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</si>
  <si>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</si>
  <si>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</si>
  <si>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</si>
  <si>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</si>
  <si>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</si>
  <si>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</si>
  <si>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</si>
  <si>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</si>
  <si>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</si>
  <si>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</si>
  <si>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</si>
  <si>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</si>
  <si>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</si>
  <si>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</si>
  <si>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</si>
  <si>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</si>
  <si>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</si>
  <si>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</si>
  <si>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</si>
  <si>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</si>
  <si>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</si>
  <si>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</si>
  <si>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</si>
  <si>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</si>
  <si>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</si>
  <si>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</si>
  <si>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</si>
  <si>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</si>
  <si>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</si>
  <si>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</si>
  <si>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</si>
  <si>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</si>
  <si>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</si>
  <si>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</si>
  <si>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</si>
  <si>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</si>
  <si>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</si>
  <si>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</si>
  <si>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</si>
  <si>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</si>
  <si>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</si>
  <si>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</si>
  <si>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</si>
  <si>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</si>
  <si>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</si>
  <si>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</si>
  <si>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</si>
  <si>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</si>
  <si>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</si>
  <si>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</si>
  <si>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</si>
  <si>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</si>
  <si>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</si>
  <si>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</si>
  <si>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</si>
  <si>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</si>
  <si>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</si>
  <si>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</si>
  <si>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</si>
  <si>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</si>
  <si>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</si>
  <si>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</si>
  <si>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</si>
  <si>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</si>
  <si>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</si>
  <si>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</si>
  <si>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</si>
  <si>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</si>
  <si>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</si>
  <si>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</si>
  <si>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</si>
  <si>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</si>
  <si>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</si>
  <si>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</si>
  <si>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</si>
  <si>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</si>
  <si>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</si>
  <si>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</si>
  <si>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</si>
  <si>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</si>
  <si>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</si>
  <si>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</si>
  <si>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</si>
  <si>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</si>
  <si>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</si>
  <si>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</si>
  <si>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</si>
  <si>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</si>
  <si>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</si>
  <si>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</si>
  <si>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</si>
  <si>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</si>
  <si>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</si>
  <si>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</si>
  <si>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</si>
  <si>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</si>
  <si>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</si>
  <si>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</si>
  <si>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</si>
  <si>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</si>
  <si>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</si>
  <si>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</si>
  <si>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</si>
  <si>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</si>
  <si>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</si>
  <si>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</si>
  <si>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</si>
  <si>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</si>
  <si>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</si>
  <si>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</si>
  <si>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</si>
  <si>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</si>
  <si>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</si>
  <si>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</si>
  <si>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</si>
  <si>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</si>
  <si>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</si>
  <si>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</si>
  <si>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</si>
  <si>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</si>
  <si>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</si>
  <si>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</si>
  <si>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</si>
  <si>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</si>
  <si>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</si>
  <si>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</si>
  <si>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</si>
  <si>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</si>
  <si>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</si>
  <si>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</si>
  <si>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</si>
  <si>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</si>
  <si>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</si>
  <si>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</si>
  <si>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</si>
  <si>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</si>
  <si>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</si>
  <si>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</si>
  <si>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</si>
  <si>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</si>
  <si>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</si>
  <si>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</si>
  <si>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</si>
  <si>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</si>
  <si>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</si>
  <si>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</si>
  <si>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</si>
  <si>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</si>
  <si>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</si>
  <si>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</si>
  <si>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</si>
  <si>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</si>
  <si>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</si>
  <si>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</si>
  <si>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</si>
  <si>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</si>
  <si>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</si>
  <si>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</si>
  <si>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</si>
  <si>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</si>
  <si>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</si>
  <si>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</si>
  <si>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</si>
  <si>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</si>
  <si>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</si>
  <si>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</si>
  <si>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</si>
  <si>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</si>
  <si>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</si>
  <si>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</si>
  <si>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</si>
  <si>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</si>
  <si>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</si>
  <si>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</si>
  <si>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</si>
  <si>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</si>
  <si>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</si>
  <si>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</si>
  <si>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</si>
  <si>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</si>
  <si>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</si>
  <si>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</si>
  <si>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</si>
  <si>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</si>
  <si>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</si>
  <si>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</si>
  <si>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</si>
  <si>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</si>
  <si>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</si>
  <si>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</si>
  <si>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</si>
  <si>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</si>
  <si>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</si>
  <si>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</si>
  <si>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</si>
  <si>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</si>
  <si>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</si>
  <si>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</si>
  <si>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</si>
  <si>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</si>
  <si>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</si>
  <si>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</si>
  <si>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</si>
  <si>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</si>
  <si>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</si>
  <si>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</si>
  <si>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</si>
  <si>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</si>
  <si>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</si>
  <si>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</si>
  <si>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</si>
  <si>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</si>
  <si>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</si>
  <si>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</si>
  <si>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</si>
  <si>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</si>
  <si>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</si>
  <si>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</si>
  <si>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</si>
  <si>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</si>
  <si>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</si>
  <si>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</si>
  <si>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</si>
  <si>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</si>
  <si>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</si>
  <si>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</si>
  <si>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</si>
  <si>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</si>
  <si>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</si>
  <si>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</si>
  <si>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</si>
  <si>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</si>
  <si>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</si>
  <si>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</si>
  <si>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</si>
  <si>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</si>
  <si>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</si>
  <si>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</si>
  <si>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</si>
  <si>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</si>
  <si>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</si>
  <si>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</si>
  <si>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</si>
  <si>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</si>
  <si>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</si>
  <si>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</si>
  <si>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</si>
  <si>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</si>
  <si>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</si>
  <si>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</si>
  <si>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</si>
  <si>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</si>
  <si>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</si>
  <si>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</si>
  <si>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</si>
  <si>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</si>
  <si>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</si>
  <si>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</si>
  <si>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</si>
  <si>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</si>
  <si>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</si>
  <si>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</si>
  <si>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</si>
  <si>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</si>
  <si>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</si>
  <si>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</si>
  <si>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</si>
  <si>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</si>
  <si>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</si>
  <si>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</si>
  <si>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</si>
  <si>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</si>
  <si>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</si>
  <si>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</si>
  <si>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</si>
  <si>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</si>
  <si>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</si>
  <si>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</si>
  <si>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</si>
  <si>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</si>
  <si>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</si>
  <si>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</si>
  <si>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</si>
  <si>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</si>
  <si>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</si>
  <si>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</si>
  <si>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</si>
  <si>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</si>
  <si>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</si>
  <si>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</si>
  <si>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</si>
  <si>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</si>
  <si>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</si>
  <si>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</si>
  <si>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</si>
  <si>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</si>
  <si>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</si>
  <si>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</si>
  <si>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</si>
  <si>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</si>
  <si>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</si>
  <si>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</si>
  <si>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</si>
  <si>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</si>
  <si>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</si>
  <si>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</si>
  <si>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</si>
  <si>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</si>
  <si>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</si>
  <si>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</si>
  <si>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</si>
  <si>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</si>
  <si>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</si>
  <si>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</si>
  <si>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</si>
  <si>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</si>
  <si>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</si>
  <si>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</si>
  <si>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</si>
  <si>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</si>
  <si>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</si>
  <si>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</si>
  <si>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</si>
  <si>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</si>
  <si>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</si>
  <si>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</si>
  <si>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</si>
  <si>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</si>
  <si>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</si>
  <si>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</si>
  <si>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</si>
  <si>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</si>
  <si>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</si>
  <si>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</si>
  <si>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</si>
  <si>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</si>
  <si>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</si>
  <si>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</si>
  <si>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</si>
  <si>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</si>
  <si>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</si>
  <si>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</si>
  <si>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</si>
  <si>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</si>
  <si>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</si>
  <si>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</si>
  <si>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</si>
  <si>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</si>
  <si>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</si>
  <si>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</si>
  <si>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</si>
  <si>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</si>
  <si>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</si>
  <si>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</si>
  <si>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</si>
  <si>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</si>
  <si>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</si>
  <si>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</si>
  <si>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</si>
  <si>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</si>
  <si>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</si>
  <si>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</si>
  <si>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</si>
  <si>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</si>
  <si>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</si>
  <si>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</si>
  <si>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</si>
  <si>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</si>
  <si>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</si>
  <si>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</si>
  <si>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</si>
  <si>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</si>
  <si>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</si>
  <si>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</si>
  <si>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</si>
  <si>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</si>
  <si>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</si>
  <si>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</si>
  <si>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</si>
  <si>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</si>
  <si>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</si>
  <si>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</si>
  <si>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</si>
  <si>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</si>
  <si>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</si>
  <si>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</si>
  <si>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</si>
  <si>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</si>
  <si>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</si>
  <si>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</si>
  <si>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</si>
  <si>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</si>
  <si>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</si>
  <si>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</si>
  <si>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</si>
  <si>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</si>
  <si>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</si>
  <si>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</si>
  <si>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</si>
  <si>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</si>
  <si>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</si>
  <si>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</si>
  <si>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</si>
  <si>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</si>
  <si>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</si>
  <si>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</si>
  <si>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</si>
  <si>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</si>
  <si>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</si>
  <si>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</si>
  <si>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</si>
  <si>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</si>
  <si>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</si>
  <si>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</si>
  <si>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</si>
  <si>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</si>
  <si>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</si>
  <si>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</si>
  <si>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</si>
  <si>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</si>
  <si>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</si>
  <si>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</si>
  <si>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</si>
  <si>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</si>
  <si>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</si>
  <si>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</si>
  <si>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</si>
  <si>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</si>
  <si>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</si>
  <si>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</si>
  <si>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</si>
  <si>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</si>
  <si>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</si>
  <si>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</si>
  <si>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</si>
  <si>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</si>
  <si>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</si>
  <si>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</si>
  <si>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</si>
  <si>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</si>
  <si>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</si>
  <si>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</si>
  <si>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</si>
  <si>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</si>
  <si>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</si>
  <si>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</si>
  <si>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</si>
  <si>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</si>
  <si>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</si>
  <si>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</si>
  <si>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</si>
  <si>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</si>
  <si>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</si>
  <si>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</si>
  <si>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</si>
  <si>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</si>
  <si>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</si>
  <si>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</si>
  <si>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</si>
  <si>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</si>
  <si>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</si>
  <si>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</si>
  <si>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</si>
  <si>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</si>
  <si>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</si>
  <si>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</si>
  <si>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</si>
  <si>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</si>
  <si>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</si>
  <si>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</si>
  <si>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</si>
  <si>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</si>
  <si>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</si>
  <si>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</si>
  <si>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</si>
  <si>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</si>
  <si>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</si>
  <si>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</si>
  <si>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</si>
  <si>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</si>
  <si>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</si>
  <si>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</si>
  <si>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</si>
  <si>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</si>
  <si>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</si>
  <si>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</si>
  <si>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</si>
  <si>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</si>
  <si>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</si>
  <si>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</si>
  <si>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</si>
  <si>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</si>
  <si>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</si>
  <si>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</si>
  <si>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</si>
  <si>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</si>
  <si>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</si>
  <si>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</si>
  <si>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</si>
  <si>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</si>
  <si>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</si>
  <si>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</si>
  <si>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</si>
  <si>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</si>
  <si>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</si>
  <si>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</si>
  <si>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</si>
  <si>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</si>
  <si>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</si>
  <si>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</si>
  <si>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</si>
  <si>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</si>
  <si>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</si>
  <si>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</si>
  <si>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</si>
  <si>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</si>
  <si>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</si>
  <si>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</si>
  <si>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</si>
  <si>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</si>
  <si>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</si>
  <si>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</si>
  <si>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</si>
  <si>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</si>
  <si>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</si>
  <si>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</si>
  <si>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</si>
  <si>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</si>
  <si>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</si>
  <si>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</si>
  <si>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</si>
  <si>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</si>
  <si>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</si>
  <si>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</si>
  <si>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</si>
  <si>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</si>
  <si>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</si>
  <si>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</si>
  <si>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</si>
  <si>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</si>
  <si>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</si>
  <si>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</si>
  <si>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</si>
  <si>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</si>
  <si>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</si>
  <si>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</si>
  <si>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</si>
  <si>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</si>
  <si>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</si>
  <si>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</si>
  <si>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</si>
  <si>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</si>
  <si>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</si>
  <si>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</si>
  <si>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</si>
  <si>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</si>
  <si>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</si>
  <si>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</si>
  <si>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</si>
  <si>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</si>
  <si>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</si>
  <si>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</si>
  <si>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</si>
  <si>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</si>
  <si>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</si>
  <si>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</si>
  <si>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</si>
  <si>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</si>
  <si>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</si>
  <si>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</si>
  <si>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</si>
  <si>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</si>
  <si>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</si>
  <si>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</si>
  <si>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</si>
  <si>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</si>
  <si>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</si>
  <si>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</si>
  <si>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</si>
  <si>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</si>
  <si>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</si>
  <si>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</si>
  <si>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</si>
  <si>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</si>
  <si>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</si>
  <si>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</si>
  <si>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</si>
  <si>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</si>
  <si>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</si>
  <si>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</si>
  <si>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</si>
  <si>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</si>
  <si>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</si>
  <si>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</si>
  <si>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</si>
  <si>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</si>
  <si>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</si>
  <si>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</si>
  <si>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</si>
  <si>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</si>
  <si>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</si>
  <si>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</si>
  <si>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</si>
  <si>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</si>
  <si>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</si>
  <si>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</si>
  <si>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</si>
  <si>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</si>
  <si>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</si>
  <si>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</si>
  <si>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</si>
  <si>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</si>
  <si>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</si>
  <si>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</si>
  <si>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</si>
  <si>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</si>
  <si>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</si>
  <si>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</si>
  <si>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</si>
  <si>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</si>
  <si>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</si>
  <si>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</si>
  <si>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</si>
  <si>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</si>
  <si>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</si>
  <si>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</si>
  <si>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</si>
  <si>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</si>
  <si>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</si>
  <si>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</si>
  <si>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</si>
  <si>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</si>
  <si>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</si>
  <si>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</si>
  <si>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</si>
  <si>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</si>
  <si>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</si>
  <si>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</si>
  <si>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</si>
  <si>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</si>
  <si>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</si>
  <si>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</si>
  <si>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</si>
  <si>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</si>
  <si>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</si>
  <si>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</si>
  <si>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</si>
  <si>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</si>
  <si>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</si>
  <si>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</si>
  <si>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</si>
  <si>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</si>
  <si>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</si>
  <si>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</si>
  <si>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</si>
  <si>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</si>
  <si>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</si>
  <si>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</si>
  <si>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</si>
  <si>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</si>
  <si>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</si>
  <si>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</si>
  <si>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</si>
  <si>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</si>
  <si>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</si>
  <si>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</si>
  <si>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</si>
  <si>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</si>
  <si>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</si>
  <si>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</si>
  <si>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</si>
  <si>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</si>
  <si>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</si>
  <si>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</si>
  <si>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</si>
  <si>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</si>
  <si>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</si>
  <si>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</si>
  <si>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</si>
  <si>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</si>
  <si>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</si>
  <si>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</si>
  <si>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</si>
  <si>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</si>
  <si>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</si>
  <si>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</si>
  <si>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</si>
  <si>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</si>
  <si>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</si>
  <si>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</si>
  <si>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</si>
  <si>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</si>
  <si>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</si>
  <si>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</si>
  <si>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</si>
  <si>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</si>
  <si>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</si>
  <si>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</si>
  <si>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</si>
  <si>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</si>
  <si>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</si>
  <si>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</si>
  <si>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</si>
  <si>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</si>
  <si>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</si>
  <si>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</si>
  <si>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</si>
  <si>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</si>
  <si>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</si>
  <si>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</si>
  <si>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</si>
  <si>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</si>
  <si>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</si>
  <si>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</si>
  <si>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</si>
  <si>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</si>
  <si>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</si>
  <si>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</si>
  <si>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</si>
  <si>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</si>
  <si>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</si>
  <si>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</si>
  <si>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</si>
  <si>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</si>
  <si>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</si>
  <si>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</si>
  <si>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</si>
  <si>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</si>
  <si>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</si>
  <si>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</si>
  <si>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</si>
  <si>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</si>
  <si>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</si>
  <si>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</si>
  <si>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</si>
  <si>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</si>
  <si>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</si>
  <si>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</si>
  <si>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</si>
  <si>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</si>
  <si>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</si>
  <si>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</si>
  <si>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</si>
  <si>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</si>
  <si>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</si>
  <si>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</si>
  <si>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</si>
  <si>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</si>
  <si>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</si>
  <si>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</si>
  <si>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</si>
  <si>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</si>
  <si>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</si>
  <si>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</si>
  <si>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</si>
  <si>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</si>
  <si>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</si>
  <si>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</si>
  <si>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</si>
  <si>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</si>
  <si>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</si>
  <si>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</si>
  <si>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</si>
  <si>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</si>
  <si>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</si>
  <si>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</si>
  <si>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</si>
  <si>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</si>
  <si>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</si>
  <si>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</si>
  <si>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</si>
  <si>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</si>
  <si>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</si>
  <si>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</si>
  <si>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</si>
  <si>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</si>
  <si>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</si>
  <si>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</si>
  <si>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</si>
  <si>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</si>
  <si>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</si>
  <si>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</si>
  <si>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</si>
  <si>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</si>
  <si>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</si>
  <si>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</si>
  <si>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</si>
  <si>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</si>
  <si>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</si>
  <si>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</si>
  <si>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</si>
  <si>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</si>
  <si>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</si>
  <si>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</si>
  <si>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</si>
  <si>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</si>
  <si>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</si>
  <si>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</si>
  <si>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</si>
  <si>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</si>
  <si>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</si>
  <si>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</si>
  <si>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</si>
  <si>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</si>
  <si>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</si>
  <si>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</si>
  <si>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</si>
  <si>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</si>
  <si>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</si>
  <si>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</si>
  <si>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</si>
  <si>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</si>
  <si>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</si>
  <si>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</si>
  <si>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</si>
  <si>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</si>
  <si>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</si>
  <si>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</si>
  <si>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</si>
  <si>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</si>
  <si>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</si>
  <si>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</si>
  <si>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</si>
  <si>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</si>
  <si>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</si>
  <si>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</si>
  <si>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</si>
  <si>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</si>
  <si>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</si>
  <si>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</si>
  <si>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</si>
  <si>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</si>
  <si>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</si>
  <si>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</si>
  <si>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</si>
  <si>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</si>
  <si>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</si>
  <si>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</si>
  <si>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</si>
  <si>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</si>
  <si>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</si>
  <si>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</si>
  <si>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</si>
  <si>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</si>
  <si>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</si>
  <si>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</si>
  <si>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</si>
  <si>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</si>
  <si>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</si>
  <si>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</si>
  <si>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</si>
  <si>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</si>
  <si>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</si>
  <si>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</si>
  <si>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</si>
  <si>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</si>
  <si>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</si>
  <si>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</si>
  <si>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</si>
  <si>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</si>
  <si>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</si>
  <si>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</si>
  <si>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</si>
  <si>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</si>
  <si>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</si>
  <si>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</si>
  <si>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</si>
  <si>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</si>
  <si>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</si>
  <si>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</si>
  <si>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</si>
  <si>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</si>
  <si>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</si>
  <si>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</si>
  <si>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</si>
  <si>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</si>
  <si>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</si>
  <si>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</si>
  <si>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</si>
  <si>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</si>
  <si>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</si>
  <si>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</si>
  <si>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</si>
  <si>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</si>
  <si>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</si>
  <si>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</si>
  <si>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</si>
  <si>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</si>
  <si>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</si>
  <si>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</si>
  <si>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</si>
  <si>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</si>
  <si>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</si>
  <si>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</si>
  <si>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</si>
  <si>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</si>
  <si>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</si>
  <si>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</si>
  <si>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</si>
  <si>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</si>
  <si>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</si>
  <si>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</si>
  <si>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</si>
  <si>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</si>
  <si>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</si>
  <si>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</si>
  <si>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</si>
  <si>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</si>
  <si>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</si>
  <si>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</si>
  <si>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</si>
  <si>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</si>
  <si>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</si>
  <si>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</si>
  <si>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</si>
  <si>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</si>
  <si>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</si>
  <si>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</si>
  <si>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</si>
  <si>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</si>
  <si>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</si>
  <si>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</si>
  <si>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</si>
  <si>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</si>
  <si>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</si>
  <si>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</si>
  <si>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</si>
  <si>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</si>
  <si>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</si>
  <si>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</si>
  <si>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</si>
  <si>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</si>
  <si>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</si>
  <si>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</si>
  <si>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</si>
  <si>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</si>
  <si>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</si>
  <si>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</si>
  <si>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</si>
  <si>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</si>
  <si>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</si>
  <si>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</si>
  <si>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</si>
  <si>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</si>
  <si>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</si>
  <si>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</si>
  <si>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</si>
  <si>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</si>
  <si>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</si>
  <si>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</si>
  <si>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</si>
  <si>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</si>
  <si>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</si>
  <si>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</si>
  <si>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</si>
  <si>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</si>
  <si>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</si>
  <si>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</si>
  <si>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</si>
  <si>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</si>
  <si>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</si>
  <si>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</si>
  <si>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</si>
  <si>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</si>
  <si>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</si>
  <si>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</si>
  <si>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</si>
  <si>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</si>
  <si>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</si>
  <si>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</si>
  <si>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</si>
  <si>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</si>
  <si>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</si>
  <si>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</si>
  <si>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</si>
  <si>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</si>
  <si>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</si>
  <si>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</si>
  <si>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</si>
  <si>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</si>
  <si>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</si>
  <si>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</si>
  <si>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</si>
  <si>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</si>
  <si>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</si>
  <si>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</si>
  <si>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</si>
  <si>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</si>
  <si>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</si>
  <si>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</si>
  <si>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</si>
  <si>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</si>
  <si>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</si>
  <si>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</si>
  <si>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</si>
  <si>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</si>
  <si>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</si>
  <si>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</si>
  <si>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</si>
  <si>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</si>
  <si>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</si>
  <si>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</si>
  <si>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</si>
  <si>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</si>
  <si>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</si>
  <si>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</si>
  <si>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</si>
  <si>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</si>
  <si>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</si>
  <si>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</si>
  <si>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</si>
  <si>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</si>
  <si>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</si>
  <si>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</si>
  <si>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</si>
  <si>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</si>
  <si>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</si>
  <si>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</si>
  <si>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</si>
  <si>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</si>
  <si>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</si>
  <si>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</si>
  <si>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</si>
  <si>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</si>
  <si>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</si>
  <si>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</si>
  <si>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</si>
  <si>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</si>
  <si>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</si>
  <si>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</si>
  <si>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</si>
  <si>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</si>
  <si>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</si>
  <si>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</si>
  <si>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</si>
  <si>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</si>
  <si>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</si>
  <si>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</si>
  <si>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</si>
  <si>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</si>
  <si>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</si>
  <si>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</si>
  <si>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</si>
  <si>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</si>
  <si>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</si>
  <si>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</si>
  <si>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</si>
  <si>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</si>
  <si>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</si>
  <si>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</si>
  <si>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</si>
  <si>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</si>
  <si>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</si>
  <si>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</si>
  <si>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</si>
  <si>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</si>
  <si>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</si>
  <si>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</si>
  <si>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</si>
  <si>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</si>
  <si>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</si>
  <si>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</si>
  <si>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</si>
  <si>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</si>
  <si>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</si>
  <si>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</si>
  <si>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</si>
  <si>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</si>
  <si>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</si>
  <si>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</si>
  <si>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</si>
  <si>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</si>
  <si>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</si>
  <si>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</si>
  <si>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</si>
  <si>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</si>
  <si>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</si>
  <si>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</si>
  <si>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</si>
  <si>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</si>
  <si>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</si>
  <si>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</si>
  <si>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</si>
  <si>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</si>
  <si>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</si>
  <si>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</si>
  <si>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</si>
  <si>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</si>
  <si>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</si>
  <si>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</si>
  <si>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</si>
  <si>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</si>
  <si>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</si>
  <si>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</si>
  <si>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</si>
  <si>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</si>
  <si>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</si>
  <si>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</si>
  <si>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</si>
  <si>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</si>
  <si>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</si>
  <si>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</si>
  <si>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</si>
  <si>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</si>
  <si>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</si>
  <si>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</si>
  <si>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</si>
  <si>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</si>
  <si>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</si>
  <si>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</si>
  <si>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</si>
  <si>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</si>
  <si>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</si>
  <si>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</si>
  <si>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</si>
  <si>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</si>
  <si>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</si>
  <si>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</si>
  <si>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</si>
  <si>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</si>
  <si>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</si>
  <si>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</si>
  <si>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</si>
  <si>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</si>
  <si>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</si>
  <si>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</si>
  <si>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</si>
  <si>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</si>
  <si>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</si>
  <si>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</si>
  <si>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</si>
  <si>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</si>
  <si>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</si>
  <si>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</si>
  <si>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</si>
  <si>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</si>
  <si>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</si>
  <si>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</si>
  <si>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</si>
  <si>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</si>
  <si>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</si>
  <si>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</si>
  <si>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</si>
  <si>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</si>
  <si>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</si>
  <si>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</si>
  <si>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</si>
  <si>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</si>
  <si>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</si>
  <si>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</si>
  <si>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</si>
  <si>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</si>
  <si>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</si>
  <si>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</si>
  <si>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</si>
  <si>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</si>
  <si>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</si>
  <si>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</si>
  <si>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</si>
  <si>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</si>
  <si>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</si>
  <si>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</si>
  <si>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</si>
  <si>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</si>
  <si>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</si>
  <si>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</si>
  <si>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</si>
  <si>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</si>
  <si>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</si>
  <si>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</si>
  <si>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</si>
  <si>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</si>
  <si>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</si>
  <si>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</si>
  <si>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</si>
  <si>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</si>
  <si>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</si>
  <si>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</si>
  <si>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</si>
  <si>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</si>
  <si>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</si>
  <si>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</si>
  <si>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</si>
  <si>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</si>
  <si>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</si>
  <si>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</si>
  <si>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</si>
  <si>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</si>
  <si>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</si>
  <si>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</si>
  <si>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</si>
  <si>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</si>
  <si>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</si>
  <si>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</si>
  <si>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</si>
  <si>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</si>
  <si>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</si>
  <si>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</si>
  <si>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</si>
  <si>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</si>
  <si>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</si>
  <si>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</si>
  <si>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</si>
  <si>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</si>
  <si>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</si>
  <si>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</si>
  <si>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</si>
  <si>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</si>
  <si>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</si>
  <si>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</si>
  <si>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</si>
  <si>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</si>
  <si>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</si>
  <si>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</si>
  <si>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</si>
  <si>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</si>
  <si>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</si>
  <si>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</si>
  <si>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</si>
  <si>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</si>
  <si>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</si>
  <si>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</si>
  <si>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</si>
  <si>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</si>
  <si>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</si>
  <si>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</si>
  <si>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</si>
  <si>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</si>
  <si>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</si>
  <si>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</si>
  <si>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</si>
  <si>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</si>
  <si>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</si>
  <si>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</si>
  <si>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</si>
  <si>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</si>
  <si>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</si>
  <si>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</si>
  <si>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</si>
  <si>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</si>
  <si>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</si>
  <si>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</si>
  <si>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</si>
  <si>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</si>
  <si>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</si>
  <si>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</si>
  <si>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</si>
  <si>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</si>
  <si>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</si>
  <si>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</si>
  <si>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</si>
  <si>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</si>
  <si>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</si>
  <si>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</si>
  <si>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</si>
  <si>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</si>
  <si>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</si>
  <si>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</si>
  <si>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</si>
  <si>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</si>
  <si>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</si>
  <si>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</si>
  <si>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</si>
  <si>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</si>
  <si>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</si>
  <si>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</si>
  <si>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</si>
  <si>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</si>
  <si>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</si>
  <si>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</si>
  <si>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</si>
  <si>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</si>
  <si>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</si>
  <si>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</si>
  <si>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</si>
  <si>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</si>
  <si>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</si>
  <si>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</si>
  <si>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</si>
  <si>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</si>
  <si>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</si>
  <si>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</si>
  <si>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</si>
  <si>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</si>
  <si>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</si>
  <si>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</si>
  <si>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</si>
  <si>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</si>
  <si>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</si>
  <si>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</si>
  <si>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</si>
  <si>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</si>
  <si>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</si>
  <si>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</si>
  <si>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</si>
  <si>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</si>
  <si>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</si>
  <si>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</si>
  <si>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</si>
  <si>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</si>
  <si>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</si>
  <si>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</si>
  <si>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</si>
  <si>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</si>
  <si>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</si>
  <si>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</si>
  <si>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</si>
  <si>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</si>
  <si>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</si>
  <si>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</si>
  <si>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</si>
  <si>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</si>
  <si>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</si>
  <si>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</si>
  <si>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</si>
  <si>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</si>
  <si>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</si>
  <si>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</si>
  <si>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</si>
  <si>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</si>
  <si>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</si>
  <si>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</si>
  <si>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</si>
  <si>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</si>
  <si>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</si>
  <si>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</si>
  <si>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</si>
  <si>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</si>
  <si>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</si>
  <si>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</si>
  <si>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</si>
  <si>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</si>
  <si>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</si>
  <si>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</si>
  <si>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</si>
  <si>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</si>
  <si>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</si>
  <si>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</si>
  <si>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</si>
  <si>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</si>
  <si>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</si>
  <si>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</si>
  <si>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</si>
  <si>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</si>
  <si>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</si>
  <si>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</si>
  <si>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</si>
  <si>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</si>
  <si>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</si>
  <si>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</si>
  <si>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</si>
  <si>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</si>
  <si>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</si>
  <si>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</si>
  <si>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</si>
  <si>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</si>
  <si>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</si>
  <si>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</si>
  <si>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</si>
  <si>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</si>
  <si>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</si>
  <si>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</si>
  <si>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</si>
  <si>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</si>
  <si>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</si>
  <si>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</si>
  <si>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</si>
  <si>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</si>
  <si>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</si>
  <si>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</si>
  <si>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</si>
  <si>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</si>
  <si>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</si>
  <si>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</si>
  <si>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</si>
  <si>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</si>
  <si>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</si>
  <si>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</si>
  <si>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</si>
  <si>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</si>
  <si>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</si>
  <si>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</si>
  <si>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</si>
  <si>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</si>
  <si>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</si>
  <si>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</si>
  <si>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</si>
  <si>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</si>
  <si>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</si>
  <si>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</si>
  <si>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</si>
  <si>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</si>
  <si>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</si>
  <si>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</si>
  <si>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</si>
  <si>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</si>
  <si>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</si>
  <si>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</si>
  <si>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</si>
  <si>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</si>
  <si>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</si>
  <si>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</si>
  <si>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</si>
  <si>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</si>
  <si>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</si>
  <si>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</si>
  <si>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</si>
  <si>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</si>
  <si>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</si>
  <si>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</si>
  <si>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</si>
  <si>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</si>
  <si>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</si>
  <si>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</si>
  <si>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</si>
  <si>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</si>
  <si>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</si>
  <si>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</si>
  <si>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</si>
  <si>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</si>
  <si>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</si>
  <si>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</si>
  <si>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</si>
  <si>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</si>
  <si>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</si>
  <si>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</si>
  <si>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</si>
  <si>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</si>
  <si>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</si>
  <si>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</si>
  <si>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</si>
  <si>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</si>
  <si>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</si>
  <si>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</si>
  <si>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</si>
  <si>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</si>
  <si>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</si>
  <si>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</si>
  <si>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</si>
  <si>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</si>
  <si>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</si>
  <si>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</si>
  <si>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</si>
  <si>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</si>
  <si>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</si>
  <si>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</si>
  <si>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</si>
  <si>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</si>
  <si>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</si>
  <si>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</si>
  <si>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</si>
  <si>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</si>
  <si>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</si>
  <si>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</si>
  <si>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</si>
  <si>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</si>
  <si>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</si>
  <si>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</si>
  <si>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</si>
  <si>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</si>
  <si>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</si>
  <si>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</si>
  <si>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</si>
  <si>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</si>
  <si>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</si>
  <si>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</si>
  <si>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</si>
  <si>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</si>
  <si>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</si>
  <si>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</si>
  <si>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</si>
  <si>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</si>
  <si>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</si>
  <si>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</si>
  <si>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</si>
  <si>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</si>
  <si>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</si>
  <si>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</si>
  <si>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</si>
  <si>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</si>
  <si>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</si>
  <si>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</si>
  <si>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</si>
  <si>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</si>
  <si>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</si>
  <si>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</si>
  <si>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</si>
  <si>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</si>
  <si>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</si>
  <si>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</si>
  <si>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</si>
  <si>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</si>
  <si>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</si>
  <si>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</si>
  <si>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</si>
  <si>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</si>
  <si>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</si>
  <si>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</si>
  <si>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</si>
  <si>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</si>
  <si>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</si>
  <si>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</si>
  <si>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</si>
  <si>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</si>
  <si>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</si>
  <si>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</si>
  <si>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</si>
  <si>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</si>
  <si>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</si>
  <si>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</si>
  <si>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</si>
  <si>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</si>
  <si>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</si>
  <si>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</si>
  <si>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</si>
  <si>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</si>
  <si>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</si>
  <si>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</si>
  <si>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</si>
  <si>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</si>
  <si>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</si>
  <si>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</si>
  <si>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</si>
  <si>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</si>
  <si>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</si>
  <si>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</si>
  <si>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</si>
  <si>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</si>
  <si>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</si>
  <si>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</si>
  <si>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</si>
  <si>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</si>
  <si>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</si>
  <si>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</si>
  <si>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</si>
  <si>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</si>
  <si>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</si>
  <si>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</si>
  <si>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</si>
  <si>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</si>
  <si>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</si>
  <si>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</si>
  <si>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</si>
  <si>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</si>
  <si>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</si>
  <si>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</si>
  <si>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</si>
  <si>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</si>
  <si>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</si>
  <si>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</si>
  <si>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</si>
  <si>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</si>
  <si>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</si>
  <si>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</si>
  <si>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</si>
  <si>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</si>
  <si>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</si>
  <si>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</si>
  <si>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</si>
  <si>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</si>
  <si>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</si>
  <si>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</si>
  <si>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</si>
  <si>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</si>
  <si>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</si>
  <si>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</si>
  <si>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</si>
  <si>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</si>
  <si>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</si>
  <si>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</si>
  <si>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</si>
  <si>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</si>
  <si>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</si>
  <si>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</si>
  <si>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</si>
  <si>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</si>
  <si>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</si>
  <si>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</si>
  <si>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</si>
  <si>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</si>
  <si>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</si>
  <si>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</si>
  <si>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</si>
  <si>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</si>
  <si>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</si>
  <si>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</si>
  <si>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</si>
  <si>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</si>
  <si>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</si>
  <si>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</si>
  <si>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</si>
  <si>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</si>
  <si>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</si>
  <si>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</si>
  <si>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</si>
  <si>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</si>
  <si>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</si>
  <si>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</si>
  <si>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</si>
  <si>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</si>
  <si>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</si>
  <si>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</si>
  <si>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</si>
  <si>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</si>
  <si>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</si>
  <si>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</si>
  <si>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</si>
  <si>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</si>
  <si>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</si>
  <si>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</si>
  <si>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</si>
  <si>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</si>
  <si>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</si>
  <si>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</si>
  <si>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</si>
  <si>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</si>
  <si>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</si>
  <si>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</si>
  <si>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</si>
  <si>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</si>
  <si>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</si>
  <si>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</si>
  <si>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</si>
  <si>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</si>
  <si>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</si>
  <si>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</si>
  <si>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</si>
  <si>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</si>
  <si>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</si>
  <si>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</si>
  <si>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</si>
  <si>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</si>
  <si>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</si>
  <si>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</si>
  <si>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</si>
  <si>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</si>
  <si>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</si>
  <si>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</si>
  <si>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</si>
  <si>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</si>
  <si>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</si>
  <si>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</si>
  <si>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</si>
  <si>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</si>
  <si>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</si>
  <si>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</si>
  <si>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</si>
  <si>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</si>
  <si>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</si>
  <si>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</si>
  <si>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</si>
  <si>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</si>
  <si>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</si>
  <si>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</si>
  <si>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</si>
  <si>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</si>
  <si>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</si>
  <si>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</si>
  <si>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</si>
  <si>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</si>
  <si>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</si>
  <si>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</si>
  <si>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</si>
  <si>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</si>
  <si>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</si>
  <si>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</si>
  <si>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</si>
  <si>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</si>
  <si>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</si>
  <si>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</si>
  <si>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</si>
  <si>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</si>
  <si>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</si>
  <si>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</si>
  <si>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</si>
  <si>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</si>
  <si>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</si>
  <si>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</si>
  <si>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</si>
  <si>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</si>
  <si>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</si>
  <si>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</si>
  <si>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</si>
  <si>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</si>
  <si>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</si>
  <si>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</si>
  <si>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</si>
  <si>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</si>
  <si>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</si>
  <si>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</si>
  <si>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</si>
  <si>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</si>
  <si>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</si>
  <si>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</si>
  <si>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</si>
  <si>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</si>
  <si>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</si>
  <si>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</si>
  <si>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</si>
  <si>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</si>
  <si>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</si>
  <si>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</si>
  <si>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</si>
  <si>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</si>
  <si>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</si>
  <si>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</si>
  <si>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</si>
  <si>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</si>
  <si>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</si>
  <si>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</si>
  <si>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</si>
  <si>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</si>
  <si>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</si>
  <si>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</si>
  <si>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</si>
  <si>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</si>
  <si>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</si>
  <si>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</si>
  <si>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</si>
  <si>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</si>
  <si>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</si>
  <si>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</si>
  <si>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</si>
  <si>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</si>
  <si>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</si>
  <si>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</si>
  <si>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</si>
  <si>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</si>
  <si>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</si>
  <si>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</si>
  <si>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</si>
  <si>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</si>
  <si>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</si>
  <si>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</si>
  <si>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</si>
  <si>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</si>
  <si>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</si>
  <si>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</si>
  <si>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</si>
  <si>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</si>
  <si>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</si>
  <si>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</si>
  <si>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</si>
  <si>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</si>
  <si>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</si>
  <si>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</si>
  <si>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</si>
  <si>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</si>
  <si>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</si>
  <si>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</si>
  <si>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</si>
  <si>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</si>
  <si>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</si>
  <si>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</si>
  <si>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</si>
  <si>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</si>
  <si>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</si>
  <si>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</si>
  <si>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</si>
  <si>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</si>
  <si>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</si>
  <si>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</si>
  <si>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</si>
  <si>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</si>
  <si>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</si>
  <si>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</si>
  <si>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</si>
  <si>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</si>
  <si>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</si>
  <si>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</si>
  <si>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</si>
  <si>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</si>
  <si>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</si>
  <si>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</si>
  <si>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</si>
  <si>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</si>
  <si>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</si>
  <si>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</si>
  <si>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</si>
  <si>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</si>
  <si>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</si>
  <si>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</si>
  <si>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</si>
  <si>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</si>
  <si>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</si>
  <si>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</si>
  <si>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</si>
  <si>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</si>
  <si>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</si>
  <si>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</si>
  <si>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</si>
  <si>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</si>
  <si>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</si>
  <si>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</si>
  <si>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</si>
  <si>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</si>
  <si>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</si>
  <si>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</si>
  <si>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</si>
  <si>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</si>
  <si>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</si>
  <si>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</si>
  <si>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</si>
  <si>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</si>
  <si>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</si>
  <si>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</si>
  <si>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</si>
  <si>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</si>
  <si>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</si>
  <si>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</si>
  <si>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</si>
  <si>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</si>
  <si>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</si>
  <si>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</si>
  <si>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</si>
  <si>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</si>
  <si>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</si>
  <si>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</si>
  <si>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</si>
  <si>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</si>
  <si>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</si>
  <si>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</si>
  <si>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</si>
  <si>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</si>
  <si>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</si>
  <si>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</si>
  <si>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</si>
  <si>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</si>
  <si>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</si>
  <si>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</si>
  <si>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</si>
  <si>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</si>
  <si>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</si>
  <si>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</si>
  <si>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</si>
  <si>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</si>
  <si>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</si>
  <si>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</si>
  <si>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</si>
  <si>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</si>
  <si>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</si>
  <si>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</si>
  <si>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</si>
  <si>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</si>
  <si>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</si>
  <si>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</si>
  <si>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</si>
  <si>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</si>
  <si>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</si>
  <si>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</si>
  <si>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</si>
  <si>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</si>
  <si>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</si>
  <si>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</si>
  <si>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</si>
  <si>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</si>
  <si>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</si>
  <si>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</si>
  <si>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</si>
  <si>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</si>
  <si>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</si>
  <si>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</si>
  <si>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</si>
  <si>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</si>
  <si>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</si>
  <si>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</si>
  <si>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</si>
  <si>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</si>
  <si>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</si>
  <si>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</si>
  <si>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</si>
  <si>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</si>
  <si>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</si>
  <si>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</si>
  <si>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</si>
  <si>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</si>
  <si>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</si>
  <si>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</si>
  <si>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</si>
  <si>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</si>
  <si>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</si>
  <si>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</si>
  <si>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</si>
  <si>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</si>
  <si>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</si>
  <si>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</si>
  <si>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</si>
  <si>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</si>
  <si>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</si>
  <si>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</si>
  <si>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</si>
  <si>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</si>
  <si>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</si>
  <si>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</si>
  <si>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</si>
  <si>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</si>
  <si>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</si>
  <si>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</si>
  <si>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</si>
  <si>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</si>
  <si>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</si>
  <si>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</si>
  <si>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</si>
  <si>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</si>
  <si>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</si>
  <si>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</si>
  <si>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</si>
  <si>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</si>
  <si>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</si>
  <si>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</si>
  <si>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</si>
  <si>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</si>
  <si>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</si>
  <si>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</si>
  <si>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</si>
  <si>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</si>
  <si>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</si>
  <si>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</si>
  <si>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</si>
  <si>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</si>
  <si>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</si>
  <si>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</si>
  <si>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</si>
  <si>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</si>
  <si>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</si>
  <si>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</si>
  <si>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</si>
  <si>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</si>
  <si>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</si>
  <si>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</si>
  <si>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</si>
  <si>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</si>
  <si>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</si>
  <si>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</si>
  <si>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</si>
  <si>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</si>
  <si>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</si>
  <si>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</si>
  <si>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</si>
  <si>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</si>
  <si>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</si>
  <si>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</si>
  <si>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</si>
  <si>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</si>
  <si>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</si>
  <si>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</si>
  <si>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</si>
  <si>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</si>
  <si>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</si>
  <si>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</si>
  <si>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</si>
  <si>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</si>
  <si>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</si>
  <si>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</si>
  <si>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</si>
  <si>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</si>
  <si>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</si>
  <si>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</si>
  <si>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</si>
  <si>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</si>
  <si>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</si>
  <si>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</si>
  <si>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</si>
  <si>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</si>
  <si>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</si>
  <si>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</si>
  <si>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</si>
  <si>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</si>
  <si>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</si>
  <si>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</si>
  <si>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</si>
  <si>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</si>
  <si>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</si>
  <si>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</si>
  <si>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</si>
  <si>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</si>
  <si>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</si>
  <si>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</si>
  <si>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</si>
  <si>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</si>
  <si>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</si>
  <si>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</si>
  <si>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</si>
  <si>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</si>
  <si>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</si>
  <si>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</si>
  <si>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</si>
  <si>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</si>
  <si>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</si>
  <si>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</si>
  <si>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</si>
  <si>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</si>
  <si>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</si>
  <si>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</si>
  <si>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</si>
  <si>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</si>
  <si>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</si>
  <si>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</si>
  <si>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</si>
  <si>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</si>
  <si>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</si>
  <si>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</si>
  <si>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</si>
  <si>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</si>
  <si>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</si>
  <si>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</si>
  <si>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</si>
  <si>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</si>
  <si>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</si>
  <si>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</si>
  <si>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</si>
  <si>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</si>
  <si>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</si>
  <si>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</si>
  <si>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</si>
  <si>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</si>
  <si>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</si>
  <si>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</si>
  <si>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</si>
  <si>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</si>
  <si>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</si>
  <si>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</si>
  <si>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</si>
  <si>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</si>
  <si>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</si>
  <si>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</si>
  <si>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</si>
  <si>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</si>
  <si>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</si>
  <si>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</si>
  <si>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</si>
  <si>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</si>
  <si>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</si>
  <si>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</si>
  <si>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</si>
  <si>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</si>
  <si>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</si>
  <si>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</si>
  <si>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</si>
  <si>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</si>
  <si>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</si>
  <si>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</si>
  <si>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</si>
  <si>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</si>
  <si>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</si>
  <si>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</si>
  <si>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</si>
  <si>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</si>
  <si>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</si>
  <si>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</si>
  <si>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</si>
  <si>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</si>
  <si>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</si>
  <si>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</si>
  <si>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</si>
  <si>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</si>
  <si>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</si>
  <si>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</si>
  <si>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</si>
  <si>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</si>
  <si>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</si>
  <si>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</si>
  <si>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</si>
  <si>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</si>
  <si>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</si>
  <si>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</si>
  <si>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</si>
  <si>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</si>
  <si>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</si>
  <si>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</si>
  <si>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</si>
  <si>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</si>
  <si>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</si>
  <si>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</si>
  <si>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</si>
  <si>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</si>
  <si>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</si>
  <si>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</si>
  <si>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</si>
  <si>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</si>
  <si>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</si>
  <si>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</si>
  <si>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</si>
  <si>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</si>
  <si>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</si>
  <si>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</si>
  <si>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</si>
  <si>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</si>
  <si>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</si>
  <si>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</si>
  <si>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</si>
  <si>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</si>
  <si>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</si>
  <si>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</si>
  <si>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</si>
  <si>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</si>
  <si>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</si>
  <si>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</si>
  <si>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</si>
  <si>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</si>
  <si>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</si>
  <si>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</si>
  <si>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</si>
  <si>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</si>
  <si>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</si>
  <si>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</si>
  <si>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</si>
  <si>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</si>
  <si>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</si>
  <si>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</si>
  <si>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</si>
  <si>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</si>
  <si>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</si>
  <si>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</si>
  <si>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</si>
  <si>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</si>
  <si>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</si>
  <si>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</si>
  <si>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</si>
  <si>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</si>
  <si>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</si>
  <si>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</si>
  <si>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</si>
  <si>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</si>
  <si>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</si>
  <si>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</si>
  <si>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</si>
  <si>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</si>
  <si>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</si>
  <si>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</si>
  <si>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</si>
  <si>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</si>
  <si>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</si>
  <si>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</si>
  <si>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</si>
  <si>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</si>
  <si>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</si>
  <si>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</si>
  <si>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</si>
  <si>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</si>
  <si>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</si>
  <si>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</si>
  <si>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</si>
  <si>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</si>
  <si>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</si>
  <si>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</si>
  <si>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</si>
  <si>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</si>
  <si>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</si>
  <si>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</si>
  <si>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</si>
  <si>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</si>
  <si>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</si>
  <si>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</si>
  <si>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</si>
  <si>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</si>
  <si>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</si>
  <si>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</si>
  <si>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</si>
  <si>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</si>
  <si>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</si>
  <si>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</si>
  <si>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</si>
  <si>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</si>
  <si>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</si>
  <si>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</si>
  <si>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</si>
  <si>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</si>
  <si>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</si>
  <si>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</si>
  <si>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</si>
  <si>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</si>
  <si>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</si>
  <si>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</si>
  <si>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</si>
  <si>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</si>
  <si>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</si>
  <si>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</si>
  <si>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</si>
  <si>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</si>
  <si>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</si>
  <si>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</si>
  <si>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</si>
  <si>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</si>
  <si>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</si>
  <si>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</si>
  <si>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</si>
  <si>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</si>
  <si>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</si>
  <si>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</si>
  <si>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</si>
  <si>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</si>
  <si>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</si>
  <si>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</si>
  <si>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</si>
  <si>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</si>
  <si>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</si>
  <si>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</si>
  <si>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</si>
  <si>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</si>
  <si>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</si>
  <si>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</si>
  <si>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</si>
  <si>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</si>
  <si>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</si>
  <si>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</si>
  <si>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</si>
  <si>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</si>
  <si>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</si>
  <si>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</si>
  <si>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</si>
  <si>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</si>
  <si>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</si>
  <si>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</si>
  <si>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</si>
  <si>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</si>
  <si>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</si>
  <si>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</si>
  <si>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</si>
  <si>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</si>
  <si>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</si>
  <si>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</si>
  <si>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</si>
  <si>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</si>
  <si>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</si>
  <si>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</si>
  <si>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</si>
  <si>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</si>
  <si>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</si>
  <si>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</si>
  <si>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</si>
  <si>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</si>
  <si>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</si>
  <si>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</si>
  <si>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</si>
  <si>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</si>
  <si>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</si>
  <si>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</si>
  <si>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</si>
  <si>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</si>
  <si>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</si>
  <si>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</si>
  <si>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</si>
  <si>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</si>
  <si>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</si>
  <si>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</si>
  <si>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</si>
  <si>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</si>
  <si>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</si>
  <si>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</si>
  <si>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</si>
  <si>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</si>
  <si>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</si>
  <si>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</si>
  <si>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</si>
  <si>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</si>
  <si>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</si>
  <si>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</si>
  <si>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</si>
  <si>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</si>
  <si>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</si>
  <si>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</si>
  <si>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</si>
  <si>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</si>
  <si>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</si>
  <si>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</si>
  <si>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</si>
  <si>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</si>
  <si>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</si>
  <si>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</si>
  <si>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</si>
  <si>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</si>
  <si>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</si>
  <si>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</si>
  <si>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</si>
  <si>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</si>
  <si>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</si>
  <si>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</si>
  <si>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</si>
  <si>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</si>
  <si>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</si>
  <si>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</si>
  <si>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</si>
  <si>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</si>
  <si>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</si>
  <si>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</si>
  <si>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</si>
  <si>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</si>
  <si>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</si>
  <si>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</si>
  <si>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</si>
  <si>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</si>
  <si>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</si>
  <si>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</si>
  <si>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</si>
  <si>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</si>
  <si>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</si>
  <si>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</si>
  <si>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</si>
  <si>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</si>
  <si>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</si>
  <si>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</si>
  <si>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</si>
  <si>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</si>
  <si>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</si>
  <si>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</si>
  <si>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</si>
  <si>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</si>
  <si>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</si>
  <si>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</si>
  <si>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</si>
  <si>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</si>
  <si>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</si>
  <si>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</si>
  <si>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</si>
  <si>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</si>
  <si>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</si>
  <si>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</si>
  <si>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</si>
  <si>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</si>
  <si>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</si>
  <si>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</si>
  <si>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</si>
  <si>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</si>
  <si>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</si>
  <si>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</si>
  <si>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</si>
  <si>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</si>
  <si>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</si>
  <si>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</si>
  <si>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</si>
  <si>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</si>
  <si>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</si>
  <si>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</si>
  <si>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</si>
  <si>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</si>
  <si>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</si>
  <si>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</si>
  <si>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</si>
  <si>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</si>
  <si>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</si>
  <si>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</si>
  <si>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</si>
  <si>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</si>
  <si>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</si>
  <si>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</si>
  <si>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</si>
  <si>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</si>
  <si>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</si>
  <si>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</si>
  <si>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</si>
  <si>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</si>
  <si>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</si>
  <si>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</si>
  <si>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</si>
  <si>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</si>
  <si>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</si>
  <si>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</si>
  <si>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</si>
  <si>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</si>
  <si>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</si>
  <si>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</si>
  <si>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</si>
  <si>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</si>
  <si>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</si>
  <si>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</si>
  <si>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</si>
  <si>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</si>
  <si>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</si>
  <si>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</si>
  <si>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</si>
  <si>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</si>
  <si>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</si>
  <si>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</si>
  <si>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</si>
  <si>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</si>
  <si>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</si>
  <si>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</si>
  <si>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</si>
  <si>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</si>
  <si>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</si>
  <si>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</si>
  <si>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</si>
  <si>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</si>
  <si>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</si>
  <si>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</si>
  <si>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</si>
  <si>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</si>
  <si>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</si>
  <si>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</si>
  <si>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</si>
  <si>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</si>
  <si>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</si>
  <si>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</si>
  <si>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</si>
  <si>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</si>
  <si>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</si>
  <si>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</si>
  <si>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</si>
  <si>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</si>
  <si>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</si>
  <si>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</si>
  <si>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</si>
  <si>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</si>
  <si>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</si>
  <si>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</si>
  <si>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</si>
  <si>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</si>
  <si>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</si>
  <si>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</si>
  <si>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</si>
  <si>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</si>
  <si>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</si>
  <si>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</si>
  <si>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</si>
  <si>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</si>
  <si>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</si>
  <si>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</si>
  <si>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</si>
  <si>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</si>
  <si>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</si>
  <si>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</si>
  <si>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</si>
  <si>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</si>
  <si>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</si>
  <si>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</si>
  <si>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</si>
  <si>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</si>
  <si>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</si>
  <si>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</si>
  <si>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</si>
  <si>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</si>
  <si>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</si>
  <si>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</si>
  <si>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</si>
  <si>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</si>
  <si>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</si>
  <si>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</si>
  <si>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</si>
  <si>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</si>
  <si>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</si>
  <si>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</si>
  <si>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</si>
  <si>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</si>
  <si>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</si>
  <si>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</si>
  <si>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</si>
  <si>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</si>
  <si>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</si>
  <si>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</si>
  <si>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</si>
  <si>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</si>
  <si>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</si>
  <si>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</si>
  <si>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</si>
  <si>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</si>
  <si>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</si>
  <si>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</si>
  <si>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</si>
  <si>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</si>
  <si>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</si>
  <si>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</si>
  <si>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</si>
  <si>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</si>
  <si>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</si>
  <si>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</si>
  <si>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</si>
  <si>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</si>
  <si>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</si>
  <si>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</si>
  <si>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</si>
  <si>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</si>
  <si>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</si>
  <si>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</si>
  <si>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</si>
  <si>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</si>
  <si>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</si>
  <si>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</si>
  <si>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</si>
  <si>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</si>
  <si>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</si>
  <si>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</si>
  <si>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</si>
  <si>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</si>
  <si>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</si>
  <si>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</si>
  <si>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</si>
  <si>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</si>
  <si>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</si>
  <si>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</si>
  <si>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</si>
  <si>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</si>
  <si>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</si>
  <si>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</si>
  <si>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</si>
  <si>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</si>
  <si>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</si>
  <si>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</si>
  <si>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</si>
  <si>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</si>
  <si>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</si>
  <si>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</si>
  <si>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</si>
  <si>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</si>
  <si>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</si>
  <si>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</si>
  <si>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</si>
  <si>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</si>
  <si>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</si>
  <si>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</si>
  <si>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</si>
  <si>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</si>
  <si>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</si>
  <si>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</si>
  <si>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</si>
  <si>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</si>
  <si>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</si>
  <si>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</si>
  <si>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</si>
  <si>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</si>
  <si>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</si>
  <si>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</si>
  <si>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</si>
  <si>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</si>
  <si>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</si>
  <si>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</si>
  <si>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</si>
  <si>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</si>
  <si>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</si>
  <si>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</si>
  <si>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</si>
  <si>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</si>
  <si>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</si>
  <si>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</si>
  <si>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</si>
  <si>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</si>
  <si>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</si>
  <si>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</si>
  <si>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</si>
  <si>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</si>
  <si>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</si>
  <si>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</si>
  <si>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</si>
  <si>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</si>
  <si>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</si>
  <si>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</si>
  <si>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</si>
  <si>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</si>
  <si>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</si>
  <si>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</si>
  <si>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</si>
  <si>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</si>
  <si>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</si>
  <si>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</si>
  <si>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</si>
  <si>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</si>
  <si>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</si>
  <si>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</si>
  <si>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</si>
  <si>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</si>
  <si>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</si>
  <si>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</si>
  <si>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</si>
  <si>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</si>
  <si>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</si>
  <si>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</si>
  <si>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</si>
  <si>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</si>
  <si>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</si>
  <si>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</si>
  <si>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</si>
  <si>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</si>
  <si>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</si>
  <si>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</si>
  <si>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</si>
  <si>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</si>
  <si>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</si>
  <si>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</si>
  <si>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</si>
  <si>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</si>
  <si>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</si>
  <si>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</si>
  <si>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</si>
  <si>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</si>
  <si>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</si>
  <si>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</si>
  <si>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</si>
  <si>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</si>
  <si>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</si>
  <si>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</si>
  <si>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</si>
  <si>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</si>
  <si>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</si>
  <si>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</si>
  <si>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</si>
  <si>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</si>
  <si>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</si>
  <si>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</si>
  <si>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</si>
  <si>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</si>
  <si>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</si>
  <si>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</si>
  <si>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</si>
  <si>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</si>
  <si>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</si>
  <si>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</si>
  <si>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</si>
  <si>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</si>
  <si>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</si>
  <si>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</si>
  <si>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</si>
  <si>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</si>
  <si>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</si>
  <si>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</si>
  <si>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</si>
  <si>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</si>
  <si>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</si>
  <si>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</si>
  <si>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</si>
  <si>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</si>
  <si>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</si>
  <si>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</si>
  <si>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</si>
  <si>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</si>
  <si>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</si>
  <si>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</si>
  <si>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</si>
  <si>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</si>
  <si>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</si>
  <si>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</si>
  <si>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</si>
  <si>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</si>
  <si>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</si>
  <si>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</si>
  <si>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</si>
  <si>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</si>
  <si>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</si>
  <si>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</si>
  <si>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</si>
  <si>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</si>
  <si>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</si>
  <si>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</si>
  <si>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</si>
  <si>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</si>
  <si>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</si>
  <si>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</si>
  <si>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</si>
  <si>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</si>
  <si>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</si>
  <si>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</si>
  <si>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</si>
  <si>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</si>
  <si>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</si>
  <si>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</si>
  <si>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</si>
  <si>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</si>
  <si>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</si>
  <si>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</si>
  <si>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</si>
  <si>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</si>
  <si>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</si>
  <si>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</si>
  <si>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</si>
  <si>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</si>
  <si>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</si>
  <si>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</si>
  <si>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</si>
  <si>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</si>
  <si>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</si>
  <si>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</si>
  <si>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</si>
  <si>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</si>
  <si>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</si>
  <si>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</si>
  <si>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</si>
  <si>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</si>
  <si>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</si>
  <si>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</si>
  <si>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</si>
  <si>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</si>
  <si>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</si>
  <si>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</si>
  <si>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</si>
  <si>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</si>
  <si>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</si>
  <si>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</si>
  <si>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</si>
  <si>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</si>
  <si>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</si>
  <si>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</si>
  <si>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</si>
  <si>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</si>
  <si>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</si>
  <si>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</si>
  <si>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</si>
  <si>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</si>
  <si>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</si>
  <si>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</si>
  <si>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</si>
  <si>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</si>
  <si>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</si>
  <si>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</si>
  <si>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</si>
  <si>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</si>
  <si>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</si>
  <si>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</si>
  <si>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</si>
  <si>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</si>
  <si>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</si>
  <si>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</si>
  <si>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</si>
  <si>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</si>
  <si>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</si>
  <si>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</si>
  <si>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</si>
  <si>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</si>
  <si>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</si>
  <si>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</si>
  <si>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</si>
  <si>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</si>
  <si>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</si>
  <si>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</si>
  <si>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</si>
  <si>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</si>
  <si>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</si>
  <si>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</si>
  <si>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</si>
  <si>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</si>
  <si>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</si>
  <si>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</si>
  <si>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</si>
  <si>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</si>
  <si>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</si>
  <si>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</si>
  <si>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</si>
  <si>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</si>
  <si>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</si>
  <si>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</si>
  <si>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</si>
  <si>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</si>
  <si>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</si>
  <si>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</si>
  <si>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</si>
  <si>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</si>
  <si>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</si>
  <si>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</si>
  <si>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</si>
  <si>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</si>
  <si>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</si>
  <si>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</si>
  <si>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</si>
  <si>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</si>
  <si>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</si>
  <si>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</si>
  <si>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</si>
  <si>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</si>
  <si>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</si>
  <si>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</si>
  <si>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</si>
  <si>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</si>
  <si>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</si>
  <si>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</si>
  <si>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</si>
  <si>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</si>
  <si>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</si>
  <si>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</si>
  <si>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</si>
  <si>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</si>
  <si>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</si>
  <si>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</si>
  <si>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</si>
  <si>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</si>
  <si>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</si>
  <si>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</si>
  <si>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</si>
  <si>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</si>
  <si>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</si>
  <si>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</si>
  <si>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</si>
  <si>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</si>
  <si>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</si>
  <si>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</si>
  <si>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</si>
  <si>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</si>
  <si>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</si>
  <si>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</si>
  <si>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</si>
  <si>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</si>
  <si>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</si>
  <si>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</si>
  <si>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</si>
  <si>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</si>
  <si>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</si>
  <si>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</si>
  <si>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</si>
  <si>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</si>
  <si>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</si>
  <si>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</si>
  <si>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</si>
  <si>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</si>
  <si>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</si>
  <si>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</si>
  <si>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</si>
  <si>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</si>
  <si>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</si>
  <si>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</si>
  <si>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</si>
  <si>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</si>
  <si>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</si>
  <si>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</si>
  <si>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</si>
  <si>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</si>
  <si>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</si>
  <si>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</si>
  <si>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</si>
  <si>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</si>
  <si>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</si>
  <si>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</si>
  <si>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</si>
  <si>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</si>
  <si>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</si>
  <si>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</si>
  <si>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</si>
  <si>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</si>
  <si>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</si>
  <si>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</si>
  <si>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</si>
  <si>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</si>
  <si>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</si>
  <si>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</si>
  <si>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</si>
  <si>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</si>
  <si>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</si>
  <si>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</si>
  <si>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</si>
  <si>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</si>
  <si>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</si>
  <si>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</si>
  <si>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</si>
  <si>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</si>
  <si>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</si>
  <si>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</si>
  <si>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</si>
  <si>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</si>
  <si>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</si>
  <si>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</si>
  <si>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</si>
  <si>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</si>
  <si>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</si>
  <si>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</si>
  <si>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</si>
  <si>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</si>
  <si>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</si>
  <si>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</si>
  <si>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</si>
  <si>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</si>
  <si>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</si>
  <si>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</si>
  <si>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</si>
  <si>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</si>
  <si>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</si>
  <si>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</si>
  <si>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</si>
  <si>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</si>
  <si>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</si>
  <si>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</si>
  <si>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</si>
  <si>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</si>
  <si>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</si>
  <si>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</si>
  <si>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</si>
  <si>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</si>
  <si>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</si>
  <si>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</si>
  <si>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</si>
  <si>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</si>
  <si>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</si>
  <si>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</si>
  <si>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</si>
  <si>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</si>
  <si>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</si>
  <si>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</si>
  <si>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</si>
  <si>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</si>
  <si>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</si>
  <si>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</si>
  <si>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</si>
  <si>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</si>
  <si>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</si>
  <si>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</si>
  <si>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</si>
  <si>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</si>
  <si>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</si>
  <si>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</si>
  <si>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</si>
  <si>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</si>
  <si>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</si>
  <si>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</si>
  <si>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</si>
  <si>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</si>
  <si>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</si>
  <si>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</si>
  <si>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</si>
  <si>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</si>
  <si>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</si>
  <si>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</si>
  <si>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</si>
  <si>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</si>
  <si>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</si>
  <si>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</si>
  <si>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</si>
  <si>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</si>
  <si>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</si>
  <si>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</si>
  <si>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</si>
  <si>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</si>
  <si>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</si>
  <si>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</si>
  <si>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</si>
  <si>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</si>
  <si>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</si>
  <si>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</si>
  <si>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</si>
  <si>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</si>
  <si>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</si>
  <si>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</si>
  <si>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</si>
  <si>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</si>
  <si>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</si>
  <si>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</si>
  <si>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</si>
  <si>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</si>
  <si>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</si>
  <si>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</si>
  <si>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</si>
  <si>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</si>
  <si>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</si>
  <si>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</si>
  <si>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</si>
  <si>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</si>
  <si>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</si>
  <si>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</si>
  <si>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</si>
  <si>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</si>
  <si>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</si>
  <si>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</si>
  <si>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</si>
  <si>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</si>
  <si>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</si>
  <si>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</si>
  <si>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</si>
  <si>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</si>
  <si>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</si>
  <si>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</si>
  <si>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</si>
  <si>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</si>
  <si>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</si>
  <si>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</si>
  <si>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</si>
  <si>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</si>
  <si>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</si>
  <si>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</si>
  <si>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</si>
  <si>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</si>
  <si>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</si>
  <si>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</si>
  <si>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</si>
  <si>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</si>
  <si>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</si>
  <si>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</si>
  <si>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</si>
  <si>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</si>
  <si>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</si>
  <si>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</si>
  <si>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</si>
  <si>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</si>
  <si>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</si>
  <si>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</si>
  <si>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</si>
  <si>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</si>
  <si>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</si>
  <si>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</si>
  <si>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</si>
  <si>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</si>
  <si>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</si>
  <si>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</si>
  <si>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</si>
  <si>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</si>
  <si>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</si>
  <si>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</si>
  <si>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</si>
  <si>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</si>
  <si>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</si>
  <si>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</si>
  <si>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</si>
  <si>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</si>
  <si>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</si>
  <si>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</si>
  <si>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</si>
  <si>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</si>
  <si>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</si>
  <si>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</si>
  <si>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</si>
  <si>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</si>
  <si>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</si>
  <si>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</si>
  <si>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</si>
  <si>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</si>
  <si>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</si>
  <si>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</si>
  <si>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</si>
  <si>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</si>
  <si>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</si>
  <si>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</si>
  <si>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</si>
  <si>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</si>
  <si>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</si>
  <si>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</si>
  <si>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</si>
  <si>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</si>
  <si>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</si>
  <si>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</si>
  <si>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</si>
  <si>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</si>
  <si>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</si>
  <si>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</si>
  <si>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</si>
  <si>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</si>
  <si>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</si>
  <si>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</si>
  <si>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</si>
  <si>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</si>
  <si>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</si>
  <si>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</si>
  <si>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</si>
  <si>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</si>
  <si>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</si>
  <si>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</si>
  <si>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</si>
  <si>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</si>
  <si>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</si>
  <si>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</si>
  <si>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</si>
  <si>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</si>
  <si>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</si>
  <si>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</si>
  <si>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</si>
  <si>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</si>
  <si>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</si>
  <si>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</si>
  <si>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</si>
  <si>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</si>
  <si>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</si>
  <si>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</si>
  <si>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</si>
  <si>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</si>
  <si>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</si>
  <si>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</si>
  <si>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</si>
  <si>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</si>
  <si>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</si>
  <si>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</si>
  <si>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</si>
  <si>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</si>
  <si>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</si>
  <si>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</si>
  <si>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</si>
  <si>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</si>
  <si>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</si>
  <si>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</si>
  <si>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</si>
  <si>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</si>
  <si>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</si>
  <si>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</si>
  <si>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</si>
  <si>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</si>
  <si>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</si>
  <si>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</si>
  <si>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</si>
  <si>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</si>
  <si>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</si>
  <si>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</si>
  <si>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</si>
  <si>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</si>
  <si>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</si>
  <si>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</si>
  <si>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</si>
  <si>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</si>
  <si>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</si>
  <si>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</si>
  <si>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</si>
  <si>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</si>
  <si>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</si>
  <si>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</si>
  <si>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</si>
  <si>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</si>
  <si>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</si>
  <si>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</si>
  <si>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</si>
  <si>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</si>
  <si>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</si>
  <si>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</si>
  <si>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</si>
  <si>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</si>
  <si>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</si>
  <si>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</si>
  <si>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</si>
  <si>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</si>
  <si>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</si>
  <si>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</si>
  <si>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</si>
  <si>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</si>
  <si>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</si>
  <si>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</si>
  <si>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</si>
  <si>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</si>
  <si>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</si>
  <si>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</si>
  <si>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</si>
  <si>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</si>
  <si>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</si>
  <si>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</si>
  <si>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</si>
  <si>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</si>
  <si>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</si>
  <si>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</si>
  <si>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</si>
  <si>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</si>
  <si>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</si>
  <si>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</si>
  <si>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</si>
  <si>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</si>
  <si>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</si>
  <si>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</si>
  <si>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</si>
  <si>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</si>
  <si>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</si>
  <si>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</si>
  <si>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</si>
  <si>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</si>
  <si>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</si>
  <si>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</si>
  <si>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</si>
  <si>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</si>
  <si>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</si>
  <si>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</si>
  <si>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</si>
  <si>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</si>
  <si>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</si>
  <si>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</si>
  <si>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</si>
  <si>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</si>
  <si>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</si>
  <si>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</si>
  <si>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</si>
  <si>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</si>
  <si>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</si>
  <si>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</si>
  <si>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</si>
  <si>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</si>
  <si>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</si>
  <si>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</si>
  <si>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</si>
  <si>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</si>
  <si>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</si>
  <si>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</si>
  <si>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</si>
  <si>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</si>
  <si>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</si>
  <si>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</si>
  <si>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</si>
  <si>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</si>
  <si>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</si>
  <si>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</si>
  <si>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</si>
  <si>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</si>
  <si>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</si>
  <si>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</si>
  <si>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</si>
  <si>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</si>
  <si>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</si>
  <si>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</si>
  <si>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</si>
  <si>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</si>
  <si>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</si>
  <si>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</si>
  <si>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</si>
  <si>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</si>
  <si>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</si>
  <si>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</si>
  <si>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</si>
  <si>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</si>
  <si>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</si>
  <si>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</si>
  <si>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</si>
  <si>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</si>
  <si>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</si>
  <si>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</si>
  <si>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</si>
  <si>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</si>
  <si>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</si>
  <si>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</si>
  <si>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</si>
  <si>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</si>
  <si>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</si>
  <si>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</si>
  <si>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</si>
  <si>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</si>
  <si>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</si>
  <si>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</si>
  <si>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</si>
  <si>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</si>
  <si>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</si>
  <si>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</si>
  <si>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</si>
  <si>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</si>
  <si>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</si>
  <si>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</si>
  <si>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</si>
  <si>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</si>
  <si>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</si>
  <si>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</si>
  <si>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</si>
  <si>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</si>
  <si>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</si>
  <si>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</si>
  <si>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</si>
  <si>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</si>
  <si>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</si>
  <si>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</si>
  <si>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</si>
  <si>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</si>
  <si>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</si>
  <si>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</si>
  <si>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</si>
  <si>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</si>
  <si>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</si>
  <si>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</si>
  <si>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</si>
  <si>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</si>
  <si>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</si>
  <si>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</si>
  <si>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</si>
  <si>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</si>
  <si>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</si>
  <si>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</si>
  <si>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</si>
  <si>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</si>
  <si>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</si>
  <si>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</si>
  <si>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</si>
  <si>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</si>
  <si>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</si>
  <si>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</si>
  <si>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</si>
  <si>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</si>
  <si>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</si>
  <si>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</si>
  <si>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</si>
  <si>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</si>
  <si>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</si>
  <si>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</si>
  <si>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</si>
  <si>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</si>
  <si>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</si>
  <si>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</si>
  <si>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</si>
  <si>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</si>
  <si>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</si>
  <si>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</si>
  <si>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</si>
  <si>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</si>
  <si>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</si>
  <si>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</si>
  <si>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</si>
  <si>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</si>
  <si>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</si>
  <si>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</si>
  <si>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</si>
  <si>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</si>
  <si>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</si>
  <si>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</si>
  <si>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</si>
  <si>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</si>
  <si>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</si>
  <si>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</si>
  <si>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</si>
  <si>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</si>
  <si>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</si>
  <si>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</si>
  <si>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</si>
  <si>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</si>
  <si>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</si>
  <si>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</si>
  <si>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</si>
  <si>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</si>
  <si>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</si>
  <si>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</si>
  <si>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</si>
  <si>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</si>
  <si>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</si>
  <si>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</si>
  <si>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</si>
  <si>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</si>
  <si>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</si>
  <si>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</si>
  <si>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</si>
  <si>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</si>
  <si>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</si>
  <si>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</si>
  <si>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</si>
  <si>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</si>
  <si>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</si>
  <si>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</si>
  <si>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</si>
  <si>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</si>
  <si>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</si>
  <si>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</si>
  <si>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</si>
  <si>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</si>
  <si>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</si>
  <si>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</si>
  <si>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</si>
  <si>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</si>
  <si>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</si>
  <si>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</si>
  <si>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</si>
  <si>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</si>
  <si>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</si>
  <si>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</si>
  <si>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</si>
  <si>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</si>
  <si>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</si>
  <si>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</si>
  <si>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</si>
  <si>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</si>
  <si>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</si>
  <si>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</si>
  <si>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</si>
  <si>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</si>
  <si>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</si>
  <si>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</si>
  <si>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</si>
  <si>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</si>
  <si>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</si>
  <si>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</si>
  <si>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</si>
  <si>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</si>
  <si>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</si>
  <si>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</si>
  <si>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</si>
  <si>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</si>
  <si>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</si>
  <si>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</si>
  <si>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</si>
  <si>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</si>
  <si>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</si>
  <si>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</si>
  <si>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</si>
  <si>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</si>
  <si>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</si>
  <si>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</si>
  <si>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</si>
  <si>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</si>
  <si>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</si>
  <si>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</si>
  <si>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</si>
  <si>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</si>
  <si>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</si>
  <si>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</si>
  <si>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</si>
  <si>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</si>
  <si>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</si>
  <si>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</si>
  <si>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</si>
  <si>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</si>
  <si>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</si>
  <si>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</si>
  <si>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</si>
  <si>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</si>
  <si>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</si>
  <si>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</si>
  <si>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</si>
  <si>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</si>
  <si>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</si>
  <si>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</si>
  <si>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</si>
  <si>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</si>
  <si>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</si>
  <si>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</si>
  <si>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</si>
  <si>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</si>
  <si>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</si>
  <si>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</si>
  <si>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</si>
  <si>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</si>
  <si>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</si>
  <si>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</si>
  <si>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</si>
  <si>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</si>
  <si>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</si>
  <si>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</si>
  <si>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</si>
  <si>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</si>
  <si>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</si>
  <si>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</si>
  <si>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</si>
  <si>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</si>
  <si>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</si>
  <si>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</si>
  <si>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</si>
  <si>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</si>
  <si>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</si>
  <si>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</si>
  <si>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</si>
  <si>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</si>
  <si>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</si>
  <si>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</si>
  <si>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</si>
  <si>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</si>
  <si>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</si>
  <si>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</si>
  <si>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</si>
  <si>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</si>
  <si>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</si>
  <si>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</si>
  <si>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</si>
  <si>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</si>
  <si>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</si>
  <si>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</si>
  <si>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</si>
  <si>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</si>
  <si>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</si>
  <si>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</si>
  <si>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</si>
  <si>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</si>
  <si>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</si>
  <si>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</si>
  <si>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</si>
  <si>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</si>
  <si>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</si>
  <si>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</si>
  <si>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</si>
  <si>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</si>
  <si>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</si>
  <si>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</si>
  <si>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</si>
  <si>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</si>
  <si>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</si>
  <si>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</si>
  <si>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</si>
  <si>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</si>
  <si>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</si>
  <si>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</si>
  <si>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</si>
  <si>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</si>
  <si>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</si>
  <si>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</si>
  <si>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</si>
  <si>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</si>
  <si>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</si>
  <si>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</si>
  <si>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</si>
  <si>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</si>
  <si>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</si>
  <si>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</si>
  <si>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</si>
  <si>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</si>
  <si>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</si>
  <si>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</si>
  <si>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</si>
  <si>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</si>
  <si>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</si>
  <si>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</si>
  <si>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</si>
  <si>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</si>
  <si>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</si>
  <si>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</si>
  <si>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</si>
  <si>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</si>
  <si>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</si>
  <si>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</si>
  <si>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</si>
  <si>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</si>
  <si>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</si>
  <si>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</si>
  <si>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</si>
  <si>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</si>
  <si>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</si>
  <si>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</si>
  <si>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</si>
  <si>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</si>
  <si>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</si>
  <si>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</si>
  <si>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</si>
  <si>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</si>
  <si>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</si>
  <si>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</si>
  <si>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</si>
  <si>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</si>
  <si>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</si>
  <si>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</si>
  <si>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</si>
  <si>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</si>
  <si>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</si>
  <si>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</si>
  <si>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</si>
  <si>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</si>
  <si>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</si>
  <si>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</si>
  <si>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</si>
  <si>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</si>
  <si>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</si>
  <si>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</si>
  <si>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</si>
  <si>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</si>
  <si>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</si>
  <si>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</si>
  <si>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</si>
  <si>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</si>
  <si>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</si>
  <si>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</si>
  <si>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</si>
  <si>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</si>
  <si>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</si>
  <si>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</si>
  <si>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</si>
  <si>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</si>
  <si>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</si>
  <si>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</si>
  <si>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</si>
  <si>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</si>
  <si>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</si>
  <si>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</si>
  <si>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</si>
  <si>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</si>
  <si>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</si>
  <si>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</si>
  <si>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</si>
  <si>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</si>
  <si>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</si>
  <si>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</si>
  <si>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</si>
  <si>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</si>
  <si>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</si>
  <si>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</si>
  <si>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</si>
  <si>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</si>
  <si>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</si>
  <si>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</si>
  <si>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</si>
  <si>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</si>
  <si>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</si>
  <si>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</si>
  <si>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</si>
  <si>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</si>
  <si>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</si>
  <si>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</si>
  <si>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</si>
  <si>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</si>
  <si>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</si>
  <si>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</si>
  <si>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</si>
  <si>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</si>
  <si>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</si>
  <si>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</si>
  <si>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</si>
  <si>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</si>
  <si>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</si>
  <si>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</si>
  <si>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</si>
  <si>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</si>
  <si>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</si>
  <si>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</si>
  <si>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</si>
  <si>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</si>
  <si>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</si>
  <si>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</si>
  <si>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</si>
  <si>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</si>
  <si>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</si>
  <si>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</si>
  <si>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</si>
  <si>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</si>
  <si>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</si>
  <si>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</si>
  <si>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</si>
  <si>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</si>
  <si>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</si>
  <si>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</si>
  <si>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</si>
  <si>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</si>
  <si>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</si>
  <si>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</si>
  <si>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</si>
  <si>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</si>
  <si>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</si>
  <si>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</si>
  <si>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</si>
  <si>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</si>
  <si>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</si>
  <si>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</si>
  <si>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</si>
  <si>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</si>
  <si>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</si>
  <si>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</si>
  <si>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</si>
  <si>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</si>
  <si>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</si>
  <si>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</si>
  <si>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</si>
  <si>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</si>
  <si>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</si>
  <si>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</si>
  <si>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</si>
  <si>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</si>
  <si>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</si>
  <si>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</si>
  <si>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</si>
  <si>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</si>
  <si>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</si>
  <si>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</si>
  <si>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</si>
  <si>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</si>
  <si>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</si>
  <si>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</si>
  <si>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</si>
  <si>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</si>
  <si>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</si>
  <si>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</si>
  <si>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</si>
  <si>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</si>
  <si>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</si>
  <si>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</si>
  <si>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</si>
  <si>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</si>
  <si>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</si>
  <si>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</si>
  <si>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</si>
  <si>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</si>
  <si>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</si>
  <si>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</si>
  <si>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</si>
  <si>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</si>
  <si>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</si>
  <si>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</si>
  <si>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</si>
  <si>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</si>
  <si>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</si>
  <si>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</si>
  <si>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</si>
  <si>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</si>
  <si>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</si>
  <si>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</si>
  <si>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</si>
  <si>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</si>
  <si>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</si>
  <si>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</si>
  <si>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</si>
  <si>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</si>
  <si>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</si>
  <si>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</si>
  <si>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</si>
  <si>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</si>
  <si>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</si>
  <si>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</si>
  <si>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</si>
  <si>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</si>
  <si>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</si>
  <si>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</si>
  <si>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</si>
  <si>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</si>
  <si>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</si>
  <si>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</si>
  <si>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</si>
  <si>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</si>
  <si>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</si>
  <si>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</si>
  <si>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</si>
  <si>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</si>
  <si>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</si>
  <si>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</si>
  <si>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</si>
  <si>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</si>
  <si>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</si>
  <si>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</si>
  <si>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</si>
  <si>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</si>
  <si>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</si>
  <si>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</si>
  <si>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</si>
  <si>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</si>
  <si>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</si>
  <si>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</si>
  <si>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</si>
  <si>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</si>
  <si>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</si>
  <si>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</si>
  <si>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</si>
  <si>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</si>
  <si>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</si>
  <si>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</si>
  <si>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</si>
  <si>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</si>
  <si>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</si>
  <si>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</si>
  <si>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</si>
  <si>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</si>
  <si>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</si>
  <si>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</si>
  <si>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</si>
  <si>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</si>
  <si>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</si>
  <si>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</si>
  <si>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</si>
  <si>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</si>
  <si>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</si>
  <si>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</si>
  <si>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</si>
  <si>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</si>
  <si>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</si>
  <si>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</si>
  <si>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</si>
  <si>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</si>
  <si>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</si>
  <si>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</si>
  <si>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</si>
  <si>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</si>
  <si>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</si>
  <si>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</si>
  <si>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</si>
  <si>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</si>
  <si>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</si>
  <si>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</si>
  <si>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</si>
  <si>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</si>
  <si>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</si>
  <si>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</si>
  <si>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</si>
  <si>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</si>
  <si>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</si>
  <si>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</si>
  <si>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</si>
  <si>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</si>
  <si>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</si>
  <si>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</si>
  <si>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</si>
  <si>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</si>
  <si>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</si>
  <si>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</si>
  <si>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</si>
  <si>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</si>
  <si>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</si>
  <si>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</si>
  <si>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</si>
  <si>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</si>
  <si>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</si>
  <si>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</si>
  <si>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</si>
  <si>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</si>
  <si>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</si>
  <si>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</si>
  <si>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</si>
  <si>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</si>
  <si>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</si>
  <si>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</si>
  <si>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</si>
  <si>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</si>
  <si>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</si>
  <si>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</si>
  <si>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</si>
  <si>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</si>
  <si>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</si>
  <si>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</si>
  <si>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</si>
  <si>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</si>
  <si>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</si>
  <si>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</si>
  <si>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</si>
  <si>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</si>
  <si>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</si>
  <si>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</si>
  <si>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</si>
  <si>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</si>
  <si>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</si>
  <si>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</si>
  <si>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</si>
  <si>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</si>
  <si>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</si>
  <si>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</si>
  <si>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</si>
  <si>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</si>
  <si>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</si>
  <si>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</si>
  <si>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</si>
  <si>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</si>
  <si>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</si>
  <si>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</si>
  <si>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</si>
  <si>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</si>
  <si>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</si>
  <si>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</si>
  <si>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</si>
  <si>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</si>
  <si>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</si>
  <si>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</si>
  <si>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</si>
  <si>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</si>
  <si>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</si>
  <si>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</si>
  <si>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</si>
  <si>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</si>
  <si>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</si>
  <si>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</si>
  <si>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</si>
  <si>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</si>
  <si>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</si>
  <si>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</si>
  <si>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</si>
  <si>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</si>
  <si>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</si>
  <si>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</si>
  <si>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</si>
  <si>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</si>
  <si>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</si>
  <si>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</si>
  <si>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</si>
  <si>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</si>
  <si>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</si>
  <si>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</si>
  <si>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</si>
  <si>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</si>
  <si>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</si>
  <si>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</si>
  <si>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</si>
  <si>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</si>
  <si>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</si>
  <si>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</si>
  <si>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</si>
  <si>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</si>
  <si>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</si>
  <si>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</si>
  <si>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</si>
  <si>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</si>
  <si>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</si>
  <si>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</si>
  <si>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</si>
  <si>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</si>
  <si>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</si>
  <si>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</si>
  <si>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</si>
  <si>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</si>
  <si>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</si>
  <si>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</si>
  <si>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</si>
  <si>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</si>
  <si>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</si>
  <si>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</si>
  <si>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</si>
  <si>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</si>
  <si>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</si>
  <si>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</si>
  <si>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</si>
  <si>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</si>
  <si>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</si>
  <si>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</si>
  <si>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</si>
  <si>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</si>
  <si>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</si>
  <si>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</si>
  <si>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</si>
  <si>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</si>
  <si>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</si>
  <si>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</si>
  <si>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</si>
  <si>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</si>
  <si>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</si>
  <si>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</si>
  <si>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</si>
  <si>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</si>
  <si>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</si>
  <si>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</si>
  <si>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</si>
  <si>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</si>
  <si>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</si>
  <si>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</si>
  <si>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</si>
  <si>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</si>
  <si>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</si>
  <si>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</si>
  <si>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</si>
  <si>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</si>
  <si>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</si>
  <si>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</si>
  <si>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</si>
  <si>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</si>
  <si>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</si>
  <si>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</si>
  <si>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</si>
  <si>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</si>
  <si>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</si>
  <si>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</si>
  <si>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</si>
  <si>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</si>
  <si>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</si>
  <si>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</si>
  <si>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</si>
  <si>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</si>
  <si>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</si>
  <si>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</si>
  <si>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</si>
  <si>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</si>
  <si>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</si>
  <si>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</si>
  <si>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</si>
  <si>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</si>
  <si>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</si>
  <si>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</si>
  <si>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</si>
  <si>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</si>
  <si>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</si>
  <si>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</si>
  <si>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</si>
  <si>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</si>
  <si>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</si>
  <si>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</si>
  <si>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</si>
  <si>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</si>
  <si>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</si>
  <si>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</si>
  <si>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</si>
  <si>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</si>
  <si>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</si>
  <si>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</si>
  <si>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</si>
  <si>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</si>
  <si>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</si>
  <si>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</si>
  <si>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</si>
  <si>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</si>
  <si>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</si>
  <si>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</si>
  <si>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</si>
  <si>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</si>
  <si>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</si>
  <si>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</si>
  <si>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</si>
  <si>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</si>
  <si>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</si>
  <si>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</si>
  <si>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</si>
  <si>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</si>
  <si>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</si>
  <si>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</si>
  <si>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</si>
  <si>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</si>
  <si>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</si>
  <si>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</si>
  <si>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</si>
  <si>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</si>
  <si>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</si>
  <si>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</si>
  <si>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</si>
  <si>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</si>
  <si>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</si>
  <si>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</si>
  <si>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</si>
  <si>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</si>
  <si>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</si>
  <si>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</si>
  <si>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</si>
  <si>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</si>
  <si>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</si>
  <si>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</si>
  <si>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</si>
  <si>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</si>
  <si>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</si>
  <si>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</si>
  <si>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</si>
  <si>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</si>
  <si>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</si>
  <si>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</si>
  <si>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</si>
  <si>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</si>
  <si>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</si>
  <si>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</si>
  <si>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</si>
  <si>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</si>
  <si>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</si>
  <si>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</si>
  <si>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</si>
  <si>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</si>
  <si>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</si>
  <si>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</si>
  <si>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</si>
  <si>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</si>
  <si>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</si>
  <si>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</si>
  <si>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</si>
  <si>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</si>
  <si>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</si>
  <si>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</si>
  <si>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</si>
  <si>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</si>
  <si>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</si>
  <si>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</si>
  <si>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</si>
  <si>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</si>
  <si>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</si>
  <si>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</si>
  <si>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</si>
  <si>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</si>
  <si>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</si>
  <si>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</si>
  <si>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</si>
  <si>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</si>
  <si>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</si>
  <si>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</si>
  <si>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</si>
  <si>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</si>
  <si>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</si>
  <si>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</si>
  <si>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</si>
  <si>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</si>
  <si>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</si>
  <si>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</si>
  <si>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</si>
  <si>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</si>
  <si>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</si>
  <si>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</si>
  <si>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</si>
  <si>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</si>
  <si>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</si>
  <si>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</si>
  <si>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</si>
  <si>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</si>
  <si>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</si>
  <si>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</si>
  <si>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</si>
  <si>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</si>
  <si>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</si>
  <si>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</si>
  <si>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</si>
  <si>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</si>
  <si>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</si>
  <si>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</si>
  <si>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</si>
  <si>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</si>
  <si>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</si>
  <si>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</si>
  <si>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</si>
  <si>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</si>
  <si>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</si>
  <si>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</si>
  <si>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</si>
  <si>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</si>
  <si>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</si>
  <si>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</si>
  <si>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</si>
  <si>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</si>
  <si>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</si>
  <si>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</si>
  <si>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</si>
  <si>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</si>
  <si>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</si>
  <si>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</si>
  <si>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</si>
  <si>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</si>
  <si>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</si>
  <si>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</si>
  <si>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</si>
  <si>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</si>
  <si>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</si>
  <si>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</si>
  <si>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</si>
  <si>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</si>
  <si>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</si>
  <si>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</si>
  <si>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</si>
  <si>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</si>
  <si>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</si>
  <si>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</si>
  <si>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</si>
  <si>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</si>
  <si>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</si>
  <si>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</si>
  <si>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</si>
  <si>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</si>
  <si>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</si>
  <si>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</si>
  <si>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</si>
  <si>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</si>
  <si>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</si>
  <si>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</si>
  <si>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</si>
  <si>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</si>
  <si>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</si>
  <si>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</si>
  <si>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</si>
  <si>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</si>
  <si>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</si>
  <si>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</si>
  <si>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</si>
  <si>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</si>
  <si>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</si>
  <si>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</si>
  <si>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</si>
  <si>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</si>
  <si>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</si>
  <si>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</si>
  <si>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</si>
  <si>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</si>
  <si>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</si>
  <si>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</si>
  <si>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</si>
  <si>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</si>
  <si>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</si>
  <si>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</si>
  <si>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</si>
  <si>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</si>
  <si>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</si>
  <si>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</si>
  <si>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</si>
  <si>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</si>
  <si>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</si>
  <si>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</si>
  <si>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</si>
  <si>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</si>
  <si>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</si>
  <si>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</si>
  <si>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</si>
  <si>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</si>
  <si>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</si>
  <si>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</si>
  <si>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</si>
  <si>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</si>
  <si>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</si>
  <si>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</si>
  <si>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</si>
  <si>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</si>
  <si>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</si>
  <si>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</si>
  <si>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</si>
  <si>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</si>
  <si>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</si>
  <si>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</si>
  <si>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</si>
  <si>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</si>
  <si>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</si>
  <si>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</si>
  <si>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</si>
  <si>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</si>
  <si>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</si>
  <si>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</si>
  <si>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</si>
  <si>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</si>
  <si>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</si>
  <si>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</si>
  <si>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</si>
  <si>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</si>
  <si>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</si>
  <si>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</si>
  <si>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</si>
  <si>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</si>
  <si>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</si>
  <si>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</si>
  <si>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</si>
  <si>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</si>
  <si>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</si>
  <si>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</si>
  <si>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</si>
  <si>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</si>
  <si>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</si>
  <si>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</si>
  <si>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</si>
  <si>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</si>
  <si>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</si>
  <si>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</si>
  <si>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</si>
  <si>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</si>
  <si>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</si>
  <si>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</si>
  <si>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</si>
  <si>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</si>
  <si>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</si>
  <si>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</si>
  <si>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</si>
  <si>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</si>
  <si>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</si>
  <si>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</si>
  <si>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</si>
  <si>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</si>
  <si>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</si>
  <si>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</si>
  <si>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</si>
  <si>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</si>
  <si>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</si>
  <si>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</si>
  <si>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</si>
  <si>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</si>
  <si>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</si>
  <si>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</si>
  <si>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</si>
  <si>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</si>
  <si>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</si>
  <si>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</si>
  <si>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</si>
  <si>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</si>
  <si>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</si>
  <si>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</si>
  <si>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</si>
  <si>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</si>
  <si>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</si>
  <si>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</si>
  <si>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</si>
  <si>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</si>
  <si>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</si>
  <si>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</si>
  <si>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</si>
  <si>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</si>
  <si>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</si>
  <si>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</si>
  <si>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</si>
  <si>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</si>
  <si>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</si>
  <si>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</si>
  <si>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</si>
  <si>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</si>
  <si>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</si>
  <si>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</si>
  <si>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</si>
  <si>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</si>
  <si>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</si>
  <si>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</si>
  <si>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</si>
  <si>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</si>
  <si>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</si>
  <si>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</si>
  <si>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</si>
  <si>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</si>
  <si>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</si>
  <si>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</si>
  <si>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</si>
  <si>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</si>
  <si>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</si>
  <si>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</si>
  <si>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</si>
  <si>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</si>
  <si>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</si>
  <si>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</si>
  <si>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</si>
  <si>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</si>
  <si>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</si>
  <si>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</si>
  <si>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</si>
  <si>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</si>
  <si>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</si>
  <si>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</si>
  <si>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</si>
  <si>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</si>
  <si>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</si>
  <si>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</si>
  <si>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</si>
  <si>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</si>
  <si>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</si>
  <si>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</si>
  <si>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</si>
  <si>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</si>
  <si>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</si>
  <si>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</si>
  <si>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</si>
  <si>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</si>
  <si>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</si>
  <si>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</si>
  <si>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</si>
  <si>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</si>
  <si>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</si>
  <si>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</si>
  <si>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</si>
  <si>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</si>
  <si>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</si>
  <si>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</si>
  <si>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</si>
  <si>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</si>
  <si>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</si>
  <si>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</si>
  <si>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</si>
  <si>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</si>
  <si>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</si>
  <si>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</si>
  <si>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</si>
  <si>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</si>
  <si>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</si>
  <si>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</si>
  <si>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</si>
  <si>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</si>
  <si>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</si>
  <si>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</si>
  <si>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</si>
  <si>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</si>
  <si>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</si>
  <si>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</si>
  <si>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</si>
  <si>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</si>
  <si>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</si>
  <si>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</si>
  <si>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</si>
  <si>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</si>
  <si>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</si>
  <si>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</si>
  <si>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</si>
  <si>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</si>
  <si>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</si>
  <si>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</si>
  <si>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</si>
  <si>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</si>
  <si>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</si>
  <si>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</si>
  <si>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</si>
  <si>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</si>
  <si>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</si>
  <si>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</si>
  <si>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</si>
  <si>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</si>
  <si>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</si>
  <si>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</si>
  <si>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</si>
  <si>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</si>
  <si>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</si>
  <si>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</si>
  <si>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</si>
  <si>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</si>
  <si>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</si>
  <si>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</si>
  <si>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</si>
  <si>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</si>
  <si>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</si>
  <si>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</si>
  <si>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</si>
  <si>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</si>
  <si>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</si>
  <si>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</si>
  <si>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</si>
  <si>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</si>
  <si>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</si>
  <si>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</si>
  <si>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</si>
  <si>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</si>
  <si>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</si>
  <si>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</si>
  <si>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</si>
  <si>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</si>
  <si>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</si>
  <si>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</si>
  <si>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</si>
  <si>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</si>
  <si>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</si>
  <si>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</si>
  <si>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</si>
  <si>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</si>
  <si>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</si>
  <si>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</si>
  <si>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</si>
  <si>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</si>
  <si>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</si>
  <si>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</si>
  <si>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</si>
  <si>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</si>
  <si>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</si>
  <si>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</si>
  <si>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</si>
  <si>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</si>
  <si>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</si>
  <si>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</si>
  <si>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</si>
  <si>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</si>
  <si>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</si>
  <si>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</si>
  <si>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</si>
  <si>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</si>
  <si>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</si>
  <si>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</si>
  <si>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</si>
  <si>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</si>
  <si>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</si>
  <si>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</si>
  <si>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</si>
  <si>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</si>
  <si>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</si>
  <si>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</si>
  <si>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</si>
  <si>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</si>
  <si>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</si>
  <si>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</si>
  <si>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</si>
  <si>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</si>
  <si>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</si>
  <si>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</si>
  <si>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</si>
  <si>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</si>
  <si>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</si>
  <si>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</si>
  <si>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</si>
  <si>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</si>
  <si>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</si>
  <si>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</si>
  <si>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</si>
  <si>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</si>
  <si>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</si>
  <si>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</si>
  <si>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</si>
  <si>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</si>
  <si>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</si>
  <si>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</si>
  <si>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</si>
  <si>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</si>
  <si>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</si>
  <si>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</si>
  <si>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</si>
  <si>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</si>
  <si>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</si>
  <si>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</si>
  <si>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</si>
  <si>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</si>
  <si>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</si>
  <si>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</si>
  <si>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</si>
  <si>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</si>
  <si>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</si>
  <si>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</si>
  <si>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</si>
  <si>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</si>
  <si>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</si>
  <si>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</si>
  <si>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</si>
  <si>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</si>
  <si>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</si>
  <si>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</si>
  <si>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</si>
  <si>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</si>
  <si>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</si>
  <si>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</si>
  <si>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</si>
  <si>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</si>
  <si>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</si>
  <si>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</si>
  <si>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</si>
  <si>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</si>
  <si>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</si>
  <si>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</si>
  <si>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</si>
  <si>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</si>
  <si>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</si>
  <si>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</si>
  <si>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</si>
  <si>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</si>
  <si>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</si>
  <si>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</si>
  <si>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</si>
  <si>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</si>
  <si>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</si>
  <si>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</si>
  <si>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</si>
  <si>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</si>
  <si>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</si>
  <si>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</si>
  <si>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</si>
  <si>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</si>
  <si>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</si>
  <si>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</si>
  <si>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</si>
  <si>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</si>
  <si>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</si>
  <si>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</si>
  <si>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</si>
  <si>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</si>
  <si>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</si>
  <si>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</si>
  <si>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</si>
  <si>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</si>
  <si>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</si>
  <si>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</si>
  <si>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</si>
  <si>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</si>
  <si>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</si>
  <si>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</si>
  <si>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</si>
  <si>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</si>
  <si>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</si>
  <si>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</si>
  <si>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</si>
  <si>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</si>
  <si>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</si>
  <si>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</si>
  <si>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</si>
  <si>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</si>
  <si>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</si>
  <si>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</si>
  <si>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</si>
  <si>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</si>
  <si>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</si>
  <si>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</si>
  <si>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</si>
  <si>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</si>
  <si>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</si>
  <si>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</si>
  <si>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</si>
  <si>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</si>
  <si>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</si>
  <si>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</si>
  <si>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</si>
  <si>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</si>
  <si>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</si>
  <si>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</si>
  <si>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</si>
  <si>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</si>
  <si>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</si>
  <si>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</si>
  <si>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</si>
  <si>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</si>
  <si>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</si>
  <si>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</si>
  <si>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</si>
  <si>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</si>
  <si>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</si>
  <si>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</si>
  <si>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</si>
  <si>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</si>
  <si>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</si>
  <si>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</si>
  <si>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</si>
  <si>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</si>
  <si>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</si>
  <si>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</si>
  <si>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</si>
  <si>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</si>
  <si>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</si>
  <si>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</si>
  <si>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</si>
  <si>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</si>
  <si>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</si>
  <si>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</si>
  <si>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</si>
  <si>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</si>
  <si>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</si>
  <si>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</si>
  <si>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</si>
  <si>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</si>
  <si>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</si>
  <si>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</si>
  <si>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</si>
  <si>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</si>
  <si>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</si>
  <si>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</si>
  <si>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</si>
  <si>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</si>
  <si>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</si>
  <si>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</si>
  <si>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</si>
  <si>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</si>
  <si>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</si>
  <si>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</si>
  <si>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</si>
  <si>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</si>
  <si>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</si>
  <si>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</si>
  <si>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</si>
  <si>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</si>
  <si>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</si>
  <si>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</si>
  <si>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</si>
  <si>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</si>
  <si>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</si>
  <si>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</si>
  <si>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</si>
  <si>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</si>
  <si>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</si>
  <si>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</si>
  <si>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</si>
  <si>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</si>
  <si>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</si>
  <si>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</si>
  <si>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</si>
  <si>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</si>
  <si>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</si>
  <si>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</si>
  <si>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</si>
  <si>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</si>
  <si>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</si>
  <si>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</si>
  <si>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</si>
  <si>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</si>
  <si>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</si>
  <si>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</si>
  <si>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</si>
  <si>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</si>
  <si>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</si>
  <si>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</si>
  <si>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</si>
  <si>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</si>
  <si>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</si>
  <si>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</si>
  <si>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</si>
  <si>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</si>
  <si>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</si>
  <si>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</si>
  <si>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</si>
  <si>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</si>
  <si>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</si>
  <si>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</si>
  <si>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</si>
  <si>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</si>
  <si>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</si>
  <si>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</si>
  <si>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</si>
  <si>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</si>
  <si>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</si>
  <si>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</si>
  <si>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</si>
  <si>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</si>
  <si>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</si>
  <si>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</si>
  <si>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</si>
  <si>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</si>
  <si>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</si>
  <si>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</si>
  <si>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</si>
  <si>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</si>
  <si>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</si>
  <si>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</si>
  <si>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</si>
  <si>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</si>
  <si>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</si>
  <si>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</si>
  <si>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</si>
  <si>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</si>
  <si>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</si>
  <si>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</si>
  <si>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</si>
  <si>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</si>
  <si>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</si>
  <si>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</si>
  <si>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</si>
  <si>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</si>
  <si>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</si>
  <si>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</si>
  <si>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</si>
  <si>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</si>
  <si>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</si>
  <si>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</si>
  <si>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</si>
  <si>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</si>
  <si>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</si>
  <si>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</si>
  <si>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</si>
  <si>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</si>
  <si>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</si>
  <si>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</si>
  <si>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</si>
  <si>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</si>
  <si>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</si>
  <si>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</si>
  <si>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</si>
  <si>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</si>
  <si>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</si>
  <si>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</si>
  <si>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</si>
  <si>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</si>
  <si>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</si>
  <si>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</si>
  <si>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</si>
  <si>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</si>
  <si>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</si>
  <si>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</si>
  <si>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</si>
  <si>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</si>
  <si>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</si>
  <si>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</si>
  <si>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</si>
  <si>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</si>
  <si>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</si>
  <si>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</si>
  <si>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</si>
  <si>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</si>
  <si>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</si>
  <si>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</si>
  <si>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</si>
  <si>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</si>
  <si>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</si>
  <si>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</si>
  <si>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</si>
  <si>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</si>
  <si>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</si>
  <si>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</si>
  <si>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</si>
  <si>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</si>
  <si>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</si>
  <si>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</si>
  <si>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</si>
  <si>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</si>
  <si>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</si>
  <si>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</si>
  <si>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</si>
  <si>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</si>
  <si>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</si>
  <si>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</si>
  <si>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</si>
  <si>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</si>
  <si>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</si>
  <si>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</si>
  <si>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</si>
  <si>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</si>
  <si>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</si>
  <si>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</si>
  <si>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</si>
  <si>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</si>
  <si>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</si>
  <si>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</si>
  <si>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</si>
  <si>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</si>
  <si>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</si>
  <si>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</si>
  <si>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</si>
  <si>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</si>
  <si>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</si>
  <si>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</si>
  <si>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</si>
  <si>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</si>
  <si>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</si>
  <si>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</si>
  <si>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</si>
  <si>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</si>
  <si>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</si>
  <si>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</si>
  <si>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</si>
  <si>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</si>
  <si>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</si>
  <si>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</si>
  <si>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</si>
  <si>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</si>
  <si>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</si>
  <si>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</si>
  <si>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</si>
  <si>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</si>
  <si>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</si>
  <si>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</si>
  <si>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</si>
  <si>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</si>
  <si>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</si>
  <si>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</si>
  <si>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</si>
  <si>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</si>
  <si>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</si>
  <si>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</si>
  <si>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</si>
  <si>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</si>
  <si>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</si>
  <si>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</si>
  <si>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</si>
  <si>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</si>
  <si>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</si>
  <si>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</si>
  <si>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</si>
  <si>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</si>
  <si>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</si>
  <si>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</si>
  <si>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</si>
  <si>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</si>
  <si>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</si>
  <si>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</si>
  <si>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</si>
  <si>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</si>
  <si>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</si>
  <si>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</si>
  <si>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</si>
  <si>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</si>
  <si>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</si>
  <si>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</si>
  <si>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</si>
  <si>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</si>
  <si>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</si>
  <si>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</si>
  <si>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</si>
  <si>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</si>
  <si>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</si>
  <si>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</si>
  <si>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</si>
  <si>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</si>
  <si>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</si>
  <si>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</si>
  <si>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</si>
  <si>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</si>
  <si>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</si>
  <si>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</si>
  <si>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</si>
  <si>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</si>
  <si>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</si>
  <si>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</si>
  <si>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</si>
  <si>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</si>
  <si>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</si>
  <si>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</si>
  <si>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</si>
  <si>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</si>
  <si>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</si>
  <si>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</si>
  <si>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</si>
  <si>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</si>
  <si>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</si>
  <si>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</si>
  <si>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</si>
  <si>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</si>
  <si>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</si>
  <si>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</si>
  <si>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</si>
  <si>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</si>
  <si>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</si>
  <si>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</si>
  <si>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</si>
  <si>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</si>
  <si>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</si>
  <si>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</si>
  <si>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</si>
  <si>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</si>
  <si>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</si>
  <si>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</si>
  <si>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</si>
  <si>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</si>
  <si>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</si>
  <si>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</si>
  <si>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</si>
  <si>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</si>
  <si>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</si>
  <si>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</si>
  <si>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</si>
  <si>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</si>
  <si>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</si>
  <si>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</si>
  <si>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</si>
  <si>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</si>
  <si>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</si>
  <si>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</si>
  <si>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</si>
  <si>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</si>
  <si>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</si>
  <si>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</si>
  <si>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</si>
  <si>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</si>
  <si>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</si>
  <si>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</si>
  <si>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</si>
  <si>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</si>
  <si>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</si>
  <si>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</si>
  <si>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</si>
  <si>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</si>
  <si>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</si>
  <si>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</si>
  <si>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</si>
  <si>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</si>
  <si>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</si>
  <si>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</si>
  <si>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</si>
  <si>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</si>
  <si>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</si>
  <si>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</si>
  <si>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</si>
  <si>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</si>
  <si>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</si>
  <si>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</si>
  <si>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</si>
  <si>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</si>
  <si>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</si>
  <si>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</si>
  <si>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</si>
  <si>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</si>
  <si>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</si>
  <si>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</si>
  <si>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</si>
  <si>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</si>
  <si>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</si>
  <si>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</si>
  <si>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</si>
  <si>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</si>
  <si>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</si>
  <si>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</si>
  <si>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</si>
  <si>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</si>
  <si>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</si>
  <si>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</si>
  <si>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</si>
  <si>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</si>
  <si>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</si>
  <si>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</si>
  <si>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</si>
  <si>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</si>
  <si>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</si>
  <si>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</si>
  <si>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</si>
  <si>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</si>
  <si>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</si>
  <si>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</si>
  <si>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</si>
  <si>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</si>
  <si>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</si>
  <si>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</si>
  <si>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</si>
  <si>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</si>
  <si>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</si>
  <si>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</si>
  <si>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</si>
  <si>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</si>
  <si>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</si>
  <si>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</si>
  <si>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</si>
  <si>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</si>
  <si>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</si>
  <si>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</si>
  <si>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</si>
  <si>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</si>
  <si>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</si>
  <si>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</si>
  <si>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</si>
  <si>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</si>
  <si>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</si>
  <si>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</si>
  <si>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</si>
  <si>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</si>
  <si>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</si>
  <si>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</si>
  <si>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</si>
  <si>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</si>
  <si>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</si>
  <si>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</si>
  <si>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</si>
  <si>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</si>
  <si>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</si>
  <si>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</si>
  <si>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</si>
  <si>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</si>
  <si>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</si>
  <si>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</si>
  <si>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</si>
  <si>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</si>
  <si>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</si>
  <si>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</si>
  <si>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</si>
  <si>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</si>
  <si>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</si>
  <si>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</si>
  <si>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</si>
  <si>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</si>
  <si>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</si>
  <si>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</si>
  <si>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</si>
  <si>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</si>
  <si>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</si>
  <si>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</si>
  <si>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</si>
  <si>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</si>
  <si>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</si>
  <si>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</si>
  <si>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</si>
  <si>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</si>
  <si>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SWHC044-08</t>
  </si>
  <si>
    <t>Ductless HVAC Fuel Sub</t>
  </si>
  <si>
    <t>SWHC044-08 Ductless HVAC Fuel Sub</t>
  </si>
  <si>
    <t>SWHC044 Ductless HVAC Fuel Sub_DMo_Ex</t>
  </si>
  <si>
    <t>RG-NCOH_equip-Boiler-AFUE84-FC</t>
  </si>
  <si>
    <t>RG-NCOH_equip-Boiler-AFUE84-Radiator</t>
  </si>
  <si>
    <t>RG-NCGF_eq-GasFurnace-AFUE67-NoFanPower</t>
  </si>
  <si>
    <t>RE-dxGF_eq-GasFurnace-AFUE67-NoFanPower-11.0-EER</t>
  </si>
  <si>
    <t>RE-dxHP_equip-spltSEER-16.0-SEER2-8.1-HSPF2</t>
  </si>
  <si>
    <t>RE-dxHP_equip-spltSEER-18.7-SEER2-8.7-HSPF2</t>
  </si>
  <si>
    <t>RE-dxHP_equip-spltSEER-20.5-SEER2-9.1-HSPF2</t>
  </si>
  <si>
    <t>SWHC044 Ductless HVAC Fuel Sub_MFm_Ex</t>
  </si>
  <si>
    <t>RE-dxHW_equip-Boiler-AFUE84-Radiator-11.0-EER</t>
  </si>
  <si>
    <t>RE-dxHW_equip-Boiler-AFUE84-FC-11.0-EER</t>
  </si>
  <si>
    <t>SWHC044 Ductless HVAC Fuel Sub_SFm_1975</t>
  </si>
  <si>
    <t>SWHC044 Ductless HVAC Fuel Sub_SFm_1985</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</si>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</sst>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4">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450556" y="1321596"/>
          <a:ext cx="7800975" cy="5595936"/>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54,'-2'2,"1"2,1-2,-1 2,-1 0,1-2,-1 2,-1-2,2-1,-2 3,-7 15,-29 54,29-57,2-2,1 5,1-3,-1 1,2 0,0 2,0 10,4-23,1 1,0 3,1-3,1-2,-1 6,0-3,1-3,1 2,0-1,0 0,1 3,-1-1,1-4,1 2,4 8,-5-10,1 1,-1-3,2 4,-1-2,0 1,1-1,-1-2,2 4,-1-3,-1-1,2 0,-1 2,1-2,-1 0,2 0,-1-1,0-1,4 1,43 0,-2-1,22-2,-69 2,-1-1,1 1,-2-1,2 1,-1-1,0 0,0-1,0-1,1 2,-2-1,1 0,-1 1,0-1,3 1,-5-5,3 5,0-2,-1-1,1-2,-1 0,0 3,1-1,-3-1,2-2,-2 1,3 1,-3 1,-1 0,1-5,-1 3,0-4,2 0,-1-1,1-3,1 3,0-3,0 4,2-3,0 2,0-2,4-3,-1 5,0-5,-1 3,0-7,0-4,-4 20,-1-4,-1 3,-1-1,1 1,-1-3,0 3,0-1,-1 1,1-2,-1 2,-1-2,-1 3,0-6,0 3,2 0,-3 3,0 2,1-2,0 0,-2 0,1-1,-1 3,1-2,-1 1,1 1,-1 0,0 0,-4-3,-3 0,1-2,-1 4,2 0,-3-1,1 2,-6 1,-24-5,31 3,1 1,-3 0,3 1,-1 0,-9 1,16 0,2 1,-3 0,2-1,-1 0,1 1,-2 1,4-1,-3-1,0 3,3-2,-3 0,2 2,-2-2,2 0,-1 1,1 1,0-1,-1 0,0 1,0 4,-2 1,-23 24,19-27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92,'-3'0,"0"2,0 2,2-3,-3 2,2-2,0 3,-1-2,0-1,2 0,-1 1,0-1,0 2,0-1,0 2,-1 2,-5 2,3 0,0 4,-1-3,2 0,-1 0,3 3,-3-5,3 4,0 2,1-5,-1 4,2-2,0 0,0 1,1 1,1-4,-1 3,2 3,0-9,0 0,0 3,0-3,1 2,-1-3,1 0,0 4,1-4,-1 1,1-1,1 0,0-1,1-1,-3 4,2-3,4 3,5 0,-1 2,3-3,-1 0,-1 0,0 0,10 1,6-2,0-3,2-1,-2 0,7 0,18 0,-44-1,-1 0,-1-2,1 1,0-2,1-1,-2 0,0 1,0 1,0-2,-1-2,7-1,42-22,-49 26,-2 1,0 2,-1-4,1 3,-1 0,1-1,-2-2,2 1,-3 0,3-2,-1 2,-2 0,1-1,-1 0,1-1,1-2,0 1,-5-2,4 3,-4-1,3 0,-2 1,0 0,0-2,-1 1,0 0,0-2,-1 1,-1-1,0 4,0-2,-1-1,1 2,-2-1,2-1,-3 1,1-1,1 1,-3 1,1 0,-3-5,-10-17,15 22,0 2,0 0,-1-1,0 2,0-1,0 0,-1 2,1-4,-1 2,0 2,0-2,0 1,-1 1,1-2,-1-2,0 4,0 0,-2-1,-24-3,1 1,-2 1,0 0,1 3,-1 0,-29 3,-4-2,56 0,2 1,0 0,-2 1,2-2,1 2,-3 0,2 1,0-2,1 0,0 2,-1 2,-1-2,-2 7,1-5,0 1,0 0,1 2,1-2,-1 2,-2 3,2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5" x14ac:dyDescent="0.25"/>
  <sheetData>
    <row r="1" spans="1:2" x14ac:dyDescent="0.25">
      <c r="A1" s="2" t="s">
        <v>0</v>
      </c>
    </row>
    <row r="3" spans="1:2" x14ac:dyDescent="0.25">
      <c r="A3" t="s">
        <v>1</v>
      </c>
    </row>
    <row r="4" spans="1:2" x14ac:dyDescent="0.25">
      <c r="A4" t="s">
        <v>2</v>
      </c>
    </row>
    <row r="6" spans="1:2" x14ac:dyDescent="0.25">
      <c r="A6" t="s">
        <v>3</v>
      </c>
    </row>
    <row r="7" spans="1:2" x14ac:dyDescent="0.25">
      <c r="A7" t="s">
        <v>4</v>
      </c>
      <c r="B7" t="s">
        <v>5</v>
      </c>
    </row>
    <row r="8" spans="1:2" x14ac:dyDescent="0.25">
      <c r="B8" t="s">
        <v>6</v>
      </c>
    </row>
    <row r="9" spans="1:2" x14ac:dyDescent="0.25">
      <c r="B9" t="s">
        <v>7</v>
      </c>
    </row>
    <row r="10" spans="1:2" x14ac:dyDescent="0.25">
      <c r="B10" t="s">
        <v>8</v>
      </c>
    </row>
    <row r="12" spans="1:2" x14ac:dyDescent="0.25">
      <c r="A12" t="s">
        <v>9</v>
      </c>
    </row>
    <row r="29" spans="1:1" x14ac:dyDescent="0.25">
      <c r="A29" s="2" t="s">
        <v>10</v>
      </c>
    </row>
    <row r="31" spans="1:1" x14ac:dyDescent="0.25">
      <c r="A31" t="s">
        <v>11</v>
      </c>
    </row>
    <row r="32" spans="1:1" x14ac:dyDescent="0.25">
      <c r="A32" t="s">
        <v>12</v>
      </c>
    </row>
    <row r="33" spans="1:1" x14ac:dyDescent="0.25">
      <c r="A33" t="s">
        <v>13</v>
      </c>
    </row>
    <row r="34" spans="1:1" x14ac:dyDescent="0.25">
      <c r="A34" t="s">
        <v>14</v>
      </c>
    </row>
    <row r="38" spans="1:1" x14ac:dyDescent="0.25">
      <c r="A38" s="27" t="s">
        <v>15</v>
      </c>
    </row>
    <row r="39" spans="1:1" x14ac:dyDescent="0.25">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891"/>
  <sheetViews>
    <sheetView tabSelected="1" topLeftCell="J1" workbookViewId="0">
      <pane ySplit="5" topLeftCell="A878" activePane="bottomLeft" state="frozen"/>
      <selection pane="bottomLeft" activeCell="N880" sqref="N880:N891"/>
    </sheetView>
  </sheetViews>
  <sheetFormatPr defaultRowHeight="15" outlineLevelCol="1" x14ac:dyDescent="0.25"/>
  <cols>
    <col min="1" max="3" width="24.42578125" customWidth="1"/>
    <col min="4" max="4" width="33.85546875" customWidth="1"/>
    <col min="5" max="5" width="41.5703125" customWidth="1"/>
    <col min="6" max="6" width="41.42578125" customWidth="1"/>
    <col min="7" max="7" width="34.42578125" customWidth="1"/>
    <col min="8" max="8" width="34.5703125" bestFit="1" customWidth="1"/>
    <col min="9" max="9" width="34" bestFit="1" customWidth="1"/>
    <col min="10" max="10" width="39.42578125" bestFit="1" customWidth="1"/>
    <col min="11" max="11" width="34.5703125" customWidth="1" outlineLevel="1"/>
    <col min="12" max="12" width="29.42578125" customWidth="1" outlineLevel="1"/>
    <col min="13" max="13" width="37.42578125" customWidth="1" outlineLevel="1"/>
    <col min="14" max="14" width="71.140625" customWidth="1"/>
    <col min="15" max="15" width="11.140625" bestFit="1" customWidth="1"/>
    <col min="16" max="17" width="11.5703125" bestFit="1" customWidth="1"/>
    <col min="18" max="18" width="10.5703125" bestFit="1" customWidth="1"/>
    <col min="19" max="19" width="19.5703125" customWidth="1"/>
    <col min="20" max="20" width="31.5703125" customWidth="1"/>
    <col min="21" max="21" width="28.5703125" bestFit="1" customWidth="1"/>
    <col min="22" max="22" width="16" bestFit="1" customWidth="1"/>
    <col min="23" max="23" width="14.5703125" bestFit="1" customWidth="1"/>
    <col min="24" max="24" width="17.5703125" bestFit="1" customWidth="1"/>
    <col min="25" max="25" width="16.5703125" bestFit="1" customWidth="1"/>
    <col min="26" max="26" width="22.140625" customWidth="1"/>
    <col min="27" max="27" width="11" customWidth="1"/>
    <col min="28" max="28" width="31.85546875" customWidth="1"/>
    <col min="29" max="29" width="11.5703125" customWidth="1"/>
    <col min="30" max="30" width="20.85546875" customWidth="1"/>
    <col min="33" max="33" width="8.85546875" customWidth="1"/>
  </cols>
  <sheetData>
    <row r="2" spans="1:33" x14ac:dyDescent="0.25">
      <c r="AF2" s="36"/>
    </row>
    <row r="3" spans="1:33" x14ac:dyDescent="0.25">
      <c r="A3" t="s">
        <v>17</v>
      </c>
    </row>
    <row r="4" spans="1:33" ht="15.75" thickBot="1" x14ac:dyDescent="0.3">
      <c r="H4" s="52" t="s">
        <v>18</v>
      </c>
      <c r="I4" s="52"/>
      <c r="J4" s="52"/>
      <c r="K4" s="52" t="s">
        <v>19</v>
      </c>
      <c r="L4" s="52"/>
      <c r="M4" s="52"/>
      <c r="N4" s="1" t="s">
        <v>20</v>
      </c>
    </row>
    <row r="5" spans="1:33" ht="30.75" thickBot="1" x14ac:dyDescent="0.3">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25">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25">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25">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25">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25">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25">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25">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25">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25">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25">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25">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25">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25">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25">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25">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25">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25">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25">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25">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25">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25">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25">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25">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25">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25">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25">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25">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25">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25">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25">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25">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25">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25">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25">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25">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25">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25">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25">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25">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25">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25">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hidden="1" x14ac:dyDescent="0.25">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hidden="1" x14ac:dyDescent="0.25">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25">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25">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25">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25">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hidden="1" x14ac:dyDescent="0.25">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25">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25">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25">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25">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25">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25">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25">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25">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25">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25">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25">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25">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25">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25">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25">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25">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25">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25">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25">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25">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25">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25">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25">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25">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25">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25">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25">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25">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25">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25">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25">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25">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25">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25">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25">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25">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25">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25">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25">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25">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25">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25">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25">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25">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25">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25">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25">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25">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25">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25">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25">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25">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25">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25">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25">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25">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25">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25">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25">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25">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25">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25">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25">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25">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25">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25">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25">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25">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25">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25">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25">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25">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25">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25">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25">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25">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25">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25">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25">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25">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25">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25">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25">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25">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25">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25">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25">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25">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25">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25">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25">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25">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25">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25">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25">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hidden="1" x14ac:dyDescent="0.25">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hidden="1" x14ac:dyDescent="0.25">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hidden="1" x14ac:dyDescent="0.25">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hidden="1" x14ac:dyDescent="0.25">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hidden="1" x14ac:dyDescent="0.25">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hidden="1" x14ac:dyDescent="0.25">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hidden="1" x14ac:dyDescent="0.25">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hidden="1" x14ac:dyDescent="0.25">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hidden="1" x14ac:dyDescent="0.25">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hidden="1" x14ac:dyDescent="0.25">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hidden="1" x14ac:dyDescent="0.25">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hidden="1" x14ac:dyDescent="0.25">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hidden="1" x14ac:dyDescent="0.25">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hidden="1" x14ac:dyDescent="0.25">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hidden="1" x14ac:dyDescent="0.25">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hidden="1" x14ac:dyDescent="0.25">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hidden="1" x14ac:dyDescent="0.25">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hidden="1" x14ac:dyDescent="0.25">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hidden="1" x14ac:dyDescent="0.25">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hidden="1" x14ac:dyDescent="0.25">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hidden="1" x14ac:dyDescent="0.25">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hidden="1" x14ac:dyDescent="0.25">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hidden="1" x14ac:dyDescent="0.25">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hidden="1" x14ac:dyDescent="0.25">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hidden="1" x14ac:dyDescent="0.25">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hidden="1" x14ac:dyDescent="0.25">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hidden="1" x14ac:dyDescent="0.25">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hidden="1" x14ac:dyDescent="0.25">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hidden="1" x14ac:dyDescent="0.25">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hidden="1" x14ac:dyDescent="0.25">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hidden="1" x14ac:dyDescent="0.25">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hidden="1" x14ac:dyDescent="0.25">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hidden="1" x14ac:dyDescent="0.25">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hidden="1" x14ac:dyDescent="0.25">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hidden="1" x14ac:dyDescent="0.25">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hidden="1" x14ac:dyDescent="0.25">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hidden="1" x14ac:dyDescent="0.25">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hidden="1" x14ac:dyDescent="0.25">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hidden="1" x14ac:dyDescent="0.25">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hidden="1" x14ac:dyDescent="0.25">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hidden="1" x14ac:dyDescent="0.25">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hidden="1" x14ac:dyDescent="0.25">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hidden="1" x14ac:dyDescent="0.25">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hidden="1" x14ac:dyDescent="0.25">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hidden="1" x14ac:dyDescent="0.25">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hidden="1" x14ac:dyDescent="0.25">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hidden="1" x14ac:dyDescent="0.25">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hidden="1" x14ac:dyDescent="0.25">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hidden="1" x14ac:dyDescent="0.25">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hidden="1" x14ac:dyDescent="0.25">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hidden="1" x14ac:dyDescent="0.25">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hidden="1" x14ac:dyDescent="0.25">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hidden="1" x14ac:dyDescent="0.25">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hidden="1" x14ac:dyDescent="0.25">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hidden="1" x14ac:dyDescent="0.25">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hidden="1" x14ac:dyDescent="0.25">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hidden="1" x14ac:dyDescent="0.25">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hidden="1" x14ac:dyDescent="0.25">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hidden="1" x14ac:dyDescent="0.25">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hidden="1" x14ac:dyDescent="0.25">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hidden="1" x14ac:dyDescent="0.25">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hidden="1" x14ac:dyDescent="0.25">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hidden="1" x14ac:dyDescent="0.25">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hidden="1" x14ac:dyDescent="0.25">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hidden="1" x14ac:dyDescent="0.25">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hidden="1" x14ac:dyDescent="0.25">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hidden="1" x14ac:dyDescent="0.25">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hidden="1" x14ac:dyDescent="0.25">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hidden="1" x14ac:dyDescent="0.25">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4"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hidden="1" x14ac:dyDescent="0.25">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hidden="1" x14ac:dyDescent="0.25">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hidden="1" x14ac:dyDescent="0.25">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hidden="1" x14ac:dyDescent="0.25">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hidden="1" x14ac:dyDescent="0.25">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hidden="1" x14ac:dyDescent="0.25">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hidden="1" x14ac:dyDescent="0.25">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hidden="1" x14ac:dyDescent="0.25">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hidden="1" x14ac:dyDescent="0.25">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hidden="1" x14ac:dyDescent="0.25">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hidden="1" x14ac:dyDescent="0.25">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hidden="1" x14ac:dyDescent="0.25">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hidden="1" x14ac:dyDescent="0.25">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hidden="1" x14ac:dyDescent="0.25">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hidden="1" x14ac:dyDescent="0.25">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hidden="1" x14ac:dyDescent="0.25">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hidden="1" x14ac:dyDescent="0.25">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hidden="1" x14ac:dyDescent="0.25">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IF(S235="No", O235&amp;"&amp;"&amp;P235&amp;"&amp;"&amp;Q235&amp;"&amp;"&amp;R235&amp;"&amp;"&amp;T235,   O235&amp;"&amp;"&amp;P235&amp;"&amp;"&amp;Q235&amp;"&amp;"&amp;R235&amp;"&amp;"&amp;T235&amp;"&amp;"&amp;U235)</f>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hidden="1" x14ac:dyDescent="0.25">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hidden="1" x14ac:dyDescent="0.25">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hidden="1" x14ac:dyDescent="0.25">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hidden="1" x14ac:dyDescent="0.25">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hidden="1" x14ac:dyDescent="0.25">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hidden="1" x14ac:dyDescent="0.25">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hidden="1" x14ac:dyDescent="0.25">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hidden="1" x14ac:dyDescent="0.25">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hidden="1" x14ac:dyDescent="0.25">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hidden="1" x14ac:dyDescent="0.25">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hidden="1" x14ac:dyDescent="0.25">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hidden="1" x14ac:dyDescent="0.25">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hidden="1" x14ac:dyDescent="0.25">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hidden="1" x14ac:dyDescent="0.25">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hidden="1" x14ac:dyDescent="0.25">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hidden="1" x14ac:dyDescent="0.25">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hidden="1" x14ac:dyDescent="0.25">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hidden="1" x14ac:dyDescent="0.25">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hidden="1" x14ac:dyDescent="0.25">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hidden="1" x14ac:dyDescent="0.25">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hidden="1" x14ac:dyDescent="0.25">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hidden="1" x14ac:dyDescent="0.25">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hidden="1" x14ac:dyDescent="0.25">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hidden="1" x14ac:dyDescent="0.25">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hidden="1" x14ac:dyDescent="0.25">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hidden="1" x14ac:dyDescent="0.25">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hidden="1" x14ac:dyDescent="0.25">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hidden="1" x14ac:dyDescent="0.25">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hidden="1" x14ac:dyDescent="0.25">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hidden="1" x14ac:dyDescent="0.25">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hidden="1" x14ac:dyDescent="0.25">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hidden="1" x14ac:dyDescent="0.25">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hidden="1" x14ac:dyDescent="0.25">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hidden="1" x14ac:dyDescent="0.25">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hidden="1" x14ac:dyDescent="0.25">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hidden="1" x14ac:dyDescent="0.25">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hidden="1" x14ac:dyDescent="0.25">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hidden="1" x14ac:dyDescent="0.25">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hidden="1" x14ac:dyDescent="0.25">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hidden="1" x14ac:dyDescent="0.25">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hidden="1" x14ac:dyDescent="0.25">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hidden="1" x14ac:dyDescent="0.25">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hidden="1" x14ac:dyDescent="0.25">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hidden="1" x14ac:dyDescent="0.25">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hidden="1" x14ac:dyDescent="0.25">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hidden="1" x14ac:dyDescent="0.25">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hidden="1" x14ac:dyDescent="0.25">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hidden="1" x14ac:dyDescent="0.25">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hidden="1" x14ac:dyDescent="0.25">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hidden="1" x14ac:dyDescent="0.25">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hidden="1" x14ac:dyDescent="0.25">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hidden="1" x14ac:dyDescent="0.25">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hidden="1" x14ac:dyDescent="0.25">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hidden="1" x14ac:dyDescent="0.25">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hidden="1" x14ac:dyDescent="0.25">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hidden="1" x14ac:dyDescent="0.25">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hidden="1" x14ac:dyDescent="0.25">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hidden="1" x14ac:dyDescent="0.25">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hidden="1" x14ac:dyDescent="0.25">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hidden="1" x14ac:dyDescent="0.25">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hidden="1" x14ac:dyDescent="0.25">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hidden="1" x14ac:dyDescent="0.25">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hidden="1" x14ac:dyDescent="0.25">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hidden="1" x14ac:dyDescent="0.25">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hidden="1" x14ac:dyDescent="0.25">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hidden="1" x14ac:dyDescent="0.25">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hidden="1" x14ac:dyDescent="0.25">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hidden="1" x14ac:dyDescent="0.25">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hidden="1" x14ac:dyDescent="0.25">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hidden="1" x14ac:dyDescent="0.25">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hidden="1" x14ac:dyDescent="0.25">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hidden="1" x14ac:dyDescent="0.25">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hidden="1" x14ac:dyDescent="0.25">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hidden="1" x14ac:dyDescent="0.25">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hidden="1" x14ac:dyDescent="0.25">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hidden="1" x14ac:dyDescent="0.25">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hidden="1" x14ac:dyDescent="0.25">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hidden="1" x14ac:dyDescent="0.25">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hidden="1" x14ac:dyDescent="0.25">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hidden="1" x14ac:dyDescent="0.25">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hidden="1" x14ac:dyDescent="0.25">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hidden="1" x14ac:dyDescent="0.25">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hidden="1" x14ac:dyDescent="0.25">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hidden="1" x14ac:dyDescent="0.25">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hidden="1" x14ac:dyDescent="0.25">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hidden="1" x14ac:dyDescent="0.25">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hidden="1" x14ac:dyDescent="0.25">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hidden="1" x14ac:dyDescent="0.25">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hidden="1" x14ac:dyDescent="0.25">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hidden="1" x14ac:dyDescent="0.25">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hidden="1" x14ac:dyDescent="0.25">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hidden="1" x14ac:dyDescent="0.25">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hidden="1" x14ac:dyDescent="0.25">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hidden="1" x14ac:dyDescent="0.25">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hidden="1" x14ac:dyDescent="0.25">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hidden="1" x14ac:dyDescent="0.25">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hidden="1" x14ac:dyDescent="0.25">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hidden="1" x14ac:dyDescent="0.25">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hidden="1" x14ac:dyDescent="0.25">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hidden="1" x14ac:dyDescent="0.25">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hidden="1" x14ac:dyDescent="0.25">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hidden="1" x14ac:dyDescent="0.25">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hidden="1" x14ac:dyDescent="0.25">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hidden="1" x14ac:dyDescent="0.25">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hidden="1" x14ac:dyDescent="0.25">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hidden="1" x14ac:dyDescent="0.25">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hidden="1" x14ac:dyDescent="0.25">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hidden="1" x14ac:dyDescent="0.25">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hidden="1" x14ac:dyDescent="0.25">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hidden="1" x14ac:dyDescent="0.25">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hidden="1" x14ac:dyDescent="0.25">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hidden="1" x14ac:dyDescent="0.25">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hidden="1" x14ac:dyDescent="0.25">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hidden="1" x14ac:dyDescent="0.25">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hidden="1" x14ac:dyDescent="0.25">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hidden="1" x14ac:dyDescent="0.25">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hidden="1" x14ac:dyDescent="0.25">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hidden="1" x14ac:dyDescent="0.25">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hidden="1" x14ac:dyDescent="0.25">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hidden="1" x14ac:dyDescent="0.25">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hidden="1" x14ac:dyDescent="0.25">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hidden="1" x14ac:dyDescent="0.25">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hidden="1" x14ac:dyDescent="0.25">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hidden="1" x14ac:dyDescent="0.25">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hidden="1" x14ac:dyDescent="0.25">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hidden="1" x14ac:dyDescent="0.25">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hidden="1" x14ac:dyDescent="0.25">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hidden="1" x14ac:dyDescent="0.25">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hidden="1" x14ac:dyDescent="0.25">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hidden="1" x14ac:dyDescent="0.25">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hidden="1" x14ac:dyDescent="0.25">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hidden="1" x14ac:dyDescent="0.25">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hidden="1" x14ac:dyDescent="0.25">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hidden="1" x14ac:dyDescent="0.25">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hidden="1" x14ac:dyDescent="0.25">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hidden="1" x14ac:dyDescent="0.25">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hidden="1" x14ac:dyDescent="0.25">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hidden="1" x14ac:dyDescent="0.25">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hidden="1" x14ac:dyDescent="0.25">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hidden="1" x14ac:dyDescent="0.25">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hidden="1" x14ac:dyDescent="0.25">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25">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hidden="1" x14ac:dyDescent="0.25">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hidden="1" x14ac:dyDescent="0.25">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hidden="1" x14ac:dyDescent="0.25">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hidden="1" x14ac:dyDescent="0.25">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hidden="1" x14ac:dyDescent="0.25">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hidden="1" x14ac:dyDescent="0.25">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hidden="1" x14ac:dyDescent="0.25">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hidden="1" x14ac:dyDescent="0.25">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hidden="1" x14ac:dyDescent="0.25">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hidden="1" x14ac:dyDescent="0.25">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hidden="1" x14ac:dyDescent="0.25">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hidden="1" x14ac:dyDescent="0.25">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hidden="1" x14ac:dyDescent="0.25">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hidden="1" x14ac:dyDescent="0.25">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hidden="1" x14ac:dyDescent="0.25">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hidden="1" x14ac:dyDescent="0.25">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hidden="1" x14ac:dyDescent="0.25">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hidden="1" x14ac:dyDescent="0.25">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hidden="1" x14ac:dyDescent="0.25">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hidden="1" x14ac:dyDescent="0.25">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hidden="1" x14ac:dyDescent="0.25">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hidden="1" x14ac:dyDescent="0.25">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hidden="1" x14ac:dyDescent="0.25">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hidden="1" x14ac:dyDescent="0.25">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hidden="1" x14ac:dyDescent="0.25">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hidden="1" x14ac:dyDescent="0.25">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hidden="1" x14ac:dyDescent="0.25">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hidden="1" x14ac:dyDescent="0.25">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hidden="1" x14ac:dyDescent="0.25">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hidden="1" x14ac:dyDescent="0.25">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hidden="1" x14ac:dyDescent="0.25">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hidden="1" x14ac:dyDescent="0.25">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hidden="1" x14ac:dyDescent="0.25">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hidden="1" x14ac:dyDescent="0.25">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hidden="1" x14ac:dyDescent="0.25">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hidden="1" x14ac:dyDescent="0.25">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hidden="1" x14ac:dyDescent="0.25">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hidden="1" x14ac:dyDescent="0.25">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hidden="1" x14ac:dyDescent="0.25">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hidden="1" x14ac:dyDescent="0.25">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hidden="1" x14ac:dyDescent="0.25">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hidden="1" x14ac:dyDescent="0.25">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hidden="1" x14ac:dyDescent="0.25">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hidden="1" x14ac:dyDescent="0.25">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hidden="1" x14ac:dyDescent="0.25">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hidden="1" x14ac:dyDescent="0.25">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hidden="1" x14ac:dyDescent="0.25">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hidden="1" x14ac:dyDescent="0.25">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hidden="1" x14ac:dyDescent="0.25">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hidden="1" x14ac:dyDescent="0.25">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hidden="1" x14ac:dyDescent="0.25">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hidden="1" x14ac:dyDescent="0.25">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hidden="1" x14ac:dyDescent="0.25">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hidden="1" x14ac:dyDescent="0.25">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hidden="1" x14ac:dyDescent="0.25">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hidden="1" x14ac:dyDescent="0.25">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hidden="1" x14ac:dyDescent="0.25">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hidden="1" x14ac:dyDescent="0.25">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hidden="1" x14ac:dyDescent="0.25">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hidden="1" x14ac:dyDescent="0.25">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hidden="1" x14ac:dyDescent="0.25">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hidden="1" x14ac:dyDescent="0.25">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hidden="1" x14ac:dyDescent="0.25">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hidden="1" x14ac:dyDescent="0.25">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hidden="1" x14ac:dyDescent="0.25">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hidden="1" x14ac:dyDescent="0.25">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hidden="1" x14ac:dyDescent="0.25">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hidden="1" x14ac:dyDescent="0.25">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hidden="1" x14ac:dyDescent="0.25">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hidden="1" x14ac:dyDescent="0.25">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hidden="1" x14ac:dyDescent="0.25">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hidden="1" x14ac:dyDescent="0.25">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hidden="1" x14ac:dyDescent="0.25">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hidden="1" x14ac:dyDescent="0.25">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hidden="1" x14ac:dyDescent="0.25">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hidden="1" x14ac:dyDescent="0.25">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hidden="1" x14ac:dyDescent="0.25">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hidden="1" x14ac:dyDescent="0.25">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hidden="1" x14ac:dyDescent="0.25">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hidden="1" x14ac:dyDescent="0.25">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hidden="1" x14ac:dyDescent="0.25">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hidden="1" x14ac:dyDescent="0.25">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hidden="1" x14ac:dyDescent="0.25">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hidden="1" x14ac:dyDescent="0.25">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hidden="1" x14ac:dyDescent="0.25">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hidden="1" x14ac:dyDescent="0.25">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hidden="1" x14ac:dyDescent="0.25">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hidden="1" x14ac:dyDescent="0.25">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hidden="1" x14ac:dyDescent="0.25">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hidden="1" x14ac:dyDescent="0.25">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hidden="1" x14ac:dyDescent="0.25">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hidden="1" x14ac:dyDescent="0.25">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hidden="1" x14ac:dyDescent="0.25">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hidden="1" x14ac:dyDescent="0.25">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hidden="1" x14ac:dyDescent="0.25">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hidden="1" x14ac:dyDescent="0.25">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hidden="1" x14ac:dyDescent="0.25">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hidden="1" x14ac:dyDescent="0.25">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hidden="1" x14ac:dyDescent="0.25">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hidden="1" x14ac:dyDescent="0.25">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hidden="1" x14ac:dyDescent="0.25">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hidden="1" x14ac:dyDescent="0.25">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hidden="1" x14ac:dyDescent="0.25">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hidden="1" x14ac:dyDescent="0.25">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hidden="1" x14ac:dyDescent="0.25">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hidden="1" x14ac:dyDescent="0.25">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hidden="1" x14ac:dyDescent="0.25">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hidden="1" x14ac:dyDescent="0.25">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hidden="1" x14ac:dyDescent="0.25">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hidden="1" x14ac:dyDescent="0.25">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25">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hidden="1" x14ac:dyDescent="0.25">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hidden="1" x14ac:dyDescent="0.25">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hidden="1" x14ac:dyDescent="0.25">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hidden="1" x14ac:dyDescent="0.25">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hidden="1" x14ac:dyDescent="0.25">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hidden="1" x14ac:dyDescent="0.25">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hidden="1" x14ac:dyDescent="0.25">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hidden="1" x14ac:dyDescent="0.25">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hidden="1" x14ac:dyDescent="0.25">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hidden="1" x14ac:dyDescent="0.25">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hidden="1" x14ac:dyDescent="0.25">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hidden="1" x14ac:dyDescent="0.25">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hidden="1" x14ac:dyDescent="0.25">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hidden="1" x14ac:dyDescent="0.25">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hidden="1" x14ac:dyDescent="0.25">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hidden="1" x14ac:dyDescent="0.25">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hidden="1" x14ac:dyDescent="0.25">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hidden="1" x14ac:dyDescent="0.25">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hidden="1" x14ac:dyDescent="0.25">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hidden="1" x14ac:dyDescent="0.25">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hidden="1" x14ac:dyDescent="0.25">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hidden="1" x14ac:dyDescent="0.25">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hidden="1" x14ac:dyDescent="0.25">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hidden="1" x14ac:dyDescent="0.25">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hidden="1" x14ac:dyDescent="0.25">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hidden="1" x14ac:dyDescent="0.25">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hidden="1" x14ac:dyDescent="0.25">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hidden="1" x14ac:dyDescent="0.25">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hidden="1" x14ac:dyDescent="0.25">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hidden="1" x14ac:dyDescent="0.25">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hidden="1" x14ac:dyDescent="0.25">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hidden="1" x14ac:dyDescent="0.25">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hidden="1" x14ac:dyDescent="0.25">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hidden="1" x14ac:dyDescent="0.25">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hidden="1" x14ac:dyDescent="0.25">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hidden="1" x14ac:dyDescent="0.25">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hidden="1" x14ac:dyDescent="0.25">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hidden="1" x14ac:dyDescent="0.25">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hidden="1" x14ac:dyDescent="0.25">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hidden="1" x14ac:dyDescent="0.25">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hidden="1" x14ac:dyDescent="0.25">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hidden="1" x14ac:dyDescent="0.25">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hidden="1" x14ac:dyDescent="0.25">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hidden="1" x14ac:dyDescent="0.25">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hidden="1" x14ac:dyDescent="0.25">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hidden="1" x14ac:dyDescent="0.25">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hidden="1" x14ac:dyDescent="0.25">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hidden="1" x14ac:dyDescent="0.25">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hidden="1" x14ac:dyDescent="0.25">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hidden="1" x14ac:dyDescent="0.25">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hidden="1" x14ac:dyDescent="0.25">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hidden="1" x14ac:dyDescent="0.25">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hidden="1" x14ac:dyDescent="0.25">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hidden="1" x14ac:dyDescent="0.25">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hidden="1" x14ac:dyDescent="0.25">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hidden="1" x14ac:dyDescent="0.25">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hidden="1" x14ac:dyDescent="0.25">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hidden="1" x14ac:dyDescent="0.25">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hidden="1" x14ac:dyDescent="0.25">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hidden="1" x14ac:dyDescent="0.25">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hidden="1" x14ac:dyDescent="0.25">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hidden="1" x14ac:dyDescent="0.25">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hidden="1" x14ac:dyDescent="0.25">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hidden="1" x14ac:dyDescent="0.25">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hidden="1" x14ac:dyDescent="0.25">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hidden="1" x14ac:dyDescent="0.25">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hidden="1" x14ac:dyDescent="0.25">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hidden="1" x14ac:dyDescent="0.25">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hidden="1" x14ac:dyDescent="0.25">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hidden="1" x14ac:dyDescent="0.25">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hidden="1" x14ac:dyDescent="0.25">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hidden="1" x14ac:dyDescent="0.25">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hidden="1" x14ac:dyDescent="0.25">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hidden="1" x14ac:dyDescent="0.25">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hidden="1" x14ac:dyDescent="0.25">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hidden="1" x14ac:dyDescent="0.25">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hidden="1" x14ac:dyDescent="0.25">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hidden="1" x14ac:dyDescent="0.25">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hidden="1" x14ac:dyDescent="0.25">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hidden="1" x14ac:dyDescent="0.25">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hidden="1" x14ac:dyDescent="0.25">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hidden="1" x14ac:dyDescent="0.25">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hidden="1" x14ac:dyDescent="0.25">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hidden="1" x14ac:dyDescent="0.25">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hidden="1" x14ac:dyDescent="0.25">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hidden="1" x14ac:dyDescent="0.25">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hidden="1" x14ac:dyDescent="0.25">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hidden="1" x14ac:dyDescent="0.25">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hidden="1" x14ac:dyDescent="0.25">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hidden="1" x14ac:dyDescent="0.25">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hidden="1" x14ac:dyDescent="0.25">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hidden="1" x14ac:dyDescent="0.25">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hidden="1" x14ac:dyDescent="0.25">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hidden="1" x14ac:dyDescent="0.25">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hidden="1" x14ac:dyDescent="0.25">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hidden="1" x14ac:dyDescent="0.25">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hidden="1" x14ac:dyDescent="0.25">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hidden="1" x14ac:dyDescent="0.25">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hidden="1" x14ac:dyDescent="0.25">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hidden="1" x14ac:dyDescent="0.25">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hidden="1" x14ac:dyDescent="0.25">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hidden="1" x14ac:dyDescent="0.25">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hidden="1" x14ac:dyDescent="0.25">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hidden="1" x14ac:dyDescent="0.25">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hidden="1" x14ac:dyDescent="0.25">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hidden="1" x14ac:dyDescent="0.25">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hidden="1" x14ac:dyDescent="0.25">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hidden="1" x14ac:dyDescent="0.25">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hidden="1" x14ac:dyDescent="0.25">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hidden="1" x14ac:dyDescent="0.25">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hidden="1" x14ac:dyDescent="0.25">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hidden="1" x14ac:dyDescent="0.25">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hidden="1" x14ac:dyDescent="0.25">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hidden="1" x14ac:dyDescent="0.25">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hidden="1" x14ac:dyDescent="0.25">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hidden="1" x14ac:dyDescent="0.25">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hidden="1" x14ac:dyDescent="0.25">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hidden="1" x14ac:dyDescent="0.25">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hidden="1" x14ac:dyDescent="0.25">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hidden="1" x14ac:dyDescent="0.25">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hidden="1" x14ac:dyDescent="0.25">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hidden="1" x14ac:dyDescent="0.25">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hidden="1" x14ac:dyDescent="0.25">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hidden="1" x14ac:dyDescent="0.25">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hidden="1" x14ac:dyDescent="0.25">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hidden="1" x14ac:dyDescent="0.25">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hidden="1" x14ac:dyDescent="0.25">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hidden="1" x14ac:dyDescent="0.25">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hidden="1" x14ac:dyDescent="0.25">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hidden="1" x14ac:dyDescent="0.25">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hidden="1" x14ac:dyDescent="0.25">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hidden="1" x14ac:dyDescent="0.25">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hidden="1" x14ac:dyDescent="0.25">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hidden="1" x14ac:dyDescent="0.25">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hidden="1" x14ac:dyDescent="0.25">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hidden="1" x14ac:dyDescent="0.25">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hidden="1" x14ac:dyDescent="0.25">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hidden="1" x14ac:dyDescent="0.25">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hidden="1" x14ac:dyDescent="0.25">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hidden="1" x14ac:dyDescent="0.25">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hidden="1" x14ac:dyDescent="0.25">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hidden="1" x14ac:dyDescent="0.25">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hidden="1" x14ac:dyDescent="0.25">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hidden="1" x14ac:dyDescent="0.25">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hidden="1" x14ac:dyDescent="0.25">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hidden="1" x14ac:dyDescent="0.25">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hidden="1" x14ac:dyDescent="0.25">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hidden="1" x14ac:dyDescent="0.25">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hidden="1" x14ac:dyDescent="0.25">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hidden="1" x14ac:dyDescent="0.25">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hidden="1" x14ac:dyDescent="0.25">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hidden="1" x14ac:dyDescent="0.25">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hidden="1" x14ac:dyDescent="0.25">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hidden="1" x14ac:dyDescent="0.25">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hidden="1" x14ac:dyDescent="0.25">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hidden="1" x14ac:dyDescent="0.25">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hidden="1" x14ac:dyDescent="0.25">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hidden="1" x14ac:dyDescent="0.25">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hidden="1" x14ac:dyDescent="0.25">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hidden="1" x14ac:dyDescent="0.25">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hidden="1" x14ac:dyDescent="0.25">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hidden="1" x14ac:dyDescent="0.25">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hidden="1" x14ac:dyDescent="0.25">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hidden="1" x14ac:dyDescent="0.25">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hidden="1" x14ac:dyDescent="0.25">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hidden="1" x14ac:dyDescent="0.25">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hidden="1" x14ac:dyDescent="0.25">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hidden="1" x14ac:dyDescent="0.25">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hidden="1" x14ac:dyDescent="0.25">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hidden="1" x14ac:dyDescent="0.25">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hidden="1" x14ac:dyDescent="0.25">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hidden="1" x14ac:dyDescent="0.25">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hidden="1" x14ac:dyDescent="0.25">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hidden="1" x14ac:dyDescent="0.25">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hidden="1" x14ac:dyDescent="0.25">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hidden="1" x14ac:dyDescent="0.25">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hidden="1" x14ac:dyDescent="0.25">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hidden="1" x14ac:dyDescent="0.25">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hidden="1" x14ac:dyDescent="0.25">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hidden="1" x14ac:dyDescent="0.25">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hidden="1" x14ac:dyDescent="0.25">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hidden="1" x14ac:dyDescent="0.25">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hidden="1" x14ac:dyDescent="0.25">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hidden="1" x14ac:dyDescent="0.25">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hidden="1" x14ac:dyDescent="0.25">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hidden="1" x14ac:dyDescent="0.25">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hidden="1" x14ac:dyDescent="0.25">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hidden="1" x14ac:dyDescent="0.25">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hidden="1" x14ac:dyDescent="0.25">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hidden="1" x14ac:dyDescent="0.25">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hidden="1" x14ac:dyDescent="0.25">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hidden="1" x14ac:dyDescent="0.25">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hidden="1" x14ac:dyDescent="0.25">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hidden="1" x14ac:dyDescent="0.25">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hidden="1" x14ac:dyDescent="0.25">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hidden="1" x14ac:dyDescent="0.25">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hidden="1" x14ac:dyDescent="0.25">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hidden="1" x14ac:dyDescent="0.25">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hidden="1" x14ac:dyDescent="0.25">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hidden="1" x14ac:dyDescent="0.25">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hidden="1" x14ac:dyDescent="0.25">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hidden="1" x14ac:dyDescent="0.25">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hidden="1" x14ac:dyDescent="0.25">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hidden="1" x14ac:dyDescent="0.25">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hidden="1" x14ac:dyDescent="0.25">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hidden="1" x14ac:dyDescent="0.25">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hidden="1" x14ac:dyDescent="0.25">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hidden="1" x14ac:dyDescent="0.25">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25">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hidden="1" x14ac:dyDescent="0.25">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hidden="1" x14ac:dyDescent="0.25">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hidden="1" x14ac:dyDescent="0.25">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hidden="1" x14ac:dyDescent="0.25">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hidden="1" x14ac:dyDescent="0.25">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hidden="1" x14ac:dyDescent="0.25">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hidden="1" x14ac:dyDescent="0.25">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hidden="1" x14ac:dyDescent="0.25">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hidden="1" x14ac:dyDescent="0.25">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hidden="1" x14ac:dyDescent="0.25">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hidden="1" x14ac:dyDescent="0.25">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hidden="1" x14ac:dyDescent="0.25">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hidden="1" x14ac:dyDescent="0.25">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hidden="1" x14ac:dyDescent="0.25">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hidden="1" x14ac:dyDescent="0.25">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hidden="1" x14ac:dyDescent="0.25">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hidden="1" x14ac:dyDescent="0.25">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hidden="1" x14ac:dyDescent="0.25">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hidden="1" x14ac:dyDescent="0.25">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hidden="1" x14ac:dyDescent="0.25">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hidden="1" x14ac:dyDescent="0.25">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hidden="1" x14ac:dyDescent="0.25">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hidden="1" x14ac:dyDescent="0.25">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hidden="1" x14ac:dyDescent="0.25">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hidden="1" x14ac:dyDescent="0.25">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hidden="1" x14ac:dyDescent="0.25">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hidden="1" x14ac:dyDescent="0.25">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hidden="1" x14ac:dyDescent="0.25">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hidden="1" x14ac:dyDescent="0.25">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hidden="1" x14ac:dyDescent="0.25">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hidden="1" x14ac:dyDescent="0.25">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hidden="1" x14ac:dyDescent="0.25">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hidden="1" x14ac:dyDescent="0.25">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hidden="1" x14ac:dyDescent="0.25">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hidden="1" x14ac:dyDescent="0.25">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hidden="1" x14ac:dyDescent="0.25">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hidden="1" x14ac:dyDescent="0.25">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hidden="1" x14ac:dyDescent="0.25">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hidden="1" x14ac:dyDescent="0.25">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25">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hidden="1" x14ac:dyDescent="0.25">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hidden="1" x14ac:dyDescent="0.25">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hidden="1" x14ac:dyDescent="0.25">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hidden="1" x14ac:dyDescent="0.25">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hidden="1" x14ac:dyDescent="0.25">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hidden="1" x14ac:dyDescent="0.25">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hidden="1" x14ac:dyDescent="0.25">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hidden="1" x14ac:dyDescent="0.25">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hidden="1" x14ac:dyDescent="0.25">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hidden="1" x14ac:dyDescent="0.25">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hidden="1" x14ac:dyDescent="0.25">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hidden="1" x14ac:dyDescent="0.25">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hidden="1" x14ac:dyDescent="0.25">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hidden="1" x14ac:dyDescent="0.25">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hidden="1" x14ac:dyDescent="0.25">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hidden="1" x14ac:dyDescent="0.25">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hidden="1" x14ac:dyDescent="0.25">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hidden="1" x14ac:dyDescent="0.25">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hidden="1" x14ac:dyDescent="0.25">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hidden="1" x14ac:dyDescent="0.25">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hidden="1" x14ac:dyDescent="0.25">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hidden="1" x14ac:dyDescent="0.25">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hidden="1" x14ac:dyDescent="0.25">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hidden="1" x14ac:dyDescent="0.25">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hidden="1" x14ac:dyDescent="0.25">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hidden="1" x14ac:dyDescent="0.25">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hidden="1" x14ac:dyDescent="0.25">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hidden="1" x14ac:dyDescent="0.25">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hidden="1" x14ac:dyDescent="0.25">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hidden="1" x14ac:dyDescent="0.25">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hidden="1" x14ac:dyDescent="0.25">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hidden="1" x14ac:dyDescent="0.25">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hidden="1" x14ac:dyDescent="0.25">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hidden="1" x14ac:dyDescent="0.25">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hidden="1" x14ac:dyDescent="0.25">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hidden="1" x14ac:dyDescent="0.25">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hidden="1" x14ac:dyDescent="0.25">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hidden="1" x14ac:dyDescent="0.25">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hidden="1" x14ac:dyDescent="0.25">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hidden="1" x14ac:dyDescent="0.25">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hidden="1" x14ac:dyDescent="0.25">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hidden="1" x14ac:dyDescent="0.25">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hidden="1" x14ac:dyDescent="0.25">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hidden="1" x14ac:dyDescent="0.25">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hidden="1" x14ac:dyDescent="0.25">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hidden="1" x14ac:dyDescent="0.25">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hidden="1" x14ac:dyDescent="0.25">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hidden="1" x14ac:dyDescent="0.25">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hidden="1" x14ac:dyDescent="0.25">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hidden="1" x14ac:dyDescent="0.25">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hidden="1" x14ac:dyDescent="0.25">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hidden="1" x14ac:dyDescent="0.25">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hidden="1" x14ac:dyDescent="0.25">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hidden="1" x14ac:dyDescent="0.25">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hidden="1" x14ac:dyDescent="0.25">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hidden="1" x14ac:dyDescent="0.25">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hidden="1" x14ac:dyDescent="0.25">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hidden="1" x14ac:dyDescent="0.25">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hidden="1" x14ac:dyDescent="0.25">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843"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hidden="1" x14ac:dyDescent="0.25">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hidden="1" x14ac:dyDescent="0.25">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hidden="1" x14ac:dyDescent="0.25">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hidden="1" x14ac:dyDescent="0.25">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hidden="1" x14ac:dyDescent="0.25">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hidden="1" x14ac:dyDescent="0.25">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hidden="1" x14ac:dyDescent="0.25">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hidden="1" x14ac:dyDescent="0.25">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hidden="1" x14ac:dyDescent="0.25">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hidden="1" x14ac:dyDescent="0.25">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hidden="1" x14ac:dyDescent="0.25">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hidden="1" x14ac:dyDescent="0.25">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hidden="1" x14ac:dyDescent="0.25">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hidden="1" x14ac:dyDescent="0.25">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hidden="1" x14ac:dyDescent="0.25">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hidden="1" x14ac:dyDescent="0.25">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hidden="1" x14ac:dyDescent="0.25">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hidden="1" x14ac:dyDescent="0.25">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hidden="1" x14ac:dyDescent="0.25">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hidden="1" x14ac:dyDescent="0.25">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hidden="1" x14ac:dyDescent="0.25">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hidden="1" x14ac:dyDescent="0.25">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hidden="1" x14ac:dyDescent="0.25">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hidden="1" x14ac:dyDescent="0.25">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hidden="1" x14ac:dyDescent="0.25">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hidden="1" x14ac:dyDescent="0.25">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hidden="1" x14ac:dyDescent="0.25">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hidden="1" x14ac:dyDescent="0.25">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hidden="1" x14ac:dyDescent="0.25">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hidden="1" x14ac:dyDescent="0.25">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hidden="1" x14ac:dyDescent="0.25">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hidden="1" x14ac:dyDescent="0.25">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hidden="1" x14ac:dyDescent="0.25">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hidden="1" x14ac:dyDescent="0.25">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hidden="1" x14ac:dyDescent="0.25">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hidden="1" x14ac:dyDescent="0.25">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hidden="1" x14ac:dyDescent="0.25">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hidden="1" x14ac:dyDescent="0.25">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hidden="1" x14ac:dyDescent="0.25">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842" si="201">V835&amp;"__"&amp;W835</f>
        <v>Fenest__ManufWin</v>
      </c>
      <c r="U835" s="3" t="str">
        <f t="shared" si="184"/>
        <v>Fenest__ManufWin</v>
      </c>
      <c r="V835" s="3" t="s">
        <v>785</v>
      </c>
      <c r="W835" s="3" t="s">
        <v>1040</v>
      </c>
      <c r="X835" s="3" t="s">
        <v>785</v>
      </c>
      <c r="Y835" s="3" t="s">
        <v>1040</v>
      </c>
      <c r="AA835" s="3" t="s">
        <v>55</v>
      </c>
      <c r="AC835">
        <v>1985</v>
      </c>
    </row>
    <row r="836" spans="1:29" hidden="1" x14ac:dyDescent="0.25">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3" si="203">K836</f>
        <v>RE-Fenest-ManufWin-rDXHP-Ex</v>
      </c>
      <c r="J836" t="str">
        <f t="shared" ref="J836:J843"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842" si="205">X836&amp;"__"&amp;Y836</f>
        <v>Fenest__ManufWin</v>
      </c>
      <c r="V836" s="3" t="s">
        <v>785</v>
      </c>
      <c r="W836" s="3" t="s">
        <v>1040</v>
      </c>
      <c r="X836" s="3" t="s">
        <v>785</v>
      </c>
      <c r="Y836" s="3" t="s">
        <v>1040</v>
      </c>
      <c r="AA836" s="3" t="s">
        <v>55</v>
      </c>
      <c r="AC836">
        <v>1985</v>
      </c>
    </row>
    <row r="837" spans="1:29" hidden="1" x14ac:dyDescent="0.25">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hidden="1" x14ac:dyDescent="0.25">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hidden="1" x14ac:dyDescent="0.25">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hidden="1" x14ac:dyDescent="0.25">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hidden="1" x14ac:dyDescent="0.25">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hidden="1" x14ac:dyDescent="0.25">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hidden="1" x14ac:dyDescent="0.25">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T849" si="209">V843&amp;"__"&amp;W843</f>
        <v>Fenest__ManufWin</v>
      </c>
      <c r="U843" s="3" t="str">
        <f t="shared" ref="U843:U849" si="210">X843&amp;"__"&amp;Y843</f>
        <v>Fenest__ManufWin</v>
      </c>
      <c r="V843" s="3" t="s">
        <v>785</v>
      </c>
      <c r="W843" s="3" t="s">
        <v>1040</v>
      </c>
      <c r="X843" s="3" t="s">
        <v>785</v>
      </c>
      <c r="Y843" s="3" t="s">
        <v>1040</v>
      </c>
      <c r="AA843" t="s">
        <v>55</v>
      </c>
    </row>
    <row r="844" spans="1:29" x14ac:dyDescent="0.25">
      <c r="A844" s="32" t="s">
        <v>10771</v>
      </c>
      <c r="B844" s="32" t="s">
        <v>10675</v>
      </c>
      <c r="C844" s="32" t="s">
        <v>10770</v>
      </c>
      <c r="D844" s="32" t="s">
        <v>10772</v>
      </c>
      <c r="E844" s="32" t="s">
        <v>10773</v>
      </c>
      <c r="F844" s="32" t="str">
        <f>O844&amp;"-"&amp;R844&amp;"-"&amp;Q844&amp;"-"&amp;J844&amp;"-"&amp;I844</f>
        <v>DMo-Ex-rDXHP-RE-dxHP_equip-spltSEER-16.0-SEER2-8.1-HSPF2-RG-NCGF_eq-GasFurnace-AFUE67-NoFanPower</v>
      </c>
      <c r="G844" s="32" t="str">
        <f>F844</f>
        <v>DMo-Ex-rDXHP-RE-dxHP_equip-spltSEER-16.0-SEER2-8.1-HSPF2-RG-NCGF_eq-GasFurnace-AFUE67-NoFanPower</v>
      </c>
      <c r="H844" s="32" t="str">
        <f>K844</f>
        <v>RG-NCGF_eq-GasFurnace-AFUE67-NoFanPower</v>
      </c>
      <c r="I844" s="32" t="str">
        <f>L844</f>
        <v>RG-NCGF_eq-GasFurnace-AFUE67-NoFanPower</v>
      </c>
      <c r="J844" s="32" t="str">
        <f>M844</f>
        <v>RE-dxHP_equip-spltSEER-16.0-SEER2-8.1-HSPF2</v>
      </c>
      <c r="K844" s="32" t="s">
        <v>10776</v>
      </c>
      <c r="L844" s="32" t="s">
        <v>10776</v>
      </c>
      <c r="M844" s="32" t="s">
        <v>10778</v>
      </c>
      <c r="N844" s="32" t="str">
        <f>O844&amp;"&amp;"&amp;P844&amp;"&amp;"&amp;"rNCOH&amp;"&amp;R844&amp;"&amp;DHW"</f>
        <v>DMo&amp;0&amp;rNCOH&amp;Ex&amp;DHW</v>
      </c>
      <c r="O844" s="32" t="s">
        <v>62</v>
      </c>
      <c r="P844" s="32">
        <v>0</v>
      </c>
      <c r="Q844" s="32" t="s">
        <v>57</v>
      </c>
      <c r="R844" s="32" t="s">
        <v>52</v>
      </c>
      <c r="S844" s="32" t="s">
        <v>10786</v>
      </c>
      <c r="T844" s="32" t="str">
        <f t="shared" si="209"/>
        <v>dxHP_equip__spltHP-SEER-BA</v>
      </c>
      <c r="U844" s="32" t="str">
        <f t="shared" si="210"/>
        <v>SpaceHtg_eq__GasFurnace</v>
      </c>
      <c r="V844" s="32" t="s">
        <v>105</v>
      </c>
      <c r="W844" s="32" t="s">
        <v>106</v>
      </c>
      <c r="X844" s="32" t="s">
        <v>137</v>
      </c>
      <c r="Y844" s="32" t="s">
        <v>138</v>
      </c>
      <c r="Z844" s="32"/>
      <c r="AA844" s="32" t="s">
        <v>194</v>
      </c>
    </row>
    <row r="845" spans="1:29" x14ac:dyDescent="0.25">
      <c r="A845" s="32" t="s">
        <v>10771</v>
      </c>
      <c r="B845" s="32" t="s">
        <v>10675</v>
      </c>
      <c r="C845" s="32" t="s">
        <v>10770</v>
      </c>
      <c r="D845" s="32" t="s">
        <v>10772</v>
      </c>
      <c r="E845" s="32" t="s">
        <v>10773</v>
      </c>
      <c r="F845" s="32" t="str">
        <f t="shared" ref="F845:F891" si="211">O845&amp;"-"&amp;R845&amp;"-"&amp;Q845&amp;"-"&amp;J845&amp;"-"&amp;I845</f>
        <v>DMo-Ex-rDXHP-RE-dxHP_equip-spltSEER-16.0-SEER2-8.1-HSPF2-RE-dxGF_eq-GasFurnace-AFUE67-NoFanPower-11.0-EER</v>
      </c>
      <c r="G845" s="32" t="str">
        <f t="shared" ref="G845:G891" si="212">F845</f>
        <v>DMo-Ex-rDXHP-RE-dxHP_equip-spltSEER-16.0-SEER2-8.1-HSPF2-RE-dxGF_eq-GasFurnace-AFUE67-NoFanPower-11.0-EER</v>
      </c>
      <c r="H845" s="32" t="str">
        <f t="shared" ref="H845:H867" si="213">K845</f>
        <v>RE-dxGF_eq-GasFurnace-AFUE67-NoFanPower-11.0-EER</v>
      </c>
      <c r="I845" s="32" t="str">
        <f t="shared" ref="I845:I867" si="214">L845</f>
        <v>RE-dxGF_eq-GasFurnace-AFUE67-NoFanPower-11.0-EER</v>
      </c>
      <c r="J845" s="32" t="str">
        <f t="shared" ref="J845:J867" si="215">M845</f>
        <v>RE-dxHP_equip-spltSEER-16.0-SEER2-8.1-HSPF2</v>
      </c>
      <c r="K845" s="32" t="s">
        <v>10777</v>
      </c>
      <c r="L845" s="32" t="s">
        <v>10777</v>
      </c>
      <c r="M845" s="32" t="s">
        <v>10778</v>
      </c>
      <c r="N845" s="32" t="str">
        <f>O845&amp;"&amp;"&amp;P845&amp;"&amp;"&amp;"rDXHW&amp;"&amp;R845&amp;"&amp;DHW"</f>
        <v>DMo&amp;0&amp;rDXHW&amp;Ex&amp;DHW</v>
      </c>
      <c r="O845" s="32" t="s">
        <v>62</v>
      </c>
      <c r="P845" s="32">
        <v>0</v>
      </c>
      <c r="Q845" s="32" t="s">
        <v>57</v>
      </c>
      <c r="R845" s="32" t="s">
        <v>52</v>
      </c>
      <c r="S845" s="32" t="s">
        <v>10786</v>
      </c>
      <c r="T845" s="32" t="str">
        <f t="shared" si="209"/>
        <v>dxHP_equip__spltHP-SEER-BA</v>
      </c>
      <c r="U845" s="32" t="str">
        <f t="shared" si="210"/>
        <v>SpaceHtg_eq__GasFurnace</v>
      </c>
      <c r="V845" s="32" t="s">
        <v>105</v>
      </c>
      <c r="W845" s="32" t="s">
        <v>106</v>
      </c>
      <c r="X845" s="32" t="s">
        <v>137</v>
      </c>
      <c r="Y845" s="32" t="s">
        <v>138</v>
      </c>
      <c r="Z845" s="32"/>
      <c r="AA845" s="32" t="s">
        <v>194</v>
      </c>
    </row>
    <row r="846" spans="1:29" x14ac:dyDescent="0.25">
      <c r="A846" s="32" t="s">
        <v>10771</v>
      </c>
      <c r="B846" s="32" t="s">
        <v>10675</v>
      </c>
      <c r="C846" s="32" t="s">
        <v>10770</v>
      </c>
      <c r="D846" s="32" t="s">
        <v>10772</v>
      </c>
      <c r="E846" s="32" t="s">
        <v>10773</v>
      </c>
      <c r="F846" s="32" t="str">
        <f t="shared" si="211"/>
        <v>DMo-Ex-rDXHP-RE-dxHP_equip-spltSEER-18.7-SEER2-8.7-HSPF2-RG-NCGF_eq-GasFurnace-AFUE67-NoFanPower</v>
      </c>
      <c r="G846" s="32" t="str">
        <f t="shared" si="212"/>
        <v>DMo-Ex-rDXHP-RE-dxHP_equip-spltSEER-18.7-SEER2-8.7-HSPF2-RG-NCGF_eq-GasFurnace-AFUE67-NoFanPower</v>
      </c>
      <c r="H846" s="32" t="str">
        <f t="shared" si="213"/>
        <v>RG-NCGF_eq-GasFurnace-AFUE67-NoFanPower</v>
      </c>
      <c r="I846" s="32" t="str">
        <f t="shared" si="214"/>
        <v>RG-NCGF_eq-GasFurnace-AFUE67-NoFanPower</v>
      </c>
      <c r="J846" s="32" t="str">
        <f t="shared" si="215"/>
        <v>RE-dxHP_equip-spltSEER-18.7-SEER2-8.7-HSPF2</v>
      </c>
      <c r="K846" s="32" t="s">
        <v>10776</v>
      </c>
      <c r="L846" s="32" t="s">
        <v>10776</v>
      </c>
      <c r="M846" s="32" t="s">
        <v>10779</v>
      </c>
      <c r="N846" s="32" t="str">
        <f t="shared" ref="N846" si="216">O846&amp;"&amp;"&amp;P846&amp;"&amp;"&amp;"rNCOH&amp;"&amp;R846&amp;"&amp;DHW"</f>
        <v>DMo&amp;0&amp;rNCOH&amp;Ex&amp;DHW</v>
      </c>
      <c r="O846" s="32" t="s">
        <v>62</v>
      </c>
      <c r="P846" s="32">
        <v>0</v>
      </c>
      <c r="Q846" s="32" t="s">
        <v>57</v>
      </c>
      <c r="R846" s="32" t="s">
        <v>52</v>
      </c>
      <c r="S846" s="32" t="s">
        <v>10786</v>
      </c>
      <c r="T846" s="32" t="str">
        <f t="shared" si="209"/>
        <v>dxHP_equip__spltHP-SEER-BA</v>
      </c>
      <c r="U846" s="32" t="str">
        <f t="shared" si="210"/>
        <v>SpaceHtg_eq__GasFurnace</v>
      </c>
      <c r="V846" s="32" t="s">
        <v>105</v>
      </c>
      <c r="W846" s="32" t="s">
        <v>106</v>
      </c>
      <c r="X846" s="32" t="s">
        <v>137</v>
      </c>
      <c r="Y846" s="32" t="s">
        <v>138</v>
      </c>
      <c r="Z846" s="32"/>
      <c r="AA846" s="32" t="s">
        <v>194</v>
      </c>
    </row>
    <row r="847" spans="1:29" x14ac:dyDescent="0.25">
      <c r="A847" s="32" t="s">
        <v>10771</v>
      </c>
      <c r="B847" s="32" t="s">
        <v>10675</v>
      </c>
      <c r="C847" s="32" t="s">
        <v>10770</v>
      </c>
      <c r="D847" s="32" t="s">
        <v>10772</v>
      </c>
      <c r="E847" s="32" t="s">
        <v>10773</v>
      </c>
      <c r="F847" s="32" t="str">
        <f t="shared" si="211"/>
        <v>DMo-Ex-rDXHP-RE-dxHP_equip-spltSEER-18.7-SEER2-8.7-HSPF2-RE-dxGF_eq-GasFurnace-AFUE67-NoFanPower-11.0-EER</v>
      </c>
      <c r="G847" s="32" t="str">
        <f t="shared" si="212"/>
        <v>DMo-Ex-rDXHP-RE-dxHP_equip-spltSEER-18.7-SEER2-8.7-HSPF2-RE-dxGF_eq-GasFurnace-AFUE67-NoFanPower-11.0-EER</v>
      </c>
      <c r="H847" s="32" t="str">
        <f t="shared" si="213"/>
        <v>RE-dxGF_eq-GasFurnace-AFUE67-NoFanPower-11.0-EER</v>
      </c>
      <c r="I847" s="32" t="str">
        <f t="shared" si="214"/>
        <v>RE-dxGF_eq-GasFurnace-AFUE67-NoFanPower-11.0-EER</v>
      </c>
      <c r="J847" s="32" t="str">
        <f t="shared" si="215"/>
        <v>RE-dxHP_equip-spltSEER-18.7-SEER2-8.7-HSPF2</v>
      </c>
      <c r="K847" s="32" t="s">
        <v>10777</v>
      </c>
      <c r="L847" s="32" t="s">
        <v>10777</v>
      </c>
      <c r="M847" s="32" t="s">
        <v>10779</v>
      </c>
      <c r="N847" s="32" t="str">
        <f t="shared" ref="N847" si="217">O847&amp;"&amp;"&amp;P847&amp;"&amp;"&amp;"rDXHW&amp;"&amp;R847&amp;"&amp;DHW"</f>
        <v>DMo&amp;0&amp;rDXHW&amp;Ex&amp;DHW</v>
      </c>
      <c r="O847" s="32" t="s">
        <v>62</v>
      </c>
      <c r="P847" s="32">
        <v>0</v>
      </c>
      <c r="Q847" s="32" t="s">
        <v>57</v>
      </c>
      <c r="R847" s="32" t="s">
        <v>52</v>
      </c>
      <c r="S847" s="32" t="s">
        <v>10786</v>
      </c>
      <c r="T847" s="32" t="str">
        <f t="shared" si="209"/>
        <v>dxHP_equip__spltHP-SEER-BA</v>
      </c>
      <c r="U847" s="32" t="str">
        <f t="shared" si="210"/>
        <v>SpaceHtg_eq__GasFurnace</v>
      </c>
      <c r="V847" s="32" t="s">
        <v>105</v>
      </c>
      <c r="W847" s="32" t="s">
        <v>106</v>
      </c>
      <c r="X847" s="32" t="s">
        <v>137</v>
      </c>
      <c r="Y847" s="32" t="s">
        <v>138</v>
      </c>
      <c r="Z847" s="32"/>
      <c r="AA847" s="32" t="s">
        <v>194</v>
      </c>
    </row>
    <row r="848" spans="1:29" x14ac:dyDescent="0.25">
      <c r="A848" s="32" t="s">
        <v>10771</v>
      </c>
      <c r="B848" s="32" t="s">
        <v>10675</v>
      </c>
      <c r="C848" s="32" t="s">
        <v>10770</v>
      </c>
      <c r="D848" s="32" t="s">
        <v>10772</v>
      </c>
      <c r="E848" s="32" t="s">
        <v>10773</v>
      </c>
      <c r="F848" s="32" t="str">
        <f t="shared" si="211"/>
        <v>DMo-Ex-rDXHP-RE-dxHP_equip-spltSEER-20.5-SEER2-9.1-HSPF2-RG-NCGF_eq-GasFurnace-AFUE67-NoFanPower</v>
      </c>
      <c r="G848" s="32" t="str">
        <f t="shared" si="212"/>
        <v>DMo-Ex-rDXHP-RE-dxHP_equip-spltSEER-20.5-SEER2-9.1-HSPF2-RG-NCGF_eq-GasFurnace-AFUE67-NoFanPower</v>
      </c>
      <c r="H848" s="32" t="str">
        <f t="shared" si="213"/>
        <v>RG-NCGF_eq-GasFurnace-AFUE67-NoFanPower</v>
      </c>
      <c r="I848" s="32" t="str">
        <f t="shared" si="214"/>
        <v>RG-NCGF_eq-GasFurnace-AFUE67-NoFanPower</v>
      </c>
      <c r="J848" s="32" t="str">
        <f t="shared" si="215"/>
        <v>RE-dxHP_equip-spltSEER-20.5-SEER2-9.1-HSPF2</v>
      </c>
      <c r="K848" s="32" t="s">
        <v>10776</v>
      </c>
      <c r="L848" s="32" t="s">
        <v>10776</v>
      </c>
      <c r="M848" s="32" t="s">
        <v>10780</v>
      </c>
      <c r="N848" s="32" t="str">
        <f t="shared" ref="N848" si="218">O848&amp;"&amp;"&amp;P848&amp;"&amp;"&amp;"rNCOH&amp;"&amp;R848&amp;"&amp;DHW"</f>
        <v>DMo&amp;0&amp;rNCOH&amp;Ex&amp;DHW</v>
      </c>
      <c r="O848" s="32" t="s">
        <v>62</v>
      </c>
      <c r="P848" s="32">
        <v>0</v>
      </c>
      <c r="Q848" s="32" t="s">
        <v>57</v>
      </c>
      <c r="R848" s="32" t="s">
        <v>52</v>
      </c>
      <c r="S848" s="32" t="s">
        <v>10786</v>
      </c>
      <c r="T848" s="32" t="str">
        <f t="shared" si="209"/>
        <v>dxHP_equip__spltHP-SEER-BA</v>
      </c>
      <c r="U848" s="32" t="str">
        <f t="shared" si="210"/>
        <v>SpaceHtg_eq__GasFurnace</v>
      </c>
      <c r="V848" s="32" t="s">
        <v>105</v>
      </c>
      <c r="W848" s="32" t="s">
        <v>106</v>
      </c>
      <c r="X848" s="32" t="s">
        <v>137</v>
      </c>
      <c r="Y848" s="32" t="s">
        <v>138</v>
      </c>
      <c r="Z848" s="32"/>
      <c r="AA848" s="32" t="s">
        <v>194</v>
      </c>
    </row>
    <row r="849" spans="1:27" x14ac:dyDescent="0.25">
      <c r="A849" s="32" t="s">
        <v>10771</v>
      </c>
      <c r="B849" s="32" t="s">
        <v>10675</v>
      </c>
      <c r="C849" s="32" t="s">
        <v>10770</v>
      </c>
      <c r="D849" s="32" t="s">
        <v>10772</v>
      </c>
      <c r="E849" s="32" t="s">
        <v>10773</v>
      </c>
      <c r="F849" s="32" t="str">
        <f t="shared" si="211"/>
        <v>DMo-Ex-rDXHP-RE-dxHP_equip-spltSEER-20.5-SEER2-9.1-HSPF2-RE-dxGF_eq-GasFurnace-AFUE67-NoFanPower-11.0-EER</v>
      </c>
      <c r="G849" s="32" t="str">
        <f t="shared" si="212"/>
        <v>DMo-Ex-rDXHP-RE-dxHP_equip-spltSEER-20.5-SEER2-9.1-HSPF2-RE-dxGF_eq-GasFurnace-AFUE67-NoFanPower-11.0-EER</v>
      </c>
      <c r="H849" s="32" t="str">
        <f t="shared" si="213"/>
        <v>RE-dxGF_eq-GasFurnace-AFUE67-NoFanPower-11.0-EER</v>
      </c>
      <c r="I849" s="32" t="str">
        <f t="shared" si="214"/>
        <v>RE-dxGF_eq-GasFurnace-AFUE67-NoFanPower-11.0-EER</v>
      </c>
      <c r="J849" s="32" t="str">
        <f t="shared" si="215"/>
        <v>RE-dxHP_equip-spltSEER-20.5-SEER2-9.1-HSPF2</v>
      </c>
      <c r="K849" s="32" t="s">
        <v>10777</v>
      </c>
      <c r="L849" s="32" t="s">
        <v>10777</v>
      </c>
      <c r="M849" s="32" t="s">
        <v>10780</v>
      </c>
      <c r="N849" s="32" t="str">
        <f t="shared" ref="N849" si="219">O849&amp;"&amp;"&amp;P849&amp;"&amp;"&amp;"rDXHW&amp;"&amp;R849&amp;"&amp;DHW"</f>
        <v>DMo&amp;0&amp;rDXHW&amp;Ex&amp;DHW</v>
      </c>
      <c r="O849" s="32" t="s">
        <v>62</v>
      </c>
      <c r="P849" s="32">
        <v>0</v>
      </c>
      <c r="Q849" s="32" t="s">
        <v>57</v>
      </c>
      <c r="R849" s="32" t="s">
        <v>52</v>
      </c>
      <c r="S849" s="32" t="s">
        <v>10786</v>
      </c>
      <c r="T849" s="32" t="str">
        <f t="shared" si="209"/>
        <v>dxHP_equip__spltHP-SEER-BA</v>
      </c>
      <c r="U849" s="32" t="str">
        <f t="shared" si="210"/>
        <v>SpaceHtg_eq__GasFurnace</v>
      </c>
      <c r="V849" s="32" t="s">
        <v>105</v>
      </c>
      <c r="W849" s="32" t="s">
        <v>106</v>
      </c>
      <c r="X849" s="32" t="s">
        <v>137</v>
      </c>
      <c r="Y849" s="32" t="s">
        <v>138</v>
      </c>
      <c r="Z849" s="32"/>
      <c r="AA849" s="32" t="s">
        <v>194</v>
      </c>
    </row>
    <row r="850" spans="1:27" x14ac:dyDescent="0.25">
      <c r="A850" s="32" t="s">
        <v>10771</v>
      </c>
      <c r="B850" s="32" t="s">
        <v>10675</v>
      </c>
      <c r="C850" s="32" t="s">
        <v>10770</v>
      </c>
      <c r="D850" s="32" t="s">
        <v>10772</v>
      </c>
      <c r="E850" s="32" t="s">
        <v>10781</v>
      </c>
      <c r="F850" s="32" t="str">
        <f t="shared" si="211"/>
        <v>MFm-Ex-rDXHP-RE-dxHP_equip-spltSEER-16.0-SEER2-8.1-HSPF2-RG-NCOH_equip-Boiler-AFUE84-Radiator</v>
      </c>
      <c r="G850" s="32" t="str">
        <f t="shared" si="212"/>
        <v>MFm-Ex-rDXHP-RE-dxHP_equip-spltSEER-16.0-SEER2-8.1-HSPF2-RG-NCOH_equip-Boiler-AFUE84-Radiator</v>
      </c>
      <c r="H850" s="32" t="str">
        <f t="shared" si="213"/>
        <v>RG-NCOH_equip-Boiler-AFUE84-Radiator</v>
      </c>
      <c r="I850" s="32" t="str">
        <f t="shared" si="214"/>
        <v>RG-NCOH_equip-Boiler-AFUE84-Radiator</v>
      </c>
      <c r="J850" s="32" t="str">
        <f t="shared" si="215"/>
        <v>RE-dxHP_equip-spltSEER-16.0-SEER2-8.1-HSPF2</v>
      </c>
      <c r="K850" s="32" t="s">
        <v>10775</v>
      </c>
      <c r="L850" s="32" t="s">
        <v>10775</v>
      </c>
      <c r="M850" s="32" t="s">
        <v>10778</v>
      </c>
      <c r="N850" s="32" t="str">
        <f>O850&amp;"&amp;"&amp;P850&amp;"&amp;"&amp;"rNCOH&amp;"&amp;R850&amp;"&amp;DHW"</f>
        <v>MFm&amp;0&amp;rNCOH&amp;Ex&amp;DHW</v>
      </c>
      <c r="O850" s="32" t="s">
        <v>63</v>
      </c>
      <c r="P850" s="32">
        <v>0</v>
      </c>
      <c r="Q850" s="32" t="s">
        <v>57</v>
      </c>
      <c r="R850" s="32" t="s">
        <v>52</v>
      </c>
      <c r="S850" s="32" t="s">
        <v>10786</v>
      </c>
      <c r="T850" s="32" t="str">
        <f t="shared" ref="T850:T867" si="220">V850&amp;"__"&amp;W850</f>
        <v>dxHP_equip__spltHP-SEER-BA</v>
      </c>
      <c r="U850" s="32" t="str">
        <f t="shared" ref="U850:U867" si="221">X850&amp;"__"&amp;Y850</f>
        <v>SpaceHtg_eq__GasFurnace</v>
      </c>
      <c r="V850" s="32" t="s">
        <v>105</v>
      </c>
      <c r="W850" s="32" t="s">
        <v>106</v>
      </c>
      <c r="X850" s="32" t="s">
        <v>137</v>
      </c>
      <c r="Y850" s="32" t="s">
        <v>138</v>
      </c>
      <c r="Z850" s="32"/>
      <c r="AA850" s="32" t="s">
        <v>194</v>
      </c>
    </row>
    <row r="851" spans="1:27" x14ac:dyDescent="0.25">
      <c r="A851" s="32" t="s">
        <v>10771</v>
      </c>
      <c r="B851" s="32" t="s">
        <v>10675</v>
      </c>
      <c r="C851" s="32" t="s">
        <v>10770</v>
      </c>
      <c r="D851" s="32" t="s">
        <v>10772</v>
      </c>
      <c r="E851" s="32" t="s">
        <v>10781</v>
      </c>
      <c r="F851" s="32" t="str">
        <f t="shared" si="211"/>
        <v>MFm-Ex-rDXHP-RE-dxHP_equip-spltSEER-16.0-SEER2-8.1-HSPF2-RG-NCOH_equip-Boiler-AFUE84-FC</v>
      </c>
      <c r="G851" s="32" t="str">
        <f t="shared" si="212"/>
        <v>MFm-Ex-rDXHP-RE-dxHP_equip-spltSEER-16.0-SEER2-8.1-HSPF2-RG-NCOH_equip-Boiler-AFUE84-FC</v>
      </c>
      <c r="H851" s="32" t="str">
        <f t="shared" si="213"/>
        <v>RG-NCOH_equip-Boiler-AFUE84-FC</v>
      </c>
      <c r="I851" s="32" t="str">
        <f t="shared" si="214"/>
        <v>RG-NCOH_equip-Boiler-AFUE84-FC</v>
      </c>
      <c r="J851" s="32" t="str">
        <f t="shared" si="215"/>
        <v>RE-dxHP_equip-spltSEER-16.0-SEER2-8.1-HSPF2</v>
      </c>
      <c r="K851" s="32" t="s">
        <v>10774</v>
      </c>
      <c r="L851" s="32" t="s">
        <v>10774</v>
      </c>
      <c r="M851" s="32" t="s">
        <v>10778</v>
      </c>
      <c r="N851" s="32" t="str">
        <f>O851&amp;"&amp;"&amp;P851&amp;"&amp;"&amp;"rDXHW&amp;"&amp;R851&amp;"&amp;DHW"</f>
        <v>MFm&amp;0&amp;rDXHW&amp;Ex&amp;DHW</v>
      </c>
      <c r="O851" s="32" t="s">
        <v>63</v>
      </c>
      <c r="P851" s="32">
        <v>0</v>
      </c>
      <c r="Q851" s="32" t="s">
        <v>57</v>
      </c>
      <c r="R851" s="32" t="s">
        <v>52</v>
      </c>
      <c r="S851" s="32" t="s">
        <v>10786</v>
      </c>
      <c r="T851" s="32" t="str">
        <f t="shared" si="220"/>
        <v>dxHP_equip__spltHP-SEER-BA</v>
      </c>
      <c r="U851" s="32" t="str">
        <f t="shared" si="221"/>
        <v>SpaceHtg_eq__GasFurnace</v>
      </c>
      <c r="V851" s="32" t="s">
        <v>105</v>
      </c>
      <c r="W851" s="32" t="s">
        <v>106</v>
      </c>
      <c r="X851" s="32" t="s">
        <v>137</v>
      </c>
      <c r="Y851" s="32" t="s">
        <v>138</v>
      </c>
      <c r="Z851" s="32"/>
      <c r="AA851" s="32" t="s">
        <v>194</v>
      </c>
    </row>
    <row r="852" spans="1:27" x14ac:dyDescent="0.25">
      <c r="A852" s="32" t="s">
        <v>10771</v>
      </c>
      <c r="B852" s="32" t="s">
        <v>10675</v>
      </c>
      <c r="C852" s="32" t="s">
        <v>10770</v>
      </c>
      <c r="D852" s="32" t="s">
        <v>10772</v>
      </c>
      <c r="E852" s="32" t="s">
        <v>10781</v>
      </c>
      <c r="F852" s="32" t="str">
        <f t="shared" si="211"/>
        <v>MFm-Ex-rDXHP-RE-dxHP_equip-spltSEER-16.0-SEER2-8.1-HSPF2-RG-NCGF_eq-GasFurnace-AFUE67-NoFanPower</v>
      </c>
      <c r="G852" s="32" t="str">
        <f t="shared" si="212"/>
        <v>MFm-Ex-rDXHP-RE-dxHP_equip-spltSEER-16.0-SEER2-8.1-HSPF2-RG-NCGF_eq-GasFurnace-AFUE67-NoFanPower</v>
      </c>
      <c r="H852" s="32" t="str">
        <f t="shared" si="213"/>
        <v>RG-NCGF_eq-GasFurnace-AFUE67-NoFanPower</v>
      </c>
      <c r="I852" s="32" t="str">
        <f t="shared" si="214"/>
        <v>RG-NCGF_eq-GasFurnace-AFUE67-NoFanPower</v>
      </c>
      <c r="J852" s="32" t="str">
        <f t="shared" si="215"/>
        <v>RE-dxHP_equip-spltSEER-16.0-SEER2-8.1-HSPF2</v>
      </c>
      <c r="K852" s="32" t="s">
        <v>10776</v>
      </c>
      <c r="L852" s="32" t="s">
        <v>10776</v>
      </c>
      <c r="M852" s="32" t="s">
        <v>10778</v>
      </c>
      <c r="N852" s="32" t="str">
        <f t="shared" ref="N852" si="222">O852&amp;"&amp;"&amp;P852&amp;"&amp;"&amp;"rNCOH&amp;"&amp;R852&amp;"&amp;DHW"</f>
        <v>MFm&amp;0&amp;rNCOH&amp;Ex&amp;DHW</v>
      </c>
      <c r="O852" s="32" t="s">
        <v>63</v>
      </c>
      <c r="P852" s="32">
        <v>0</v>
      </c>
      <c r="Q852" s="32" t="s">
        <v>57</v>
      </c>
      <c r="R852" s="32" t="s">
        <v>52</v>
      </c>
      <c r="S852" s="32" t="s">
        <v>10786</v>
      </c>
      <c r="T852" s="32" t="str">
        <f t="shared" si="220"/>
        <v>dxHP_equip__spltHP-SEER-BA</v>
      </c>
      <c r="U852" s="32" t="str">
        <f t="shared" si="221"/>
        <v>SpaceHtg_eq__GasFurnace</v>
      </c>
      <c r="V852" s="32" t="s">
        <v>105</v>
      </c>
      <c r="W852" s="32" t="s">
        <v>106</v>
      </c>
      <c r="X852" s="32" t="s">
        <v>137</v>
      </c>
      <c r="Y852" s="32" t="s">
        <v>138</v>
      </c>
      <c r="Z852" s="32"/>
      <c r="AA852" s="32" t="s">
        <v>194</v>
      </c>
    </row>
    <row r="853" spans="1:27" x14ac:dyDescent="0.25">
      <c r="A853" s="32" t="s">
        <v>10771</v>
      </c>
      <c r="B853" s="32" t="s">
        <v>10675</v>
      </c>
      <c r="C853" s="32" t="s">
        <v>10770</v>
      </c>
      <c r="D853" s="32" t="s">
        <v>10772</v>
      </c>
      <c r="E853" s="32" t="s">
        <v>10781</v>
      </c>
      <c r="F853" s="32" t="str">
        <f t="shared" si="211"/>
        <v>MFm-Ex-rDXHP-RE-dxHP_equip-spltSEER-16.0-SEER2-8.1-HSPF2-RE-dxHW_equip-Boiler-AFUE84-Radiator-11.0-EER</v>
      </c>
      <c r="G853" s="32" t="str">
        <f t="shared" si="212"/>
        <v>MFm-Ex-rDXHP-RE-dxHP_equip-spltSEER-16.0-SEER2-8.1-HSPF2-RE-dxHW_equip-Boiler-AFUE84-Radiator-11.0-EER</v>
      </c>
      <c r="H853" s="32" t="str">
        <f t="shared" si="213"/>
        <v>RE-dxHW_equip-Boiler-AFUE84-Radiator-11.0-EER</v>
      </c>
      <c r="I853" s="32" t="str">
        <f t="shared" si="214"/>
        <v>RE-dxHW_equip-Boiler-AFUE84-Radiator-11.0-EER</v>
      </c>
      <c r="J853" s="32" t="str">
        <f t="shared" si="215"/>
        <v>RE-dxHP_equip-spltSEER-16.0-SEER2-8.1-HSPF2</v>
      </c>
      <c r="K853" s="32" t="s">
        <v>10782</v>
      </c>
      <c r="L853" s="32" t="s">
        <v>10782</v>
      </c>
      <c r="M853" s="32" t="s">
        <v>10778</v>
      </c>
      <c r="N853" s="32" t="str">
        <f t="shared" ref="N853" si="223">O853&amp;"&amp;"&amp;P853&amp;"&amp;"&amp;"rDXHW&amp;"&amp;R853&amp;"&amp;DHW"</f>
        <v>MFm&amp;0&amp;rDXHW&amp;Ex&amp;DHW</v>
      </c>
      <c r="O853" s="32" t="s">
        <v>63</v>
      </c>
      <c r="P853" s="32">
        <v>0</v>
      </c>
      <c r="Q853" s="32" t="s">
        <v>57</v>
      </c>
      <c r="R853" s="32" t="s">
        <v>52</v>
      </c>
      <c r="S853" s="32" t="s">
        <v>10786</v>
      </c>
      <c r="T853" s="32" t="str">
        <f t="shared" si="220"/>
        <v>dxHP_equip__spltHP-SEER-BA</v>
      </c>
      <c r="U853" s="32" t="str">
        <f t="shared" si="221"/>
        <v>SpaceHtg_eq__GasFurnace</v>
      </c>
      <c r="V853" s="32" t="s">
        <v>105</v>
      </c>
      <c r="W853" s="32" t="s">
        <v>106</v>
      </c>
      <c r="X853" s="32" t="s">
        <v>137</v>
      </c>
      <c r="Y853" s="32" t="s">
        <v>138</v>
      </c>
      <c r="Z853" s="32"/>
      <c r="AA853" s="32" t="s">
        <v>194</v>
      </c>
    </row>
    <row r="854" spans="1:27" x14ac:dyDescent="0.25">
      <c r="A854" s="32" t="s">
        <v>10771</v>
      </c>
      <c r="B854" s="32" t="s">
        <v>10675</v>
      </c>
      <c r="C854" s="32" t="s">
        <v>10770</v>
      </c>
      <c r="D854" s="32" t="s">
        <v>10772</v>
      </c>
      <c r="E854" s="32" t="s">
        <v>10781</v>
      </c>
      <c r="F854" s="32" t="str">
        <f t="shared" si="211"/>
        <v>MFm-Ex-rDXHP-RE-dxHP_equip-spltSEER-16.0-SEER2-8.1-HSPF2-RE-dxHW_equip-Boiler-AFUE84-FC-11.0-EER</v>
      </c>
      <c r="G854" s="32" t="str">
        <f t="shared" si="212"/>
        <v>MFm-Ex-rDXHP-RE-dxHP_equip-spltSEER-16.0-SEER2-8.1-HSPF2-RE-dxHW_equip-Boiler-AFUE84-FC-11.0-EER</v>
      </c>
      <c r="H854" s="32" t="str">
        <f t="shared" si="213"/>
        <v>RE-dxHW_equip-Boiler-AFUE84-FC-11.0-EER</v>
      </c>
      <c r="I854" s="32" t="str">
        <f t="shared" si="214"/>
        <v>RE-dxHW_equip-Boiler-AFUE84-FC-11.0-EER</v>
      </c>
      <c r="J854" s="32" t="str">
        <f t="shared" si="215"/>
        <v>RE-dxHP_equip-spltSEER-16.0-SEER2-8.1-HSPF2</v>
      </c>
      <c r="K854" s="32" t="s">
        <v>10783</v>
      </c>
      <c r="L854" s="32" t="s">
        <v>10783</v>
      </c>
      <c r="M854" s="32" t="s">
        <v>10778</v>
      </c>
      <c r="N854" s="32" t="str">
        <f t="shared" ref="N854" si="224">O854&amp;"&amp;"&amp;P854&amp;"&amp;"&amp;"rNCOH&amp;"&amp;R854&amp;"&amp;DHW"</f>
        <v>MFm&amp;0&amp;rNCOH&amp;Ex&amp;DHW</v>
      </c>
      <c r="O854" s="32" t="s">
        <v>63</v>
      </c>
      <c r="P854" s="32">
        <v>0</v>
      </c>
      <c r="Q854" s="32" t="s">
        <v>57</v>
      </c>
      <c r="R854" s="32" t="s">
        <v>52</v>
      </c>
      <c r="S854" s="32" t="s">
        <v>10786</v>
      </c>
      <c r="T854" s="32" t="str">
        <f t="shared" si="220"/>
        <v>dxHP_equip__spltHP-SEER-BA</v>
      </c>
      <c r="U854" s="32" t="str">
        <f t="shared" si="221"/>
        <v>SpaceHtg_eq__GasFurnace</v>
      </c>
      <c r="V854" s="32" t="s">
        <v>105</v>
      </c>
      <c r="W854" s="32" t="s">
        <v>106</v>
      </c>
      <c r="X854" s="32" t="s">
        <v>137</v>
      </c>
      <c r="Y854" s="32" t="s">
        <v>138</v>
      </c>
      <c r="Z854" s="32"/>
      <c r="AA854" s="32" t="s">
        <v>194</v>
      </c>
    </row>
    <row r="855" spans="1:27" x14ac:dyDescent="0.25">
      <c r="A855" s="32" t="s">
        <v>10771</v>
      </c>
      <c r="B855" s="32" t="s">
        <v>10675</v>
      </c>
      <c r="C855" s="32" t="s">
        <v>10770</v>
      </c>
      <c r="D855" s="32" t="s">
        <v>10772</v>
      </c>
      <c r="E855" s="32" t="s">
        <v>10781</v>
      </c>
      <c r="F855" s="32" t="str">
        <f t="shared" si="211"/>
        <v>MFm-Ex-rDXHP-RE-dxHP_equip-spltSEER-16.0-SEER2-8.1-HSPF2-RE-dxGF_eq-GasFurnace-AFUE67-NoFanPower-11.0-EER</v>
      </c>
      <c r="G855" s="32" t="str">
        <f t="shared" si="212"/>
        <v>MFm-Ex-rDXHP-RE-dxHP_equip-spltSEER-16.0-SEER2-8.1-HSPF2-RE-dxGF_eq-GasFurnace-AFUE67-NoFanPower-11.0-EER</v>
      </c>
      <c r="H855" s="32" t="str">
        <f t="shared" si="213"/>
        <v>RE-dxGF_eq-GasFurnace-AFUE67-NoFanPower-11.0-EER</v>
      </c>
      <c r="I855" s="32" t="str">
        <f t="shared" si="214"/>
        <v>RE-dxGF_eq-GasFurnace-AFUE67-NoFanPower-11.0-EER</v>
      </c>
      <c r="J855" s="32" t="str">
        <f t="shared" si="215"/>
        <v>RE-dxHP_equip-spltSEER-16.0-SEER2-8.1-HSPF2</v>
      </c>
      <c r="K855" s="32" t="s">
        <v>10777</v>
      </c>
      <c r="L855" s="32" t="s">
        <v>10777</v>
      </c>
      <c r="M855" s="32" t="s">
        <v>10778</v>
      </c>
      <c r="N855" s="32" t="str">
        <f t="shared" ref="N855" si="225">O855&amp;"&amp;"&amp;P855&amp;"&amp;"&amp;"rDXHW&amp;"&amp;R855&amp;"&amp;DHW"</f>
        <v>MFm&amp;0&amp;rDXHW&amp;Ex&amp;DHW</v>
      </c>
      <c r="O855" s="32" t="s">
        <v>63</v>
      </c>
      <c r="P855" s="32">
        <v>0</v>
      </c>
      <c r="Q855" s="32" t="s">
        <v>57</v>
      </c>
      <c r="R855" s="32" t="s">
        <v>52</v>
      </c>
      <c r="S855" s="32" t="s">
        <v>10786</v>
      </c>
      <c r="T855" s="32" t="str">
        <f t="shared" si="220"/>
        <v>dxHP_equip__spltHP-SEER-BA</v>
      </c>
      <c r="U855" s="32" t="str">
        <f t="shared" si="221"/>
        <v>SpaceHtg_eq__GasFurnace</v>
      </c>
      <c r="V855" s="32" t="s">
        <v>105</v>
      </c>
      <c r="W855" s="32" t="s">
        <v>106</v>
      </c>
      <c r="X855" s="32" t="s">
        <v>137</v>
      </c>
      <c r="Y855" s="32" t="s">
        <v>138</v>
      </c>
      <c r="Z855" s="32"/>
      <c r="AA855" s="32" t="s">
        <v>194</v>
      </c>
    </row>
    <row r="856" spans="1:27" x14ac:dyDescent="0.25">
      <c r="A856" s="32" t="s">
        <v>10771</v>
      </c>
      <c r="B856" s="32" t="s">
        <v>10675</v>
      </c>
      <c r="C856" s="32" t="s">
        <v>10770</v>
      </c>
      <c r="D856" s="32" t="s">
        <v>10772</v>
      </c>
      <c r="E856" s="32" t="s">
        <v>10781</v>
      </c>
      <c r="F856" s="32" t="str">
        <f t="shared" si="211"/>
        <v>MFm-Ex-rDXHP-RE-dxHP_equip-spltSEER-18.7-SEER2-8.7-HSPF2-RG-NCOH_equip-Boiler-AFUE84-Radiator</v>
      </c>
      <c r="G856" s="32" t="str">
        <f t="shared" si="212"/>
        <v>MFm-Ex-rDXHP-RE-dxHP_equip-spltSEER-18.7-SEER2-8.7-HSPF2-RG-NCOH_equip-Boiler-AFUE84-Radiator</v>
      </c>
      <c r="H856" s="32" t="str">
        <f t="shared" si="213"/>
        <v>RG-NCOH_equip-Boiler-AFUE84-Radiator</v>
      </c>
      <c r="I856" s="32" t="str">
        <f t="shared" si="214"/>
        <v>RG-NCOH_equip-Boiler-AFUE84-Radiator</v>
      </c>
      <c r="J856" s="32" t="str">
        <f t="shared" si="215"/>
        <v>RE-dxHP_equip-spltSEER-18.7-SEER2-8.7-HSPF2</v>
      </c>
      <c r="K856" s="32" t="s">
        <v>10775</v>
      </c>
      <c r="L856" s="32" t="s">
        <v>10775</v>
      </c>
      <c r="M856" s="32" t="s">
        <v>10779</v>
      </c>
      <c r="N856" s="32" t="str">
        <f t="shared" ref="N856" si="226">O856&amp;"&amp;"&amp;P856&amp;"&amp;"&amp;"rNCOH&amp;"&amp;R856&amp;"&amp;DHW"</f>
        <v>MFm&amp;0&amp;rNCOH&amp;Ex&amp;DHW</v>
      </c>
      <c r="O856" s="32" t="s">
        <v>63</v>
      </c>
      <c r="P856" s="32">
        <v>0</v>
      </c>
      <c r="Q856" s="32" t="s">
        <v>57</v>
      </c>
      <c r="R856" s="32" t="s">
        <v>52</v>
      </c>
      <c r="S856" s="32" t="s">
        <v>10786</v>
      </c>
      <c r="T856" s="32" t="str">
        <f t="shared" si="220"/>
        <v>dxHP_equip__spltHP-SEER-BA</v>
      </c>
      <c r="U856" s="32" t="str">
        <f t="shared" si="221"/>
        <v>SpaceHtg_eq__GasFurnace</v>
      </c>
      <c r="V856" s="32" t="s">
        <v>105</v>
      </c>
      <c r="W856" s="32" t="s">
        <v>106</v>
      </c>
      <c r="X856" s="32" t="s">
        <v>137</v>
      </c>
      <c r="Y856" s="32" t="s">
        <v>138</v>
      </c>
      <c r="Z856" s="32"/>
      <c r="AA856" s="32" t="s">
        <v>194</v>
      </c>
    </row>
    <row r="857" spans="1:27" x14ac:dyDescent="0.25">
      <c r="A857" s="32" t="s">
        <v>10771</v>
      </c>
      <c r="B857" s="32" t="s">
        <v>10675</v>
      </c>
      <c r="C857" s="32" t="s">
        <v>10770</v>
      </c>
      <c r="D857" s="32" t="s">
        <v>10772</v>
      </c>
      <c r="E857" s="32" t="s">
        <v>10781</v>
      </c>
      <c r="F857" s="32" t="str">
        <f t="shared" si="211"/>
        <v>MFm-Ex-rDXHP-RE-dxHP_equip-spltSEER-18.7-SEER2-8.7-HSPF2-RG-NCOH_equip-Boiler-AFUE84-FC</v>
      </c>
      <c r="G857" s="32" t="str">
        <f t="shared" si="212"/>
        <v>MFm-Ex-rDXHP-RE-dxHP_equip-spltSEER-18.7-SEER2-8.7-HSPF2-RG-NCOH_equip-Boiler-AFUE84-FC</v>
      </c>
      <c r="H857" s="32" t="str">
        <f t="shared" si="213"/>
        <v>RG-NCOH_equip-Boiler-AFUE84-FC</v>
      </c>
      <c r="I857" s="32" t="str">
        <f t="shared" si="214"/>
        <v>RG-NCOH_equip-Boiler-AFUE84-FC</v>
      </c>
      <c r="J857" s="32" t="str">
        <f t="shared" si="215"/>
        <v>RE-dxHP_equip-spltSEER-18.7-SEER2-8.7-HSPF2</v>
      </c>
      <c r="K857" s="32" t="s">
        <v>10774</v>
      </c>
      <c r="L857" s="32" t="s">
        <v>10774</v>
      </c>
      <c r="M857" s="32" t="s">
        <v>10779</v>
      </c>
      <c r="N857" s="32" t="str">
        <f t="shared" ref="N857" si="227">O857&amp;"&amp;"&amp;P857&amp;"&amp;"&amp;"rDXHW&amp;"&amp;R857&amp;"&amp;DHW"</f>
        <v>MFm&amp;0&amp;rDXHW&amp;Ex&amp;DHW</v>
      </c>
      <c r="O857" s="32" t="s">
        <v>63</v>
      </c>
      <c r="P857" s="32">
        <v>0</v>
      </c>
      <c r="Q857" s="32" t="s">
        <v>57</v>
      </c>
      <c r="R857" s="32" t="s">
        <v>52</v>
      </c>
      <c r="S857" s="32" t="s">
        <v>10786</v>
      </c>
      <c r="T857" s="32" t="str">
        <f t="shared" si="220"/>
        <v>dxHP_equip__spltHP-SEER-BA</v>
      </c>
      <c r="U857" s="32" t="str">
        <f t="shared" si="221"/>
        <v>SpaceHtg_eq__GasFurnace</v>
      </c>
      <c r="V857" s="32" t="s">
        <v>105</v>
      </c>
      <c r="W857" s="32" t="s">
        <v>106</v>
      </c>
      <c r="X857" s="32" t="s">
        <v>137</v>
      </c>
      <c r="Y857" s="32" t="s">
        <v>138</v>
      </c>
      <c r="Z857" s="32"/>
      <c r="AA857" s="32" t="s">
        <v>194</v>
      </c>
    </row>
    <row r="858" spans="1:27" x14ac:dyDescent="0.25">
      <c r="A858" s="32" t="s">
        <v>10771</v>
      </c>
      <c r="B858" s="32" t="s">
        <v>10675</v>
      </c>
      <c r="C858" s="32" t="s">
        <v>10770</v>
      </c>
      <c r="D858" s="32" t="s">
        <v>10772</v>
      </c>
      <c r="E858" s="32" t="s">
        <v>10781</v>
      </c>
      <c r="F858" s="32" t="str">
        <f t="shared" si="211"/>
        <v>MFm-Ex-rDXHP-RE-dxHP_equip-spltSEER-18.7-SEER2-8.7-HSPF2-RG-NCGF_eq-GasFurnace-AFUE67-NoFanPower</v>
      </c>
      <c r="G858" s="32" t="str">
        <f t="shared" si="212"/>
        <v>MFm-Ex-rDXHP-RE-dxHP_equip-spltSEER-18.7-SEER2-8.7-HSPF2-RG-NCGF_eq-GasFurnace-AFUE67-NoFanPower</v>
      </c>
      <c r="H858" s="32" t="str">
        <f t="shared" si="213"/>
        <v>RG-NCGF_eq-GasFurnace-AFUE67-NoFanPower</v>
      </c>
      <c r="I858" s="32" t="str">
        <f t="shared" si="214"/>
        <v>RG-NCGF_eq-GasFurnace-AFUE67-NoFanPower</v>
      </c>
      <c r="J858" s="32" t="str">
        <f t="shared" si="215"/>
        <v>RE-dxHP_equip-spltSEER-18.7-SEER2-8.7-HSPF2</v>
      </c>
      <c r="K858" s="32" t="s">
        <v>10776</v>
      </c>
      <c r="L858" s="32" t="s">
        <v>10776</v>
      </c>
      <c r="M858" s="32" t="s">
        <v>10779</v>
      </c>
      <c r="N858" s="32" t="str">
        <f t="shared" ref="N858" si="228">O858&amp;"&amp;"&amp;P858&amp;"&amp;"&amp;"rNCOH&amp;"&amp;R858&amp;"&amp;DHW"</f>
        <v>MFm&amp;0&amp;rNCOH&amp;Ex&amp;DHW</v>
      </c>
      <c r="O858" s="32" t="s">
        <v>63</v>
      </c>
      <c r="P858" s="32">
        <v>0</v>
      </c>
      <c r="Q858" s="32" t="s">
        <v>57</v>
      </c>
      <c r="R858" s="32" t="s">
        <v>52</v>
      </c>
      <c r="S858" s="32" t="s">
        <v>10786</v>
      </c>
      <c r="T858" s="32" t="str">
        <f t="shared" si="220"/>
        <v>dxHP_equip__spltHP-SEER-BA</v>
      </c>
      <c r="U858" s="32" t="str">
        <f t="shared" si="221"/>
        <v>SpaceHtg_eq__GasFurnace</v>
      </c>
      <c r="V858" s="32" t="s">
        <v>105</v>
      </c>
      <c r="W858" s="32" t="s">
        <v>106</v>
      </c>
      <c r="X858" s="32" t="s">
        <v>137</v>
      </c>
      <c r="Y858" s="32" t="s">
        <v>138</v>
      </c>
      <c r="Z858" s="32"/>
      <c r="AA858" s="32" t="s">
        <v>194</v>
      </c>
    </row>
    <row r="859" spans="1:27" x14ac:dyDescent="0.25">
      <c r="A859" s="32" t="s">
        <v>10771</v>
      </c>
      <c r="B859" s="32" t="s">
        <v>10675</v>
      </c>
      <c r="C859" s="32" t="s">
        <v>10770</v>
      </c>
      <c r="D859" s="32" t="s">
        <v>10772</v>
      </c>
      <c r="E859" s="32" t="s">
        <v>10781</v>
      </c>
      <c r="F859" s="32" t="str">
        <f t="shared" si="211"/>
        <v>MFm-Ex-rDXHP-RE-dxHP_equip-spltSEER-18.7-SEER2-8.7-HSPF2-RE-dxHW_equip-Boiler-AFUE84-Radiator-11.0-EER</v>
      </c>
      <c r="G859" s="32" t="str">
        <f t="shared" si="212"/>
        <v>MFm-Ex-rDXHP-RE-dxHP_equip-spltSEER-18.7-SEER2-8.7-HSPF2-RE-dxHW_equip-Boiler-AFUE84-Radiator-11.0-EER</v>
      </c>
      <c r="H859" s="32" t="str">
        <f t="shared" si="213"/>
        <v>RE-dxHW_equip-Boiler-AFUE84-Radiator-11.0-EER</v>
      </c>
      <c r="I859" s="32" t="str">
        <f t="shared" si="214"/>
        <v>RE-dxHW_equip-Boiler-AFUE84-Radiator-11.0-EER</v>
      </c>
      <c r="J859" s="32" t="str">
        <f t="shared" si="215"/>
        <v>RE-dxHP_equip-spltSEER-18.7-SEER2-8.7-HSPF2</v>
      </c>
      <c r="K859" s="32" t="s">
        <v>10782</v>
      </c>
      <c r="L859" s="32" t="s">
        <v>10782</v>
      </c>
      <c r="M859" s="32" t="s">
        <v>10779</v>
      </c>
      <c r="N859" s="32" t="str">
        <f t="shared" ref="N859" si="229">O859&amp;"&amp;"&amp;P859&amp;"&amp;"&amp;"rDXHW&amp;"&amp;R859&amp;"&amp;DHW"</f>
        <v>MFm&amp;0&amp;rDXHW&amp;Ex&amp;DHW</v>
      </c>
      <c r="O859" s="32" t="s">
        <v>63</v>
      </c>
      <c r="P859" s="32">
        <v>0</v>
      </c>
      <c r="Q859" s="32" t="s">
        <v>57</v>
      </c>
      <c r="R859" s="32" t="s">
        <v>52</v>
      </c>
      <c r="S859" s="32" t="s">
        <v>10786</v>
      </c>
      <c r="T859" s="32" t="str">
        <f t="shared" si="220"/>
        <v>dxHP_equip__spltHP-SEER-BA</v>
      </c>
      <c r="U859" s="32" t="str">
        <f t="shared" si="221"/>
        <v>SpaceHtg_eq__GasFurnace</v>
      </c>
      <c r="V859" s="32" t="s">
        <v>105</v>
      </c>
      <c r="W859" s="32" t="s">
        <v>106</v>
      </c>
      <c r="X859" s="32" t="s">
        <v>137</v>
      </c>
      <c r="Y859" s="32" t="s">
        <v>138</v>
      </c>
      <c r="Z859" s="32"/>
      <c r="AA859" s="32" t="s">
        <v>194</v>
      </c>
    </row>
    <row r="860" spans="1:27" x14ac:dyDescent="0.25">
      <c r="A860" s="32" t="s">
        <v>10771</v>
      </c>
      <c r="B860" s="32" t="s">
        <v>10675</v>
      </c>
      <c r="C860" s="32" t="s">
        <v>10770</v>
      </c>
      <c r="D860" s="32" t="s">
        <v>10772</v>
      </c>
      <c r="E860" s="32" t="s">
        <v>10781</v>
      </c>
      <c r="F860" s="32" t="str">
        <f t="shared" si="211"/>
        <v>MFm-Ex-rDXHP-RE-dxHP_equip-spltSEER-18.7-SEER2-8.7-HSPF2-RE-dxHW_equip-Boiler-AFUE84-FC-11.0-EER</v>
      </c>
      <c r="G860" s="32" t="str">
        <f t="shared" si="212"/>
        <v>MFm-Ex-rDXHP-RE-dxHP_equip-spltSEER-18.7-SEER2-8.7-HSPF2-RE-dxHW_equip-Boiler-AFUE84-FC-11.0-EER</v>
      </c>
      <c r="H860" s="32" t="str">
        <f t="shared" si="213"/>
        <v>RE-dxHW_equip-Boiler-AFUE84-FC-11.0-EER</v>
      </c>
      <c r="I860" s="32" t="str">
        <f t="shared" si="214"/>
        <v>RE-dxHW_equip-Boiler-AFUE84-FC-11.0-EER</v>
      </c>
      <c r="J860" s="32" t="str">
        <f t="shared" si="215"/>
        <v>RE-dxHP_equip-spltSEER-18.7-SEER2-8.7-HSPF2</v>
      </c>
      <c r="K860" s="32" t="s">
        <v>10783</v>
      </c>
      <c r="L860" s="32" t="s">
        <v>10783</v>
      </c>
      <c r="M860" s="32" t="s">
        <v>10779</v>
      </c>
      <c r="N860" s="32" t="str">
        <f t="shared" ref="N860" si="230">O860&amp;"&amp;"&amp;P860&amp;"&amp;"&amp;"rNCOH&amp;"&amp;R860&amp;"&amp;DHW"</f>
        <v>MFm&amp;0&amp;rNCOH&amp;Ex&amp;DHW</v>
      </c>
      <c r="O860" s="32" t="s">
        <v>63</v>
      </c>
      <c r="P860" s="32">
        <v>0</v>
      </c>
      <c r="Q860" s="32" t="s">
        <v>57</v>
      </c>
      <c r="R860" s="32" t="s">
        <v>52</v>
      </c>
      <c r="S860" s="32" t="s">
        <v>10786</v>
      </c>
      <c r="T860" s="32" t="str">
        <f t="shared" si="220"/>
        <v>dxHP_equip__spltHP-SEER-BA</v>
      </c>
      <c r="U860" s="32" t="str">
        <f t="shared" si="221"/>
        <v>SpaceHtg_eq__GasFurnace</v>
      </c>
      <c r="V860" s="32" t="s">
        <v>105</v>
      </c>
      <c r="W860" s="32" t="s">
        <v>106</v>
      </c>
      <c r="X860" s="32" t="s">
        <v>137</v>
      </c>
      <c r="Y860" s="32" t="s">
        <v>138</v>
      </c>
      <c r="Z860" s="32"/>
      <c r="AA860" s="32" t="s">
        <v>194</v>
      </c>
    </row>
    <row r="861" spans="1:27" x14ac:dyDescent="0.25">
      <c r="A861" s="32" t="s">
        <v>10771</v>
      </c>
      <c r="B861" s="32" t="s">
        <v>10675</v>
      </c>
      <c r="C861" s="32" t="s">
        <v>10770</v>
      </c>
      <c r="D861" s="32" t="s">
        <v>10772</v>
      </c>
      <c r="E861" s="32" t="s">
        <v>10781</v>
      </c>
      <c r="F861" s="32" t="str">
        <f t="shared" si="211"/>
        <v>MFm-Ex-rDXHP-RE-dxHP_equip-spltSEER-18.7-SEER2-8.7-HSPF2-RE-dxGF_eq-GasFurnace-AFUE67-NoFanPower-11.0-EER</v>
      </c>
      <c r="G861" s="32" t="str">
        <f t="shared" si="212"/>
        <v>MFm-Ex-rDXHP-RE-dxHP_equip-spltSEER-18.7-SEER2-8.7-HSPF2-RE-dxGF_eq-GasFurnace-AFUE67-NoFanPower-11.0-EER</v>
      </c>
      <c r="H861" s="32" t="str">
        <f t="shared" si="213"/>
        <v>RE-dxGF_eq-GasFurnace-AFUE67-NoFanPower-11.0-EER</v>
      </c>
      <c r="I861" s="32" t="str">
        <f t="shared" si="214"/>
        <v>RE-dxGF_eq-GasFurnace-AFUE67-NoFanPower-11.0-EER</v>
      </c>
      <c r="J861" s="32" t="str">
        <f t="shared" si="215"/>
        <v>RE-dxHP_equip-spltSEER-18.7-SEER2-8.7-HSPF2</v>
      </c>
      <c r="K861" s="32" t="s">
        <v>10777</v>
      </c>
      <c r="L861" s="32" t="s">
        <v>10777</v>
      </c>
      <c r="M861" s="32" t="s">
        <v>10779</v>
      </c>
      <c r="N861" s="32" t="str">
        <f t="shared" ref="N861" si="231">O861&amp;"&amp;"&amp;P861&amp;"&amp;"&amp;"rDXHW&amp;"&amp;R861&amp;"&amp;DHW"</f>
        <v>MFm&amp;0&amp;rDXHW&amp;Ex&amp;DHW</v>
      </c>
      <c r="O861" s="32" t="s">
        <v>63</v>
      </c>
      <c r="P861" s="32">
        <v>0</v>
      </c>
      <c r="Q861" s="32" t="s">
        <v>57</v>
      </c>
      <c r="R861" s="32" t="s">
        <v>52</v>
      </c>
      <c r="S861" s="32" t="s">
        <v>10786</v>
      </c>
      <c r="T861" s="32" t="str">
        <f t="shared" si="220"/>
        <v>dxHP_equip__spltHP-SEER-BA</v>
      </c>
      <c r="U861" s="32" t="str">
        <f t="shared" si="221"/>
        <v>SpaceHtg_eq__GasFurnace</v>
      </c>
      <c r="V861" s="32" t="s">
        <v>105</v>
      </c>
      <c r="W861" s="32" t="s">
        <v>106</v>
      </c>
      <c r="X861" s="32" t="s">
        <v>137</v>
      </c>
      <c r="Y861" s="32" t="s">
        <v>138</v>
      </c>
      <c r="Z861" s="32"/>
      <c r="AA861" s="32" t="s">
        <v>194</v>
      </c>
    </row>
    <row r="862" spans="1:27" x14ac:dyDescent="0.25">
      <c r="A862" s="32" t="s">
        <v>10771</v>
      </c>
      <c r="B862" s="32" t="s">
        <v>10675</v>
      </c>
      <c r="C862" s="32" t="s">
        <v>10770</v>
      </c>
      <c r="D862" s="32" t="s">
        <v>10772</v>
      </c>
      <c r="E862" s="32" t="s">
        <v>10781</v>
      </c>
      <c r="F862" s="32" t="str">
        <f t="shared" si="211"/>
        <v>MFm-Ex-rDXHP-RE-dxHP_equip-spltSEER-20.5-SEER2-9.1-HSPF2-RG-NCOH_equip-Boiler-AFUE84-Radiator</v>
      </c>
      <c r="G862" s="32" t="str">
        <f t="shared" si="212"/>
        <v>MFm-Ex-rDXHP-RE-dxHP_equip-spltSEER-20.5-SEER2-9.1-HSPF2-RG-NCOH_equip-Boiler-AFUE84-Radiator</v>
      </c>
      <c r="H862" s="32" t="str">
        <f t="shared" si="213"/>
        <v>RG-NCOH_equip-Boiler-AFUE84-Radiator</v>
      </c>
      <c r="I862" s="32" t="str">
        <f t="shared" si="214"/>
        <v>RG-NCOH_equip-Boiler-AFUE84-Radiator</v>
      </c>
      <c r="J862" s="32" t="str">
        <f t="shared" si="215"/>
        <v>RE-dxHP_equip-spltSEER-20.5-SEER2-9.1-HSPF2</v>
      </c>
      <c r="K862" s="32" t="s">
        <v>10775</v>
      </c>
      <c r="L862" s="32" t="s">
        <v>10775</v>
      </c>
      <c r="M862" s="32" t="s">
        <v>10780</v>
      </c>
      <c r="N862" s="32" t="str">
        <f t="shared" ref="N862" si="232">O862&amp;"&amp;"&amp;P862&amp;"&amp;"&amp;"rNCOH&amp;"&amp;R862&amp;"&amp;DHW"</f>
        <v>MFm&amp;0&amp;rNCOH&amp;Ex&amp;DHW</v>
      </c>
      <c r="O862" s="32" t="s">
        <v>63</v>
      </c>
      <c r="P862" s="32">
        <v>0</v>
      </c>
      <c r="Q862" s="32" t="s">
        <v>57</v>
      </c>
      <c r="R862" s="32" t="s">
        <v>52</v>
      </c>
      <c r="S862" s="32" t="s">
        <v>10786</v>
      </c>
      <c r="T862" s="32" t="str">
        <f t="shared" si="220"/>
        <v>dxHP_equip__spltHP-SEER-BA</v>
      </c>
      <c r="U862" s="32" t="str">
        <f t="shared" si="221"/>
        <v>SpaceHtg_eq__GasFurnace</v>
      </c>
      <c r="V862" s="32" t="s">
        <v>105</v>
      </c>
      <c r="W862" s="32" t="s">
        <v>106</v>
      </c>
      <c r="X862" s="32" t="s">
        <v>137</v>
      </c>
      <c r="Y862" s="32" t="s">
        <v>138</v>
      </c>
      <c r="Z862" s="32"/>
      <c r="AA862" s="32" t="s">
        <v>194</v>
      </c>
    </row>
    <row r="863" spans="1:27" x14ac:dyDescent="0.25">
      <c r="A863" s="32" t="s">
        <v>10771</v>
      </c>
      <c r="B863" s="32" t="s">
        <v>10675</v>
      </c>
      <c r="C863" s="32" t="s">
        <v>10770</v>
      </c>
      <c r="D863" s="32" t="s">
        <v>10772</v>
      </c>
      <c r="E863" s="32" t="s">
        <v>10781</v>
      </c>
      <c r="F863" s="32" t="str">
        <f t="shared" si="211"/>
        <v>MFm-Ex-rDXHP-RE-dxHP_equip-spltSEER-20.5-SEER2-9.1-HSPF2-RG-NCOH_equip-Boiler-AFUE84-FC</v>
      </c>
      <c r="G863" s="32" t="str">
        <f t="shared" si="212"/>
        <v>MFm-Ex-rDXHP-RE-dxHP_equip-spltSEER-20.5-SEER2-9.1-HSPF2-RG-NCOH_equip-Boiler-AFUE84-FC</v>
      </c>
      <c r="H863" s="32" t="str">
        <f t="shared" si="213"/>
        <v>RG-NCOH_equip-Boiler-AFUE84-FC</v>
      </c>
      <c r="I863" s="32" t="str">
        <f t="shared" si="214"/>
        <v>RG-NCOH_equip-Boiler-AFUE84-FC</v>
      </c>
      <c r="J863" s="32" t="str">
        <f t="shared" si="215"/>
        <v>RE-dxHP_equip-spltSEER-20.5-SEER2-9.1-HSPF2</v>
      </c>
      <c r="K863" s="32" t="s">
        <v>10774</v>
      </c>
      <c r="L863" s="32" t="s">
        <v>10774</v>
      </c>
      <c r="M863" s="32" t="s">
        <v>10780</v>
      </c>
      <c r="N863" s="32" t="str">
        <f t="shared" ref="N863" si="233">O863&amp;"&amp;"&amp;P863&amp;"&amp;"&amp;"rDXHW&amp;"&amp;R863&amp;"&amp;DHW"</f>
        <v>MFm&amp;0&amp;rDXHW&amp;Ex&amp;DHW</v>
      </c>
      <c r="O863" s="32" t="s">
        <v>63</v>
      </c>
      <c r="P863" s="32">
        <v>0</v>
      </c>
      <c r="Q863" s="32" t="s">
        <v>57</v>
      </c>
      <c r="R863" s="32" t="s">
        <v>52</v>
      </c>
      <c r="S863" s="32" t="s">
        <v>10786</v>
      </c>
      <c r="T863" s="32" t="str">
        <f t="shared" si="220"/>
        <v>dxHP_equip__spltHP-SEER-BA</v>
      </c>
      <c r="U863" s="32" t="str">
        <f t="shared" si="221"/>
        <v>SpaceHtg_eq__GasFurnace</v>
      </c>
      <c r="V863" s="32" t="s">
        <v>105</v>
      </c>
      <c r="W863" s="32" t="s">
        <v>106</v>
      </c>
      <c r="X863" s="32" t="s">
        <v>137</v>
      </c>
      <c r="Y863" s="32" t="s">
        <v>138</v>
      </c>
      <c r="Z863" s="32"/>
      <c r="AA863" s="32" t="s">
        <v>194</v>
      </c>
    </row>
    <row r="864" spans="1:27" x14ac:dyDescent="0.25">
      <c r="A864" s="32" t="s">
        <v>10771</v>
      </c>
      <c r="B864" s="32" t="s">
        <v>10675</v>
      </c>
      <c r="C864" s="32" t="s">
        <v>10770</v>
      </c>
      <c r="D864" s="32" t="s">
        <v>10772</v>
      </c>
      <c r="E864" s="32" t="s">
        <v>10781</v>
      </c>
      <c r="F864" s="32" t="str">
        <f t="shared" si="211"/>
        <v>MFm-Ex-rDXHP-RE-dxHP_equip-spltSEER-20.5-SEER2-9.1-HSPF2-RG-NCGF_eq-GasFurnace-AFUE67-NoFanPower</v>
      </c>
      <c r="G864" s="32" t="str">
        <f t="shared" si="212"/>
        <v>MFm-Ex-rDXHP-RE-dxHP_equip-spltSEER-20.5-SEER2-9.1-HSPF2-RG-NCGF_eq-GasFurnace-AFUE67-NoFanPower</v>
      </c>
      <c r="H864" s="32" t="str">
        <f t="shared" si="213"/>
        <v>RG-NCGF_eq-GasFurnace-AFUE67-NoFanPower</v>
      </c>
      <c r="I864" s="32" t="str">
        <f t="shared" si="214"/>
        <v>RG-NCGF_eq-GasFurnace-AFUE67-NoFanPower</v>
      </c>
      <c r="J864" s="32" t="str">
        <f t="shared" si="215"/>
        <v>RE-dxHP_equip-spltSEER-20.5-SEER2-9.1-HSPF2</v>
      </c>
      <c r="K864" s="32" t="s">
        <v>10776</v>
      </c>
      <c r="L864" s="32" t="s">
        <v>10776</v>
      </c>
      <c r="M864" s="32" t="s">
        <v>10780</v>
      </c>
      <c r="N864" s="32" t="str">
        <f t="shared" ref="N864" si="234">O864&amp;"&amp;"&amp;P864&amp;"&amp;"&amp;"rNCOH&amp;"&amp;R864&amp;"&amp;DHW"</f>
        <v>MFm&amp;0&amp;rNCOH&amp;Ex&amp;DHW</v>
      </c>
      <c r="O864" s="32" t="s">
        <v>63</v>
      </c>
      <c r="P864" s="32">
        <v>0</v>
      </c>
      <c r="Q864" s="32" t="s">
        <v>57</v>
      </c>
      <c r="R864" s="32" t="s">
        <v>52</v>
      </c>
      <c r="S864" s="32" t="s">
        <v>10786</v>
      </c>
      <c r="T864" s="32" t="str">
        <f t="shared" si="220"/>
        <v>dxHP_equip__spltHP-SEER-BA</v>
      </c>
      <c r="U864" s="32" t="str">
        <f t="shared" si="221"/>
        <v>SpaceHtg_eq__GasFurnace</v>
      </c>
      <c r="V864" s="32" t="s">
        <v>105</v>
      </c>
      <c r="W864" s="32" t="s">
        <v>106</v>
      </c>
      <c r="X864" s="32" t="s">
        <v>137</v>
      </c>
      <c r="Y864" s="32" t="s">
        <v>138</v>
      </c>
      <c r="Z864" s="32"/>
      <c r="AA864" s="32" t="s">
        <v>194</v>
      </c>
    </row>
    <row r="865" spans="1:27" x14ac:dyDescent="0.25">
      <c r="A865" s="32" t="s">
        <v>10771</v>
      </c>
      <c r="B865" s="32" t="s">
        <v>10675</v>
      </c>
      <c r="C865" s="32" t="s">
        <v>10770</v>
      </c>
      <c r="D865" s="32" t="s">
        <v>10772</v>
      </c>
      <c r="E865" s="32" t="s">
        <v>10781</v>
      </c>
      <c r="F865" s="32" t="str">
        <f t="shared" si="211"/>
        <v>MFm-Ex-rDXHP-RE-dxHP_equip-spltSEER-20.5-SEER2-9.1-HSPF2-RE-dxHW_equip-Boiler-AFUE84-Radiator-11.0-EER</v>
      </c>
      <c r="G865" s="32" t="str">
        <f t="shared" si="212"/>
        <v>MFm-Ex-rDXHP-RE-dxHP_equip-spltSEER-20.5-SEER2-9.1-HSPF2-RE-dxHW_equip-Boiler-AFUE84-Radiator-11.0-EER</v>
      </c>
      <c r="H865" s="32" t="str">
        <f t="shared" si="213"/>
        <v>RE-dxHW_equip-Boiler-AFUE84-Radiator-11.0-EER</v>
      </c>
      <c r="I865" s="32" t="str">
        <f t="shared" si="214"/>
        <v>RE-dxHW_equip-Boiler-AFUE84-Radiator-11.0-EER</v>
      </c>
      <c r="J865" s="32" t="str">
        <f t="shared" si="215"/>
        <v>RE-dxHP_equip-spltSEER-20.5-SEER2-9.1-HSPF2</v>
      </c>
      <c r="K865" s="32" t="s">
        <v>10782</v>
      </c>
      <c r="L865" s="32" t="s">
        <v>10782</v>
      </c>
      <c r="M865" s="32" t="s">
        <v>10780</v>
      </c>
      <c r="N865" s="32" t="str">
        <f t="shared" ref="N865" si="235">O865&amp;"&amp;"&amp;P865&amp;"&amp;"&amp;"rDXHW&amp;"&amp;R865&amp;"&amp;DHW"</f>
        <v>MFm&amp;0&amp;rDXHW&amp;Ex&amp;DHW</v>
      </c>
      <c r="O865" s="32" t="s">
        <v>63</v>
      </c>
      <c r="P865" s="32">
        <v>0</v>
      </c>
      <c r="Q865" s="32" t="s">
        <v>57</v>
      </c>
      <c r="R865" s="32" t="s">
        <v>52</v>
      </c>
      <c r="S865" s="32" t="s">
        <v>10786</v>
      </c>
      <c r="T865" s="32" t="str">
        <f t="shared" si="220"/>
        <v>dxHP_equip__spltHP-SEER-BA</v>
      </c>
      <c r="U865" s="32" t="str">
        <f t="shared" si="221"/>
        <v>SpaceHtg_eq__GasFurnace</v>
      </c>
      <c r="V865" s="32" t="s">
        <v>105</v>
      </c>
      <c r="W865" s="32" t="s">
        <v>106</v>
      </c>
      <c r="X865" s="32" t="s">
        <v>137</v>
      </c>
      <c r="Y865" s="32" t="s">
        <v>138</v>
      </c>
      <c r="Z865" s="32"/>
      <c r="AA865" s="32" t="s">
        <v>194</v>
      </c>
    </row>
    <row r="866" spans="1:27" x14ac:dyDescent="0.25">
      <c r="A866" s="32" t="s">
        <v>10771</v>
      </c>
      <c r="B866" s="32" t="s">
        <v>10675</v>
      </c>
      <c r="C866" s="32" t="s">
        <v>10770</v>
      </c>
      <c r="D866" s="32" t="s">
        <v>10772</v>
      </c>
      <c r="E866" s="32" t="s">
        <v>10781</v>
      </c>
      <c r="F866" s="32" t="str">
        <f t="shared" si="211"/>
        <v>MFm-Ex-rDXHP-RE-dxHP_equip-spltSEER-20.5-SEER2-9.1-HSPF2-RE-dxHW_equip-Boiler-AFUE84-FC-11.0-EER</v>
      </c>
      <c r="G866" s="32" t="str">
        <f t="shared" si="212"/>
        <v>MFm-Ex-rDXHP-RE-dxHP_equip-spltSEER-20.5-SEER2-9.1-HSPF2-RE-dxHW_equip-Boiler-AFUE84-FC-11.0-EER</v>
      </c>
      <c r="H866" s="32" t="str">
        <f t="shared" si="213"/>
        <v>RE-dxHW_equip-Boiler-AFUE84-FC-11.0-EER</v>
      </c>
      <c r="I866" s="32" t="str">
        <f t="shared" si="214"/>
        <v>RE-dxHW_equip-Boiler-AFUE84-FC-11.0-EER</v>
      </c>
      <c r="J866" s="32" t="str">
        <f t="shared" si="215"/>
        <v>RE-dxHP_equip-spltSEER-20.5-SEER2-9.1-HSPF2</v>
      </c>
      <c r="K866" s="32" t="s">
        <v>10783</v>
      </c>
      <c r="L866" s="32" t="s">
        <v>10783</v>
      </c>
      <c r="M866" s="32" t="s">
        <v>10780</v>
      </c>
      <c r="N866" s="32" t="str">
        <f t="shared" ref="N866" si="236">O866&amp;"&amp;"&amp;P866&amp;"&amp;"&amp;"rNCOH&amp;"&amp;R866&amp;"&amp;DHW"</f>
        <v>MFm&amp;0&amp;rNCOH&amp;Ex&amp;DHW</v>
      </c>
      <c r="O866" s="32" t="s">
        <v>63</v>
      </c>
      <c r="P866" s="32">
        <v>0</v>
      </c>
      <c r="Q866" s="32" t="s">
        <v>57</v>
      </c>
      <c r="R866" s="32" t="s">
        <v>52</v>
      </c>
      <c r="S866" s="32" t="s">
        <v>10786</v>
      </c>
      <c r="T866" s="32" t="str">
        <f t="shared" si="220"/>
        <v>dxHP_equip__spltHP-SEER-BA</v>
      </c>
      <c r="U866" s="32" t="str">
        <f t="shared" si="221"/>
        <v>SpaceHtg_eq__GasFurnace</v>
      </c>
      <c r="V866" s="32" t="s">
        <v>105</v>
      </c>
      <c r="W866" s="32" t="s">
        <v>106</v>
      </c>
      <c r="X866" s="32" t="s">
        <v>137</v>
      </c>
      <c r="Y866" s="32" t="s">
        <v>138</v>
      </c>
      <c r="Z866" s="32"/>
      <c r="AA866" s="32" t="s">
        <v>194</v>
      </c>
    </row>
    <row r="867" spans="1:27" x14ac:dyDescent="0.25">
      <c r="A867" s="32" t="s">
        <v>10771</v>
      </c>
      <c r="B867" s="32" t="s">
        <v>10675</v>
      </c>
      <c r="C867" s="32" t="s">
        <v>10770</v>
      </c>
      <c r="D867" s="32" t="s">
        <v>10772</v>
      </c>
      <c r="E867" s="32" t="s">
        <v>10781</v>
      </c>
      <c r="F867" s="32" t="str">
        <f t="shared" si="211"/>
        <v>MFm-Ex-rDXHP-RE-dxHP_equip-spltSEER-20.5-SEER2-9.1-HSPF2-RE-dxGF_eq-GasFurnace-AFUE67-NoFanPower-11.0-EER</v>
      </c>
      <c r="G867" s="32" t="str">
        <f t="shared" si="212"/>
        <v>MFm-Ex-rDXHP-RE-dxHP_equip-spltSEER-20.5-SEER2-9.1-HSPF2-RE-dxGF_eq-GasFurnace-AFUE67-NoFanPower-11.0-EER</v>
      </c>
      <c r="H867" s="32" t="str">
        <f t="shared" si="213"/>
        <v>RE-dxGF_eq-GasFurnace-AFUE67-NoFanPower-11.0-EER</v>
      </c>
      <c r="I867" s="32" t="str">
        <f t="shared" si="214"/>
        <v>RE-dxGF_eq-GasFurnace-AFUE67-NoFanPower-11.0-EER</v>
      </c>
      <c r="J867" s="32" t="str">
        <f t="shared" si="215"/>
        <v>RE-dxHP_equip-spltSEER-20.5-SEER2-9.1-HSPF2</v>
      </c>
      <c r="K867" s="32" t="s">
        <v>10777</v>
      </c>
      <c r="L867" s="32" t="s">
        <v>10777</v>
      </c>
      <c r="M867" s="32" t="s">
        <v>10780</v>
      </c>
      <c r="N867" s="32" t="str">
        <f t="shared" ref="N867" si="237">O867&amp;"&amp;"&amp;P867&amp;"&amp;"&amp;"rDXHW&amp;"&amp;R867&amp;"&amp;DHW"</f>
        <v>MFm&amp;0&amp;rDXHW&amp;Ex&amp;DHW</v>
      </c>
      <c r="O867" s="32" t="s">
        <v>63</v>
      </c>
      <c r="P867" s="32">
        <v>0</v>
      </c>
      <c r="Q867" s="32" t="s">
        <v>57</v>
      </c>
      <c r="R867" s="32" t="s">
        <v>52</v>
      </c>
      <c r="S867" s="32" t="s">
        <v>10786</v>
      </c>
      <c r="T867" s="32" t="str">
        <f t="shared" si="220"/>
        <v>dxHP_equip__spltHP-SEER-BA</v>
      </c>
      <c r="U867" s="32" t="str">
        <f t="shared" si="221"/>
        <v>SpaceHtg_eq__GasFurnace</v>
      </c>
      <c r="V867" s="32" t="s">
        <v>105</v>
      </c>
      <c r="W867" s="32" t="s">
        <v>106</v>
      </c>
      <c r="X867" s="32" t="s">
        <v>137</v>
      </c>
      <c r="Y867" s="32" t="s">
        <v>138</v>
      </c>
      <c r="Z867" s="32"/>
      <c r="AA867" s="32" t="s">
        <v>194</v>
      </c>
    </row>
    <row r="868" spans="1:27" x14ac:dyDescent="0.25">
      <c r="A868" s="32" t="s">
        <v>10771</v>
      </c>
      <c r="B868" s="32" t="s">
        <v>10675</v>
      </c>
      <c r="C868" s="32" t="s">
        <v>10770</v>
      </c>
      <c r="D868" s="32" t="s">
        <v>10772</v>
      </c>
      <c r="E868" s="32" t="s">
        <v>10784</v>
      </c>
      <c r="F868" s="32" t="str">
        <f t="shared" si="211"/>
        <v>SFm-Ex-rDXHP-RE-dxHP_equip-spltSEER-16.0-SEER2-8.1-HSPF2-RG-NCGF_eq-GasFurnace-AFUE67-NoFanPower</v>
      </c>
      <c r="G868" s="32" t="str">
        <f t="shared" si="212"/>
        <v>SFm-Ex-rDXHP-RE-dxHP_equip-spltSEER-16.0-SEER2-8.1-HSPF2-RG-NCGF_eq-GasFurnace-AFUE67-NoFanPower</v>
      </c>
      <c r="H868" s="32" t="str">
        <f t="shared" ref="H868:H873" si="238">K868</f>
        <v>RG-NCGF_eq-GasFurnace-AFUE67-NoFanPower</v>
      </c>
      <c r="I868" s="32" t="str">
        <f t="shared" ref="I868:I873" si="239">L868</f>
        <v>RG-NCGF_eq-GasFurnace-AFUE67-NoFanPower</v>
      </c>
      <c r="J868" s="32" t="str">
        <f t="shared" ref="J868:J873" si="240">M868</f>
        <v>RE-dxHP_equip-spltSEER-16.0-SEER2-8.1-HSPF2</v>
      </c>
      <c r="K868" s="32" t="s">
        <v>10776</v>
      </c>
      <c r="L868" s="32" t="s">
        <v>10776</v>
      </c>
      <c r="M868" s="32" t="s">
        <v>10778</v>
      </c>
      <c r="N868" s="32" t="str">
        <f>O868&amp;"&amp;"&amp;P868&amp;"&amp;"&amp;"rNCOH&amp;"&amp;R868&amp;"&amp;DHW"</f>
        <v>SFm&amp;1&amp;rNCOH&amp;Ex&amp;DHW</v>
      </c>
      <c r="O868" s="32" t="s">
        <v>50</v>
      </c>
      <c r="P868" s="32">
        <v>1</v>
      </c>
      <c r="Q868" s="32" t="s">
        <v>57</v>
      </c>
      <c r="R868" s="32" t="s">
        <v>52</v>
      </c>
      <c r="S868" s="32" t="s">
        <v>10786</v>
      </c>
      <c r="T868" s="32" t="str">
        <f t="shared" ref="T868:T873" si="241">V868&amp;"__"&amp;W868</f>
        <v>dxHP_equip__spltHP-SEER-BA</v>
      </c>
      <c r="U868" s="32" t="str">
        <f t="shared" ref="U868:U873" si="242">X868&amp;"__"&amp;Y868</f>
        <v>SpaceHtg_eq__GasFurnace</v>
      </c>
      <c r="V868" s="32" t="s">
        <v>105</v>
      </c>
      <c r="W868" s="32" t="s">
        <v>106</v>
      </c>
      <c r="X868" s="32" t="s">
        <v>137</v>
      </c>
      <c r="Y868" s="32" t="s">
        <v>138</v>
      </c>
      <c r="Z868" s="32"/>
      <c r="AA868" s="32" t="s">
        <v>194</v>
      </c>
    </row>
    <row r="869" spans="1:27" x14ac:dyDescent="0.25">
      <c r="A869" s="32" t="s">
        <v>10771</v>
      </c>
      <c r="B869" s="32" t="s">
        <v>10675</v>
      </c>
      <c r="C869" s="32" t="s">
        <v>10770</v>
      </c>
      <c r="D869" s="32" t="s">
        <v>10772</v>
      </c>
      <c r="E869" s="32" t="s">
        <v>10784</v>
      </c>
      <c r="F869" s="32" t="str">
        <f t="shared" si="211"/>
        <v>SFm-Ex-rDXHP-RE-dxHP_equip-spltSEER-16.0-SEER2-8.1-HSPF2-RE-dxGF_eq-GasFurnace-AFUE67-NoFanPower-11.0-EER</v>
      </c>
      <c r="G869" s="32" t="str">
        <f t="shared" si="212"/>
        <v>SFm-Ex-rDXHP-RE-dxHP_equip-spltSEER-16.0-SEER2-8.1-HSPF2-RE-dxGF_eq-GasFurnace-AFUE67-NoFanPower-11.0-EER</v>
      </c>
      <c r="H869" s="32" t="str">
        <f t="shared" si="238"/>
        <v>RE-dxGF_eq-GasFurnace-AFUE67-NoFanPower-11.0-EER</v>
      </c>
      <c r="I869" s="32" t="str">
        <f t="shared" si="239"/>
        <v>RE-dxGF_eq-GasFurnace-AFUE67-NoFanPower-11.0-EER</v>
      </c>
      <c r="J869" s="32" t="str">
        <f t="shared" si="240"/>
        <v>RE-dxHP_equip-spltSEER-16.0-SEER2-8.1-HSPF2</v>
      </c>
      <c r="K869" s="32" t="s">
        <v>10777</v>
      </c>
      <c r="L869" s="32" t="s">
        <v>10777</v>
      </c>
      <c r="M869" s="32" t="s">
        <v>10778</v>
      </c>
      <c r="N869" s="32" t="str">
        <f>O869&amp;"&amp;"&amp;P869&amp;"&amp;"&amp;"rDXHW&amp;"&amp;R869&amp;"&amp;DHW"</f>
        <v>SFm&amp;1&amp;rDXHW&amp;Ex&amp;DHW</v>
      </c>
      <c r="O869" s="32" t="s">
        <v>50</v>
      </c>
      <c r="P869" s="32">
        <v>1</v>
      </c>
      <c r="Q869" s="32" t="s">
        <v>57</v>
      </c>
      <c r="R869" s="32" t="s">
        <v>52</v>
      </c>
      <c r="S869" s="32" t="s">
        <v>10786</v>
      </c>
      <c r="T869" s="32" t="str">
        <f t="shared" si="241"/>
        <v>dxHP_equip__spltHP-SEER-BA</v>
      </c>
      <c r="U869" s="32" t="str">
        <f t="shared" si="242"/>
        <v>SpaceHtg_eq__GasFurnace</v>
      </c>
      <c r="V869" s="32" t="s">
        <v>105</v>
      </c>
      <c r="W869" s="32" t="s">
        <v>106</v>
      </c>
      <c r="X869" s="32" t="s">
        <v>137</v>
      </c>
      <c r="Y869" s="32" t="s">
        <v>138</v>
      </c>
      <c r="Z869" s="32"/>
      <c r="AA869" s="32" t="s">
        <v>194</v>
      </c>
    </row>
    <row r="870" spans="1:27" x14ac:dyDescent="0.25">
      <c r="A870" s="32" t="s">
        <v>10771</v>
      </c>
      <c r="B870" s="32" t="s">
        <v>10675</v>
      </c>
      <c r="C870" s="32" t="s">
        <v>10770</v>
      </c>
      <c r="D870" s="32" t="s">
        <v>10772</v>
      </c>
      <c r="E870" s="32" t="s">
        <v>10784</v>
      </c>
      <c r="F870" s="32" t="str">
        <f t="shared" si="211"/>
        <v>SFm-Ex-rDXHP-RE-dxHP_equip-spltSEER-18.7-SEER2-8.7-HSPF2-RG-NCGF_eq-GasFurnace-AFUE67-NoFanPower</v>
      </c>
      <c r="G870" s="32" t="str">
        <f t="shared" si="212"/>
        <v>SFm-Ex-rDXHP-RE-dxHP_equip-spltSEER-18.7-SEER2-8.7-HSPF2-RG-NCGF_eq-GasFurnace-AFUE67-NoFanPower</v>
      </c>
      <c r="H870" s="32" t="str">
        <f t="shared" si="238"/>
        <v>RG-NCGF_eq-GasFurnace-AFUE67-NoFanPower</v>
      </c>
      <c r="I870" s="32" t="str">
        <f t="shared" si="239"/>
        <v>RG-NCGF_eq-GasFurnace-AFUE67-NoFanPower</v>
      </c>
      <c r="J870" s="32" t="str">
        <f t="shared" si="240"/>
        <v>RE-dxHP_equip-spltSEER-18.7-SEER2-8.7-HSPF2</v>
      </c>
      <c r="K870" s="32" t="s">
        <v>10776</v>
      </c>
      <c r="L870" s="32" t="s">
        <v>10776</v>
      </c>
      <c r="M870" s="32" t="s">
        <v>10779</v>
      </c>
      <c r="N870" s="32" t="str">
        <f t="shared" ref="N870" si="243">O870&amp;"&amp;"&amp;P870&amp;"&amp;"&amp;"rNCOH&amp;"&amp;R870&amp;"&amp;DHW"</f>
        <v>SFm&amp;1&amp;rNCOH&amp;Ex&amp;DHW</v>
      </c>
      <c r="O870" s="32" t="s">
        <v>50</v>
      </c>
      <c r="P870" s="32">
        <v>1</v>
      </c>
      <c r="Q870" s="32" t="s">
        <v>57</v>
      </c>
      <c r="R870" s="32" t="s">
        <v>52</v>
      </c>
      <c r="S870" s="32" t="s">
        <v>10786</v>
      </c>
      <c r="T870" s="32" t="str">
        <f t="shared" si="241"/>
        <v>dxHP_equip__spltHP-SEER-BA</v>
      </c>
      <c r="U870" s="32" t="str">
        <f t="shared" si="242"/>
        <v>SpaceHtg_eq__GasFurnace</v>
      </c>
      <c r="V870" s="32" t="s">
        <v>105</v>
      </c>
      <c r="W870" s="32" t="s">
        <v>106</v>
      </c>
      <c r="X870" s="32" t="s">
        <v>137</v>
      </c>
      <c r="Y870" s="32" t="s">
        <v>138</v>
      </c>
      <c r="Z870" s="32"/>
      <c r="AA870" s="32" t="s">
        <v>194</v>
      </c>
    </row>
    <row r="871" spans="1:27" x14ac:dyDescent="0.25">
      <c r="A871" s="32" t="s">
        <v>10771</v>
      </c>
      <c r="B871" s="32" t="s">
        <v>10675</v>
      </c>
      <c r="C871" s="32" t="s">
        <v>10770</v>
      </c>
      <c r="D871" s="32" t="s">
        <v>10772</v>
      </c>
      <c r="E871" s="32" t="s">
        <v>10784</v>
      </c>
      <c r="F871" s="32" t="str">
        <f t="shared" si="211"/>
        <v>SFm-Ex-rDXHP-RE-dxHP_equip-spltSEER-18.7-SEER2-8.7-HSPF2-RE-dxGF_eq-GasFurnace-AFUE67-NoFanPower-11.0-EER</v>
      </c>
      <c r="G871" s="32" t="str">
        <f t="shared" si="212"/>
        <v>SFm-Ex-rDXHP-RE-dxHP_equip-spltSEER-18.7-SEER2-8.7-HSPF2-RE-dxGF_eq-GasFurnace-AFUE67-NoFanPower-11.0-EER</v>
      </c>
      <c r="H871" s="32" t="str">
        <f t="shared" si="238"/>
        <v>RE-dxGF_eq-GasFurnace-AFUE67-NoFanPower-11.0-EER</v>
      </c>
      <c r="I871" s="32" t="str">
        <f t="shared" si="239"/>
        <v>RE-dxGF_eq-GasFurnace-AFUE67-NoFanPower-11.0-EER</v>
      </c>
      <c r="J871" s="32" t="str">
        <f t="shared" si="240"/>
        <v>RE-dxHP_equip-spltSEER-18.7-SEER2-8.7-HSPF2</v>
      </c>
      <c r="K871" s="32" t="s">
        <v>10777</v>
      </c>
      <c r="L871" s="32" t="s">
        <v>10777</v>
      </c>
      <c r="M871" s="32" t="s">
        <v>10779</v>
      </c>
      <c r="N871" s="32" t="str">
        <f t="shared" ref="N871" si="244">O871&amp;"&amp;"&amp;P871&amp;"&amp;"&amp;"rDXHW&amp;"&amp;R871&amp;"&amp;DHW"</f>
        <v>SFm&amp;1&amp;rDXHW&amp;Ex&amp;DHW</v>
      </c>
      <c r="O871" s="32" t="s">
        <v>50</v>
      </c>
      <c r="P871" s="32">
        <v>1</v>
      </c>
      <c r="Q871" s="32" t="s">
        <v>57</v>
      </c>
      <c r="R871" s="32" t="s">
        <v>52</v>
      </c>
      <c r="S871" s="32" t="s">
        <v>10786</v>
      </c>
      <c r="T871" s="32" t="str">
        <f t="shared" si="241"/>
        <v>dxHP_equip__spltHP-SEER-BA</v>
      </c>
      <c r="U871" s="32" t="str">
        <f t="shared" si="242"/>
        <v>SpaceHtg_eq__GasFurnace</v>
      </c>
      <c r="V871" s="32" t="s">
        <v>105</v>
      </c>
      <c r="W871" s="32" t="s">
        <v>106</v>
      </c>
      <c r="X871" s="32" t="s">
        <v>137</v>
      </c>
      <c r="Y871" s="32" t="s">
        <v>138</v>
      </c>
      <c r="Z871" s="32"/>
      <c r="AA871" s="32" t="s">
        <v>194</v>
      </c>
    </row>
    <row r="872" spans="1:27" x14ac:dyDescent="0.25">
      <c r="A872" s="32" t="s">
        <v>10771</v>
      </c>
      <c r="B872" s="32" t="s">
        <v>10675</v>
      </c>
      <c r="C872" s="32" t="s">
        <v>10770</v>
      </c>
      <c r="D872" s="32" t="s">
        <v>10772</v>
      </c>
      <c r="E872" s="32" t="s">
        <v>10784</v>
      </c>
      <c r="F872" s="32" t="str">
        <f t="shared" si="211"/>
        <v>SFm-Ex-rDXHP-RE-dxHP_equip-spltSEER-20.5-SEER2-9.1-HSPF2-RG-NCGF_eq-GasFurnace-AFUE67-NoFanPower</v>
      </c>
      <c r="G872" s="32" t="str">
        <f t="shared" si="212"/>
        <v>SFm-Ex-rDXHP-RE-dxHP_equip-spltSEER-20.5-SEER2-9.1-HSPF2-RG-NCGF_eq-GasFurnace-AFUE67-NoFanPower</v>
      </c>
      <c r="H872" s="32" t="str">
        <f t="shared" si="238"/>
        <v>RG-NCGF_eq-GasFurnace-AFUE67-NoFanPower</v>
      </c>
      <c r="I872" s="32" t="str">
        <f t="shared" si="239"/>
        <v>RG-NCGF_eq-GasFurnace-AFUE67-NoFanPower</v>
      </c>
      <c r="J872" s="32" t="str">
        <f t="shared" si="240"/>
        <v>RE-dxHP_equip-spltSEER-20.5-SEER2-9.1-HSPF2</v>
      </c>
      <c r="K872" s="32" t="s">
        <v>10776</v>
      </c>
      <c r="L872" s="32" t="s">
        <v>10776</v>
      </c>
      <c r="M872" s="32" t="s">
        <v>10780</v>
      </c>
      <c r="N872" s="32" t="str">
        <f t="shared" ref="N872" si="245">O872&amp;"&amp;"&amp;P872&amp;"&amp;"&amp;"rNCOH&amp;"&amp;R872&amp;"&amp;DHW"</f>
        <v>SFm&amp;1&amp;rNCOH&amp;Ex&amp;DHW</v>
      </c>
      <c r="O872" s="32" t="s">
        <v>50</v>
      </c>
      <c r="P872" s="32">
        <v>1</v>
      </c>
      <c r="Q872" s="32" t="s">
        <v>57</v>
      </c>
      <c r="R872" s="32" t="s">
        <v>52</v>
      </c>
      <c r="S872" s="32" t="s">
        <v>10786</v>
      </c>
      <c r="T872" s="32" t="str">
        <f t="shared" si="241"/>
        <v>dxHP_equip__spltHP-SEER-BA</v>
      </c>
      <c r="U872" s="32" t="str">
        <f t="shared" si="242"/>
        <v>SpaceHtg_eq__GasFurnace</v>
      </c>
      <c r="V872" s="32" t="s">
        <v>105</v>
      </c>
      <c r="W872" s="32" t="s">
        <v>106</v>
      </c>
      <c r="X872" s="32" t="s">
        <v>137</v>
      </c>
      <c r="Y872" s="32" t="s">
        <v>138</v>
      </c>
      <c r="Z872" s="32"/>
      <c r="AA872" s="32" t="s">
        <v>194</v>
      </c>
    </row>
    <row r="873" spans="1:27" x14ac:dyDescent="0.25">
      <c r="A873" s="32" t="s">
        <v>10771</v>
      </c>
      <c r="B873" s="32" t="s">
        <v>10675</v>
      </c>
      <c r="C873" s="32" t="s">
        <v>10770</v>
      </c>
      <c r="D873" s="32" t="s">
        <v>10772</v>
      </c>
      <c r="E873" s="32" t="s">
        <v>10784</v>
      </c>
      <c r="F873" s="32" t="str">
        <f t="shared" si="211"/>
        <v>SFm-Ex-rDXHP-RE-dxHP_equip-spltSEER-20.5-SEER2-9.1-HSPF2-RE-dxGF_eq-GasFurnace-AFUE67-NoFanPower-11.0-EER</v>
      </c>
      <c r="G873" s="32" t="str">
        <f t="shared" si="212"/>
        <v>SFm-Ex-rDXHP-RE-dxHP_equip-spltSEER-20.5-SEER2-9.1-HSPF2-RE-dxGF_eq-GasFurnace-AFUE67-NoFanPower-11.0-EER</v>
      </c>
      <c r="H873" s="32" t="str">
        <f t="shared" si="238"/>
        <v>RE-dxGF_eq-GasFurnace-AFUE67-NoFanPower-11.0-EER</v>
      </c>
      <c r="I873" s="32" t="str">
        <f t="shared" si="239"/>
        <v>RE-dxGF_eq-GasFurnace-AFUE67-NoFanPower-11.0-EER</v>
      </c>
      <c r="J873" s="32" t="str">
        <f t="shared" si="240"/>
        <v>RE-dxHP_equip-spltSEER-20.5-SEER2-9.1-HSPF2</v>
      </c>
      <c r="K873" s="32" t="s">
        <v>10777</v>
      </c>
      <c r="L873" s="32" t="s">
        <v>10777</v>
      </c>
      <c r="M873" s="32" t="s">
        <v>10780</v>
      </c>
      <c r="N873" s="32" t="str">
        <f t="shared" ref="N873" si="246">O873&amp;"&amp;"&amp;P873&amp;"&amp;"&amp;"rDXHW&amp;"&amp;R873&amp;"&amp;DHW"</f>
        <v>SFm&amp;1&amp;rDXHW&amp;Ex&amp;DHW</v>
      </c>
      <c r="O873" s="32" t="s">
        <v>50</v>
      </c>
      <c r="P873" s="32">
        <v>1</v>
      </c>
      <c r="Q873" s="32" t="s">
        <v>57</v>
      </c>
      <c r="R873" s="32" t="s">
        <v>52</v>
      </c>
      <c r="S873" s="32" t="s">
        <v>10786</v>
      </c>
      <c r="T873" s="32" t="str">
        <f t="shared" si="241"/>
        <v>dxHP_equip__spltHP-SEER-BA</v>
      </c>
      <c r="U873" s="32" t="str">
        <f t="shared" si="242"/>
        <v>SpaceHtg_eq__GasFurnace</v>
      </c>
      <c r="V873" s="32" t="s">
        <v>105</v>
      </c>
      <c r="W873" s="32" t="s">
        <v>106</v>
      </c>
      <c r="X873" s="32" t="s">
        <v>137</v>
      </c>
      <c r="Y873" s="32" t="s">
        <v>138</v>
      </c>
      <c r="Z873" s="32"/>
      <c r="AA873" s="32" t="s">
        <v>194</v>
      </c>
    </row>
    <row r="874" spans="1:27" x14ac:dyDescent="0.25">
      <c r="A874" s="32" t="s">
        <v>10771</v>
      </c>
      <c r="B874" s="32" t="s">
        <v>10675</v>
      </c>
      <c r="C874" s="32" t="s">
        <v>10770</v>
      </c>
      <c r="D874" s="32" t="s">
        <v>10772</v>
      </c>
      <c r="E874" s="32" t="s">
        <v>10784</v>
      </c>
      <c r="F874" s="32" t="str">
        <f t="shared" si="211"/>
        <v>SFm-Ex-rDXHP-RE-dxHP_equip-spltSEER-16.0-SEER2-8.1-HSPF2-RG-NCGF_eq-GasFurnace-AFUE67-NoFanPower</v>
      </c>
      <c r="G874" s="32" t="str">
        <f t="shared" si="212"/>
        <v>SFm-Ex-rDXHP-RE-dxHP_equip-spltSEER-16.0-SEER2-8.1-HSPF2-RG-NCGF_eq-GasFurnace-AFUE67-NoFanPower</v>
      </c>
      <c r="H874" s="32" t="str">
        <f t="shared" ref="H874:H885" si="247">K874</f>
        <v>RE-dxGF_eq-GasFurnace-AFUE67-NoFanPower-11.0-EER</v>
      </c>
      <c r="I874" s="32" t="str">
        <f t="shared" ref="I874:I885" si="248">L874</f>
        <v>RG-NCGF_eq-GasFurnace-AFUE67-NoFanPower</v>
      </c>
      <c r="J874" s="32" t="str">
        <f t="shared" ref="J874:J885" si="249">M874</f>
        <v>RE-dxHP_equip-spltSEER-16.0-SEER2-8.1-HSPF2</v>
      </c>
      <c r="K874" s="32" t="s">
        <v>10777</v>
      </c>
      <c r="L874" s="32" t="s">
        <v>10776</v>
      </c>
      <c r="M874" s="32" t="s">
        <v>10778</v>
      </c>
      <c r="N874" s="32" t="str">
        <f>O874&amp;"&amp;"&amp;P874&amp;"&amp;"&amp;"rNCOH&amp;"&amp;R874&amp;"&amp;DHW"</f>
        <v>SFm&amp;2&amp;rNCOH&amp;Ex&amp;DHW</v>
      </c>
      <c r="O874" s="32" t="s">
        <v>50</v>
      </c>
      <c r="P874" s="32">
        <v>2</v>
      </c>
      <c r="Q874" s="32" t="s">
        <v>57</v>
      </c>
      <c r="R874" s="32" t="s">
        <v>52</v>
      </c>
      <c r="S874" s="32" t="s">
        <v>10786</v>
      </c>
      <c r="T874" s="32" t="str">
        <f t="shared" ref="T874:T885" si="250">V874&amp;"__"&amp;W874</f>
        <v>dxHP_equip__spltHP-SEER-BA</v>
      </c>
      <c r="U874" s="32" t="str">
        <f t="shared" ref="U874:U885" si="251">X874&amp;"__"&amp;Y874</f>
        <v>SpaceHtg_eq__GasFurnace</v>
      </c>
      <c r="V874" s="32" t="s">
        <v>105</v>
      </c>
      <c r="W874" s="32" t="s">
        <v>106</v>
      </c>
      <c r="X874" s="32" t="s">
        <v>137</v>
      </c>
      <c r="Y874" s="32" t="s">
        <v>138</v>
      </c>
      <c r="Z874" s="32"/>
      <c r="AA874" s="32" t="s">
        <v>194</v>
      </c>
    </row>
    <row r="875" spans="1:27" x14ac:dyDescent="0.25">
      <c r="A875" s="32" t="s">
        <v>10771</v>
      </c>
      <c r="B875" s="32" t="s">
        <v>10675</v>
      </c>
      <c r="C875" s="32" t="s">
        <v>10770</v>
      </c>
      <c r="D875" s="32" t="s">
        <v>10772</v>
      </c>
      <c r="E875" s="32" t="s">
        <v>10784</v>
      </c>
      <c r="F875" s="32" t="str">
        <f t="shared" si="211"/>
        <v>SFm-Ex-rDXHP-RE-dxHP_equip-spltSEER-16.0-SEER2-8.1-HSPF2-RE-dxGF_eq-GasFurnace-AFUE67-NoFanPower-11.0-EER</v>
      </c>
      <c r="G875" s="32" t="str">
        <f t="shared" si="212"/>
        <v>SFm-Ex-rDXHP-RE-dxHP_equip-spltSEER-16.0-SEER2-8.1-HSPF2-RE-dxGF_eq-GasFurnace-AFUE67-NoFanPower-11.0-EER</v>
      </c>
      <c r="H875" s="32" t="str">
        <f t="shared" si="247"/>
        <v>RE-dxGF_eq-GasFurnace-AFUE67-NoFanPower-11.0-EER</v>
      </c>
      <c r="I875" s="32" t="str">
        <f t="shared" si="248"/>
        <v>RE-dxGF_eq-GasFurnace-AFUE67-NoFanPower-11.0-EER</v>
      </c>
      <c r="J875" s="32" t="str">
        <f t="shared" si="249"/>
        <v>RE-dxHP_equip-spltSEER-16.0-SEER2-8.1-HSPF2</v>
      </c>
      <c r="K875" s="32" t="s">
        <v>10777</v>
      </c>
      <c r="L875" s="32" t="s">
        <v>10777</v>
      </c>
      <c r="M875" s="32" t="s">
        <v>10778</v>
      </c>
      <c r="N875" s="32" t="str">
        <f>O875&amp;"&amp;"&amp;P875&amp;"&amp;"&amp;"rDXHW&amp;"&amp;R875&amp;"&amp;DHW"</f>
        <v>SFm&amp;2&amp;rDXHW&amp;Ex&amp;DHW</v>
      </c>
      <c r="O875" s="32" t="s">
        <v>50</v>
      </c>
      <c r="P875" s="32">
        <v>2</v>
      </c>
      <c r="Q875" s="32" t="s">
        <v>57</v>
      </c>
      <c r="R875" s="32" t="s">
        <v>52</v>
      </c>
      <c r="S875" s="32" t="s">
        <v>10786</v>
      </c>
      <c r="T875" s="32" t="str">
        <f t="shared" si="250"/>
        <v>dxHP_equip__spltHP-SEER-BA</v>
      </c>
      <c r="U875" s="32" t="str">
        <f t="shared" si="251"/>
        <v>SpaceHtg_eq__GasFurnace</v>
      </c>
      <c r="V875" s="32" t="s">
        <v>105</v>
      </c>
      <c r="W875" s="32" t="s">
        <v>106</v>
      </c>
      <c r="X875" s="32" t="s">
        <v>137</v>
      </c>
      <c r="Y875" s="32" t="s">
        <v>138</v>
      </c>
      <c r="Z875" s="32"/>
      <c r="AA875" s="32" t="s">
        <v>194</v>
      </c>
    </row>
    <row r="876" spans="1:27" x14ac:dyDescent="0.25">
      <c r="A876" s="32" t="s">
        <v>10771</v>
      </c>
      <c r="B876" s="32" t="s">
        <v>10675</v>
      </c>
      <c r="C876" s="32" t="s">
        <v>10770</v>
      </c>
      <c r="D876" s="32" t="s">
        <v>10772</v>
      </c>
      <c r="E876" s="32" t="s">
        <v>10784</v>
      </c>
      <c r="F876" s="32" t="str">
        <f t="shared" si="211"/>
        <v>SFm-Ex-rDXHP-RE-dxHP_equip-spltSEER-18.7-SEER2-8.7-HSPF2-RG-NCGF_eq-GasFurnace-AFUE67-NoFanPower</v>
      </c>
      <c r="G876" s="32" t="str">
        <f t="shared" si="212"/>
        <v>SFm-Ex-rDXHP-RE-dxHP_equip-spltSEER-18.7-SEER2-8.7-HSPF2-RG-NCGF_eq-GasFurnace-AFUE67-NoFanPower</v>
      </c>
      <c r="H876" s="32" t="str">
        <f t="shared" si="247"/>
        <v>RE-dxGF_eq-GasFurnace-AFUE67-NoFanPower-11.0-EER</v>
      </c>
      <c r="I876" s="32" t="str">
        <f t="shared" si="248"/>
        <v>RG-NCGF_eq-GasFurnace-AFUE67-NoFanPower</v>
      </c>
      <c r="J876" s="32" t="str">
        <f t="shared" si="249"/>
        <v>RE-dxHP_equip-spltSEER-18.7-SEER2-8.7-HSPF2</v>
      </c>
      <c r="K876" s="32" t="s">
        <v>10777</v>
      </c>
      <c r="L876" s="32" t="s">
        <v>10776</v>
      </c>
      <c r="M876" s="32" t="s">
        <v>10779</v>
      </c>
      <c r="N876" s="32" t="str">
        <f t="shared" ref="N876" si="252">O876&amp;"&amp;"&amp;P876&amp;"&amp;"&amp;"rNCOH&amp;"&amp;R876&amp;"&amp;DHW"</f>
        <v>SFm&amp;2&amp;rNCOH&amp;Ex&amp;DHW</v>
      </c>
      <c r="O876" s="32" t="s">
        <v>50</v>
      </c>
      <c r="P876" s="32">
        <v>2</v>
      </c>
      <c r="Q876" s="32" t="s">
        <v>57</v>
      </c>
      <c r="R876" s="32" t="s">
        <v>52</v>
      </c>
      <c r="S876" s="32" t="s">
        <v>10786</v>
      </c>
      <c r="T876" s="32" t="str">
        <f t="shared" si="250"/>
        <v>dxHP_equip__spltHP-SEER-BA</v>
      </c>
      <c r="U876" s="32" t="str">
        <f t="shared" si="251"/>
        <v>SpaceHtg_eq__GasFurnace</v>
      </c>
      <c r="V876" s="32" t="s">
        <v>105</v>
      </c>
      <c r="W876" s="32" t="s">
        <v>106</v>
      </c>
      <c r="X876" s="32" t="s">
        <v>137</v>
      </c>
      <c r="Y876" s="32" t="s">
        <v>138</v>
      </c>
      <c r="Z876" s="32"/>
      <c r="AA876" s="32" t="s">
        <v>194</v>
      </c>
    </row>
    <row r="877" spans="1:27" x14ac:dyDescent="0.25">
      <c r="A877" s="32" t="s">
        <v>10771</v>
      </c>
      <c r="B877" s="32" t="s">
        <v>10675</v>
      </c>
      <c r="C877" s="32" t="s">
        <v>10770</v>
      </c>
      <c r="D877" s="32" t="s">
        <v>10772</v>
      </c>
      <c r="E877" s="32" t="s">
        <v>10784</v>
      </c>
      <c r="F877" s="32" t="str">
        <f t="shared" si="211"/>
        <v>SFm-Ex-rDXHP-RE-dxHP_equip-spltSEER-18.7-SEER2-8.7-HSPF2-RE-dxGF_eq-GasFurnace-AFUE67-NoFanPower-11.0-EER</v>
      </c>
      <c r="G877" s="32" t="str">
        <f t="shared" si="212"/>
        <v>SFm-Ex-rDXHP-RE-dxHP_equip-spltSEER-18.7-SEER2-8.7-HSPF2-RE-dxGF_eq-GasFurnace-AFUE67-NoFanPower-11.0-EER</v>
      </c>
      <c r="H877" s="32" t="str">
        <f t="shared" si="247"/>
        <v>RE-dxGF_eq-GasFurnace-AFUE67-NoFanPower-11.0-EER</v>
      </c>
      <c r="I877" s="32" t="str">
        <f t="shared" si="248"/>
        <v>RE-dxGF_eq-GasFurnace-AFUE67-NoFanPower-11.0-EER</v>
      </c>
      <c r="J877" s="32" t="str">
        <f t="shared" si="249"/>
        <v>RE-dxHP_equip-spltSEER-18.7-SEER2-8.7-HSPF2</v>
      </c>
      <c r="K877" s="32" t="s">
        <v>10777</v>
      </c>
      <c r="L877" s="32" t="s">
        <v>10777</v>
      </c>
      <c r="M877" s="32" t="s">
        <v>10779</v>
      </c>
      <c r="N877" s="32" t="str">
        <f t="shared" ref="N877" si="253">O877&amp;"&amp;"&amp;P877&amp;"&amp;"&amp;"rDXHW&amp;"&amp;R877&amp;"&amp;DHW"</f>
        <v>SFm&amp;2&amp;rDXHW&amp;Ex&amp;DHW</v>
      </c>
      <c r="O877" s="32" t="s">
        <v>50</v>
      </c>
      <c r="P877" s="32">
        <v>2</v>
      </c>
      <c r="Q877" s="32" t="s">
        <v>57</v>
      </c>
      <c r="R877" s="32" t="s">
        <v>52</v>
      </c>
      <c r="S877" s="32" t="s">
        <v>10786</v>
      </c>
      <c r="T877" s="32" t="str">
        <f t="shared" si="250"/>
        <v>dxHP_equip__spltHP-SEER-BA</v>
      </c>
      <c r="U877" s="32" t="str">
        <f t="shared" si="251"/>
        <v>SpaceHtg_eq__GasFurnace</v>
      </c>
      <c r="V877" s="32" t="s">
        <v>105</v>
      </c>
      <c r="W877" s="32" t="s">
        <v>106</v>
      </c>
      <c r="X877" s="32" t="s">
        <v>137</v>
      </c>
      <c r="Y877" s="32" t="s">
        <v>138</v>
      </c>
      <c r="Z877" s="32"/>
      <c r="AA877" s="32" t="s">
        <v>194</v>
      </c>
    </row>
    <row r="878" spans="1:27" x14ac:dyDescent="0.25">
      <c r="A878" s="32" t="s">
        <v>10771</v>
      </c>
      <c r="B878" s="32" t="s">
        <v>10675</v>
      </c>
      <c r="C878" s="32" t="s">
        <v>10770</v>
      </c>
      <c r="D878" s="32" t="s">
        <v>10772</v>
      </c>
      <c r="E878" s="32" t="s">
        <v>10784</v>
      </c>
      <c r="F878" s="32" t="str">
        <f t="shared" si="211"/>
        <v>SFm-Ex-rDXHP-RE-dxHP_equip-spltSEER-20.5-SEER2-9.1-HSPF2-RG-NCGF_eq-GasFurnace-AFUE67-NoFanPower</v>
      </c>
      <c r="G878" s="32" t="str">
        <f t="shared" si="212"/>
        <v>SFm-Ex-rDXHP-RE-dxHP_equip-spltSEER-20.5-SEER2-9.1-HSPF2-RG-NCGF_eq-GasFurnace-AFUE67-NoFanPower</v>
      </c>
      <c r="H878" s="32" t="str">
        <f t="shared" si="247"/>
        <v>RE-dxGF_eq-GasFurnace-AFUE67-NoFanPower-11.0-EER</v>
      </c>
      <c r="I878" s="32" t="str">
        <f t="shared" si="248"/>
        <v>RG-NCGF_eq-GasFurnace-AFUE67-NoFanPower</v>
      </c>
      <c r="J878" s="32" t="str">
        <f t="shared" si="249"/>
        <v>RE-dxHP_equip-spltSEER-20.5-SEER2-9.1-HSPF2</v>
      </c>
      <c r="K878" s="32" t="s">
        <v>10777</v>
      </c>
      <c r="L878" s="32" t="s">
        <v>10776</v>
      </c>
      <c r="M878" s="32" t="s">
        <v>10780</v>
      </c>
      <c r="N878" s="32" t="str">
        <f t="shared" ref="N878" si="254">O878&amp;"&amp;"&amp;P878&amp;"&amp;"&amp;"rNCOH&amp;"&amp;R878&amp;"&amp;DHW"</f>
        <v>SFm&amp;2&amp;rNCOH&amp;Ex&amp;DHW</v>
      </c>
      <c r="O878" s="32" t="s">
        <v>50</v>
      </c>
      <c r="P878" s="32">
        <v>2</v>
      </c>
      <c r="Q878" s="32" t="s">
        <v>57</v>
      </c>
      <c r="R878" s="32" t="s">
        <v>52</v>
      </c>
      <c r="S878" s="32" t="s">
        <v>10786</v>
      </c>
      <c r="T878" s="32" t="str">
        <f t="shared" si="250"/>
        <v>dxHP_equip__spltHP-SEER-BA</v>
      </c>
      <c r="U878" s="32" t="str">
        <f t="shared" si="251"/>
        <v>SpaceHtg_eq__GasFurnace</v>
      </c>
      <c r="V878" s="32" t="s">
        <v>105</v>
      </c>
      <c r="W878" s="32" t="s">
        <v>106</v>
      </c>
      <c r="X878" s="32" t="s">
        <v>137</v>
      </c>
      <c r="Y878" s="32" t="s">
        <v>138</v>
      </c>
      <c r="Z878" s="32"/>
      <c r="AA878" s="32" t="s">
        <v>194</v>
      </c>
    </row>
    <row r="879" spans="1:27" x14ac:dyDescent="0.25">
      <c r="A879" s="32" t="s">
        <v>10771</v>
      </c>
      <c r="B879" s="32" t="s">
        <v>10675</v>
      </c>
      <c r="C879" s="32" t="s">
        <v>10770</v>
      </c>
      <c r="D879" s="32" t="s">
        <v>10772</v>
      </c>
      <c r="E879" s="32" t="s">
        <v>10784</v>
      </c>
      <c r="F879" s="32" t="str">
        <f t="shared" si="211"/>
        <v>SFm-Ex-rDXHP-RE-dxHP_equip-spltSEER-20.5-SEER2-9.1-HSPF2-RE-dxGF_eq-GasFurnace-AFUE67-NoFanPower-11.0-EER</v>
      </c>
      <c r="G879" s="32" t="str">
        <f t="shared" si="212"/>
        <v>SFm-Ex-rDXHP-RE-dxHP_equip-spltSEER-20.5-SEER2-9.1-HSPF2-RE-dxGF_eq-GasFurnace-AFUE67-NoFanPower-11.0-EER</v>
      </c>
      <c r="H879" s="32" t="str">
        <f t="shared" si="247"/>
        <v>RE-dxGF_eq-GasFurnace-AFUE67-NoFanPower-11.0-EER</v>
      </c>
      <c r="I879" s="32" t="str">
        <f t="shared" si="248"/>
        <v>RE-dxGF_eq-GasFurnace-AFUE67-NoFanPower-11.0-EER</v>
      </c>
      <c r="J879" s="32" t="str">
        <f t="shared" si="249"/>
        <v>RE-dxHP_equip-spltSEER-20.5-SEER2-9.1-HSPF2</v>
      </c>
      <c r="K879" s="32" t="s">
        <v>10777</v>
      </c>
      <c r="L879" s="32" t="s">
        <v>10777</v>
      </c>
      <c r="M879" s="32" t="s">
        <v>10780</v>
      </c>
      <c r="N879" s="32" t="str">
        <f t="shared" ref="N879" si="255">O879&amp;"&amp;"&amp;P879&amp;"&amp;"&amp;"rDXHW&amp;"&amp;R879&amp;"&amp;DHW"</f>
        <v>SFm&amp;2&amp;rDXHW&amp;Ex&amp;DHW</v>
      </c>
      <c r="O879" s="32" t="s">
        <v>50</v>
      </c>
      <c r="P879" s="32">
        <v>2</v>
      </c>
      <c r="Q879" s="32" t="s">
        <v>57</v>
      </c>
      <c r="R879" s="32" t="s">
        <v>52</v>
      </c>
      <c r="S879" s="32" t="s">
        <v>10786</v>
      </c>
      <c r="T879" s="32" t="str">
        <f t="shared" si="250"/>
        <v>dxHP_equip__spltHP-SEER-BA</v>
      </c>
      <c r="U879" s="32" t="str">
        <f t="shared" si="251"/>
        <v>SpaceHtg_eq__GasFurnace</v>
      </c>
      <c r="V879" s="32" t="s">
        <v>105</v>
      </c>
      <c r="W879" s="32" t="s">
        <v>106</v>
      </c>
      <c r="X879" s="32" t="s">
        <v>137</v>
      </c>
      <c r="Y879" s="32" t="s">
        <v>138</v>
      </c>
      <c r="Z879" s="32"/>
      <c r="AA879" s="32" t="s">
        <v>194</v>
      </c>
    </row>
    <row r="880" spans="1:27" x14ac:dyDescent="0.25">
      <c r="A880" s="32" t="s">
        <v>10771</v>
      </c>
      <c r="B880" s="32" t="s">
        <v>10675</v>
      </c>
      <c r="C880" s="32" t="s">
        <v>10770</v>
      </c>
      <c r="D880" s="32" t="s">
        <v>10772</v>
      </c>
      <c r="E880" s="32" t="s">
        <v>10785</v>
      </c>
      <c r="F880" s="32" t="str">
        <f t="shared" si="211"/>
        <v>SFm-Ex-rDXHP-RE-dxHP_equip-spltSEER-16.0-SEER2-8.1-HSPF2-RG-NCGF_eq-GasFurnace-AFUE67-NoFanPower</v>
      </c>
      <c r="G880" s="32" t="str">
        <f t="shared" si="212"/>
        <v>SFm-Ex-rDXHP-RE-dxHP_equip-spltSEER-16.0-SEER2-8.1-HSPF2-RG-NCGF_eq-GasFurnace-AFUE67-NoFanPower</v>
      </c>
      <c r="H880" s="32" t="str">
        <f t="shared" si="247"/>
        <v>RG-NCGF_eq-GasFurnace-AFUE67-NoFanPower</v>
      </c>
      <c r="I880" s="32" t="str">
        <f t="shared" si="248"/>
        <v>RG-NCGF_eq-GasFurnace-AFUE67-NoFanPower</v>
      </c>
      <c r="J880" s="32" t="str">
        <f t="shared" si="249"/>
        <v>RE-dxHP_equip-spltSEER-16.0-SEER2-8.1-HSPF2</v>
      </c>
      <c r="K880" s="32" t="s">
        <v>10776</v>
      </c>
      <c r="L880" s="32" t="s">
        <v>10776</v>
      </c>
      <c r="M880" s="32" t="s">
        <v>10778</v>
      </c>
      <c r="N880" s="32" t="str">
        <f>O880&amp;"&amp;"&amp;P880&amp;"&amp;"&amp;"rNCOH&amp;"&amp;R880&amp;"&amp;DHW"</f>
        <v>SFm&amp;1&amp;rNCOH&amp;Ex&amp;DHW</v>
      </c>
      <c r="O880" s="32" t="s">
        <v>50</v>
      </c>
      <c r="P880" s="32">
        <v>1</v>
      </c>
      <c r="Q880" s="32" t="s">
        <v>57</v>
      </c>
      <c r="R880" s="32" t="s">
        <v>52</v>
      </c>
      <c r="S880" s="32" t="s">
        <v>10786</v>
      </c>
      <c r="T880" s="32" t="str">
        <f t="shared" si="250"/>
        <v>dxHP_equip__spltHP-SEER-BA</v>
      </c>
      <c r="U880" s="32" t="str">
        <f t="shared" si="251"/>
        <v>SpaceHtg_eq__GasFurnace</v>
      </c>
      <c r="V880" s="32" t="s">
        <v>105</v>
      </c>
      <c r="W880" s="32" t="s">
        <v>106</v>
      </c>
      <c r="X880" s="32" t="s">
        <v>137</v>
      </c>
      <c r="Y880" s="32" t="s">
        <v>138</v>
      </c>
      <c r="Z880" s="32"/>
      <c r="AA880" s="32" t="s">
        <v>194</v>
      </c>
    </row>
    <row r="881" spans="1:27" x14ac:dyDescent="0.25">
      <c r="A881" s="32" t="s">
        <v>10771</v>
      </c>
      <c r="B881" s="32" t="s">
        <v>10675</v>
      </c>
      <c r="C881" s="32" t="s">
        <v>10770</v>
      </c>
      <c r="D881" s="32" t="s">
        <v>10772</v>
      </c>
      <c r="E881" s="32" t="s">
        <v>10785</v>
      </c>
      <c r="F881" s="32" t="str">
        <f t="shared" si="211"/>
        <v>SFm-Ex-rDXHP-RE-dxHP_equip-spltSEER-16.0-SEER2-8.1-HSPF2-RE-dxGF_eq-GasFurnace-AFUE67-NoFanPower-11.0-EER</v>
      </c>
      <c r="G881" s="32" t="str">
        <f t="shared" si="212"/>
        <v>SFm-Ex-rDXHP-RE-dxHP_equip-spltSEER-16.0-SEER2-8.1-HSPF2-RE-dxGF_eq-GasFurnace-AFUE67-NoFanPower-11.0-EER</v>
      </c>
      <c r="H881" s="32" t="str">
        <f t="shared" si="247"/>
        <v>RE-dxGF_eq-GasFurnace-AFUE67-NoFanPower-11.0-EER</v>
      </c>
      <c r="I881" s="32" t="str">
        <f t="shared" si="248"/>
        <v>RE-dxGF_eq-GasFurnace-AFUE67-NoFanPower-11.0-EER</v>
      </c>
      <c r="J881" s="32" t="str">
        <f t="shared" si="249"/>
        <v>RE-dxHP_equip-spltSEER-16.0-SEER2-8.1-HSPF2</v>
      </c>
      <c r="K881" s="32" t="s">
        <v>10777</v>
      </c>
      <c r="L881" s="32" t="s">
        <v>10777</v>
      </c>
      <c r="M881" s="32" t="s">
        <v>10778</v>
      </c>
      <c r="N881" s="32" t="str">
        <f>O881&amp;"&amp;"&amp;P881&amp;"&amp;"&amp;"rDXHW&amp;"&amp;R881&amp;"&amp;DHW"</f>
        <v>SFm&amp;1&amp;rDXHW&amp;Ex&amp;DHW</v>
      </c>
      <c r="O881" s="32" t="s">
        <v>50</v>
      </c>
      <c r="P881" s="32">
        <v>1</v>
      </c>
      <c r="Q881" s="32" t="s">
        <v>57</v>
      </c>
      <c r="R881" s="32" t="s">
        <v>52</v>
      </c>
      <c r="S881" s="32" t="s">
        <v>10786</v>
      </c>
      <c r="T881" s="32" t="str">
        <f t="shared" si="250"/>
        <v>dxHP_equip__spltHP-SEER-BA</v>
      </c>
      <c r="U881" s="32" t="str">
        <f t="shared" si="251"/>
        <v>SpaceHtg_eq__GasFurnace</v>
      </c>
      <c r="V881" s="32" t="s">
        <v>105</v>
      </c>
      <c r="W881" s="32" t="s">
        <v>106</v>
      </c>
      <c r="X881" s="32" t="s">
        <v>137</v>
      </c>
      <c r="Y881" s="32" t="s">
        <v>138</v>
      </c>
      <c r="Z881" s="32"/>
      <c r="AA881" s="32" t="s">
        <v>194</v>
      </c>
    </row>
    <row r="882" spans="1:27" x14ac:dyDescent="0.25">
      <c r="A882" s="32" t="s">
        <v>10771</v>
      </c>
      <c r="B882" s="32" t="s">
        <v>10675</v>
      </c>
      <c r="C882" s="32" t="s">
        <v>10770</v>
      </c>
      <c r="D882" s="32" t="s">
        <v>10772</v>
      </c>
      <c r="E882" s="32" t="s">
        <v>10785</v>
      </c>
      <c r="F882" s="32" t="str">
        <f t="shared" si="211"/>
        <v>SFm-Ex-rDXHP-RE-dxHP_equip-spltSEER-18.7-SEER2-8.7-HSPF2-RG-NCGF_eq-GasFurnace-AFUE67-NoFanPower</v>
      </c>
      <c r="G882" s="32" t="str">
        <f t="shared" si="212"/>
        <v>SFm-Ex-rDXHP-RE-dxHP_equip-spltSEER-18.7-SEER2-8.7-HSPF2-RG-NCGF_eq-GasFurnace-AFUE67-NoFanPower</v>
      </c>
      <c r="H882" s="32" t="str">
        <f t="shared" si="247"/>
        <v>RG-NCGF_eq-GasFurnace-AFUE67-NoFanPower</v>
      </c>
      <c r="I882" s="32" t="str">
        <f t="shared" si="248"/>
        <v>RG-NCGF_eq-GasFurnace-AFUE67-NoFanPower</v>
      </c>
      <c r="J882" s="32" t="str">
        <f t="shared" si="249"/>
        <v>RE-dxHP_equip-spltSEER-18.7-SEER2-8.7-HSPF2</v>
      </c>
      <c r="K882" s="32" t="s">
        <v>10776</v>
      </c>
      <c r="L882" s="32" t="s">
        <v>10776</v>
      </c>
      <c r="M882" s="32" t="s">
        <v>10779</v>
      </c>
      <c r="N882" s="32" t="str">
        <f t="shared" ref="N882" si="256">O882&amp;"&amp;"&amp;P882&amp;"&amp;"&amp;"rNCOH&amp;"&amp;R882&amp;"&amp;DHW"</f>
        <v>SFm&amp;1&amp;rNCOH&amp;Ex&amp;DHW</v>
      </c>
      <c r="O882" s="32" t="s">
        <v>50</v>
      </c>
      <c r="P882" s="32">
        <v>1</v>
      </c>
      <c r="Q882" s="32" t="s">
        <v>57</v>
      </c>
      <c r="R882" s="32" t="s">
        <v>52</v>
      </c>
      <c r="S882" s="32" t="s">
        <v>10786</v>
      </c>
      <c r="T882" s="32" t="str">
        <f t="shared" si="250"/>
        <v>dxHP_equip__spltHP-SEER-BA</v>
      </c>
      <c r="U882" s="32" t="str">
        <f t="shared" si="251"/>
        <v>SpaceHtg_eq__GasFurnace</v>
      </c>
      <c r="V882" s="32" t="s">
        <v>105</v>
      </c>
      <c r="W882" s="32" t="s">
        <v>106</v>
      </c>
      <c r="X882" s="32" t="s">
        <v>137</v>
      </c>
      <c r="Y882" s="32" t="s">
        <v>138</v>
      </c>
      <c r="Z882" s="32"/>
      <c r="AA882" s="32" t="s">
        <v>194</v>
      </c>
    </row>
    <row r="883" spans="1:27" x14ac:dyDescent="0.25">
      <c r="A883" s="32" t="s">
        <v>10771</v>
      </c>
      <c r="B883" s="32" t="s">
        <v>10675</v>
      </c>
      <c r="C883" s="32" t="s">
        <v>10770</v>
      </c>
      <c r="D883" s="32" t="s">
        <v>10772</v>
      </c>
      <c r="E883" s="32" t="s">
        <v>10785</v>
      </c>
      <c r="F883" s="32" t="str">
        <f t="shared" si="211"/>
        <v>SFm-Ex-rDXHP-RE-dxHP_equip-spltSEER-18.7-SEER2-8.7-HSPF2-RE-dxGF_eq-GasFurnace-AFUE67-NoFanPower-11.0-EER</v>
      </c>
      <c r="G883" s="32" t="str">
        <f t="shared" si="212"/>
        <v>SFm-Ex-rDXHP-RE-dxHP_equip-spltSEER-18.7-SEER2-8.7-HSPF2-RE-dxGF_eq-GasFurnace-AFUE67-NoFanPower-11.0-EER</v>
      </c>
      <c r="H883" s="32" t="str">
        <f t="shared" si="247"/>
        <v>RE-dxGF_eq-GasFurnace-AFUE67-NoFanPower-11.0-EER</v>
      </c>
      <c r="I883" s="32" t="str">
        <f t="shared" si="248"/>
        <v>RE-dxGF_eq-GasFurnace-AFUE67-NoFanPower-11.0-EER</v>
      </c>
      <c r="J883" s="32" t="str">
        <f t="shared" si="249"/>
        <v>RE-dxHP_equip-spltSEER-18.7-SEER2-8.7-HSPF2</v>
      </c>
      <c r="K883" s="32" t="s">
        <v>10777</v>
      </c>
      <c r="L883" s="32" t="s">
        <v>10777</v>
      </c>
      <c r="M883" s="32" t="s">
        <v>10779</v>
      </c>
      <c r="N883" s="32" t="str">
        <f t="shared" ref="N883" si="257">O883&amp;"&amp;"&amp;P883&amp;"&amp;"&amp;"rDXHW&amp;"&amp;R883&amp;"&amp;DHW"</f>
        <v>SFm&amp;1&amp;rDXHW&amp;Ex&amp;DHW</v>
      </c>
      <c r="O883" s="32" t="s">
        <v>50</v>
      </c>
      <c r="P883" s="32">
        <v>1</v>
      </c>
      <c r="Q883" s="32" t="s">
        <v>57</v>
      </c>
      <c r="R883" s="32" t="s">
        <v>52</v>
      </c>
      <c r="S883" s="32" t="s">
        <v>10786</v>
      </c>
      <c r="T883" s="32" t="str">
        <f t="shared" si="250"/>
        <v>dxHP_equip__spltHP-SEER-BA</v>
      </c>
      <c r="U883" s="32" t="str">
        <f t="shared" si="251"/>
        <v>SpaceHtg_eq__GasFurnace</v>
      </c>
      <c r="V883" s="32" t="s">
        <v>105</v>
      </c>
      <c r="W883" s="32" t="s">
        <v>106</v>
      </c>
      <c r="X883" s="32" t="s">
        <v>137</v>
      </c>
      <c r="Y883" s="32" t="s">
        <v>138</v>
      </c>
      <c r="Z883" s="32"/>
      <c r="AA883" s="32" t="s">
        <v>194</v>
      </c>
    </row>
    <row r="884" spans="1:27" x14ac:dyDescent="0.25">
      <c r="A884" s="32" t="s">
        <v>10771</v>
      </c>
      <c r="B884" s="32" t="s">
        <v>10675</v>
      </c>
      <c r="C884" s="32" t="s">
        <v>10770</v>
      </c>
      <c r="D884" s="32" t="s">
        <v>10772</v>
      </c>
      <c r="E884" s="32" t="s">
        <v>10785</v>
      </c>
      <c r="F884" s="32" t="str">
        <f t="shared" si="211"/>
        <v>SFm-Ex-rDXHP-RE-dxHP_equip-spltSEER-20.5-SEER2-9.1-HSPF2-RG-NCGF_eq-GasFurnace-AFUE67-NoFanPower</v>
      </c>
      <c r="G884" s="32" t="str">
        <f t="shared" si="212"/>
        <v>SFm-Ex-rDXHP-RE-dxHP_equip-spltSEER-20.5-SEER2-9.1-HSPF2-RG-NCGF_eq-GasFurnace-AFUE67-NoFanPower</v>
      </c>
      <c r="H884" s="32" t="str">
        <f t="shared" si="247"/>
        <v>RG-NCGF_eq-GasFurnace-AFUE67-NoFanPower</v>
      </c>
      <c r="I884" s="32" t="str">
        <f t="shared" si="248"/>
        <v>RG-NCGF_eq-GasFurnace-AFUE67-NoFanPower</v>
      </c>
      <c r="J884" s="32" t="str">
        <f t="shared" si="249"/>
        <v>RE-dxHP_equip-spltSEER-20.5-SEER2-9.1-HSPF2</v>
      </c>
      <c r="K884" s="32" t="s">
        <v>10776</v>
      </c>
      <c r="L884" s="32" t="s">
        <v>10776</v>
      </c>
      <c r="M884" s="32" t="s">
        <v>10780</v>
      </c>
      <c r="N884" s="32" t="str">
        <f t="shared" ref="N884" si="258">O884&amp;"&amp;"&amp;P884&amp;"&amp;"&amp;"rNCOH&amp;"&amp;R884&amp;"&amp;DHW"</f>
        <v>SFm&amp;1&amp;rNCOH&amp;Ex&amp;DHW</v>
      </c>
      <c r="O884" s="32" t="s">
        <v>50</v>
      </c>
      <c r="P884" s="32">
        <v>1</v>
      </c>
      <c r="Q884" s="32" t="s">
        <v>57</v>
      </c>
      <c r="R884" s="32" t="s">
        <v>52</v>
      </c>
      <c r="S884" s="32" t="s">
        <v>10786</v>
      </c>
      <c r="T884" s="32" t="str">
        <f t="shared" si="250"/>
        <v>dxHP_equip__spltHP-SEER-BA</v>
      </c>
      <c r="U884" s="32" t="str">
        <f t="shared" si="251"/>
        <v>SpaceHtg_eq__GasFurnace</v>
      </c>
      <c r="V884" s="32" t="s">
        <v>105</v>
      </c>
      <c r="W884" s="32" t="s">
        <v>106</v>
      </c>
      <c r="X884" s="32" t="s">
        <v>137</v>
      </c>
      <c r="Y884" s="32" t="s">
        <v>138</v>
      </c>
      <c r="Z884" s="32"/>
      <c r="AA884" s="32" t="s">
        <v>194</v>
      </c>
    </row>
    <row r="885" spans="1:27" x14ac:dyDescent="0.25">
      <c r="A885" s="32" t="s">
        <v>10771</v>
      </c>
      <c r="B885" s="32" t="s">
        <v>10675</v>
      </c>
      <c r="C885" s="32" t="s">
        <v>10770</v>
      </c>
      <c r="D885" s="32" t="s">
        <v>10772</v>
      </c>
      <c r="E885" s="32" t="s">
        <v>10785</v>
      </c>
      <c r="F885" s="32" t="str">
        <f t="shared" si="211"/>
        <v>SFm-Ex-rDXHP-RE-dxHP_equip-spltSEER-20.5-SEER2-9.1-HSPF2-RE-dxGF_eq-GasFurnace-AFUE67-NoFanPower-11.0-EER</v>
      </c>
      <c r="G885" s="32" t="str">
        <f t="shared" si="212"/>
        <v>SFm-Ex-rDXHP-RE-dxHP_equip-spltSEER-20.5-SEER2-9.1-HSPF2-RE-dxGF_eq-GasFurnace-AFUE67-NoFanPower-11.0-EER</v>
      </c>
      <c r="H885" s="32" t="str">
        <f t="shared" si="247"/>
        <v>RE-dxGF_eq-GasFurnace-AFUE67-NoFanPower-11.0-EER</v>
      </c>
      <c r="I885" s="32" t="str">
        <f t="shared" si="248"/>
        <v>RE-dxGF_eq-GasFurnace-AFUE67-NoFanPower-11.0-EER</v>
      </c>
      <c r="J885" s="32" t="str">
        <f t="shared" si="249"/>
        <v>RE-dxHP_equip-spltSEER-20.5-SEER2-9.1-HSPF2</v>
      </c>
      <c r="K885" s="32" t="s">
        <v>10777</v>
      </c>
      <c r="L885" s="32" t="s">
        <v>10777</v>
      </c>
      <c r="M885" s="32" t="s">
        <v>10780</v>
      </c>
      <c r="N885" s="32" t="str">
        <f t="shared" ref="N885" si="259">O885&amp;"&amp;"&amp;P885&amp;"&amp;"&amp;"rDXHW&amp;"&amp;R885&amp;"&amp;DHW"</f>
        <v>SFm&amp;1&amp;rDXHW&amp;Ex&amp;DHW</v>
      </c>
      <c r="O885" s="32" t="s">
        <v>50</v>
      </c>
      <c r="P885" s="32">
        <v>1</v>
      </c>
      <c r="Q885" s="32" t="s">
        <v>57</v>
      </c>
      <c r="R885" s="32" t="s">
        <v>52</v>
      </c>
      <c r="S885" s="32" t="s">
        <v>10786</v>
      </c>
      <c r="T885" s="32" t="str">
        <f t="shared" si="250"/>
        <v>dxHP_equip__spltHP-SEER-BA</v>
      </c>
      <c r="U885" s="32" t="str">
        <f t="shared" si="251"/>
        <v>SpaceHtg_eq__GasFurnace</v>
      </c>
      <c r="V885" s="32" t="s">
        <v>105</v>
      </c>
      <c r="W885" s="32" t="s">
        <v>106</v>
      </c>
      <c r="X885" s="32" t="s">
        <v>137</v>
      </c>
      <c r="Y885" s="32" t="s">
        <v>138</v>
      </c>
      <c r="Z885" s="32"/>
      <c r="AA885" s="32" t="s">
        <v>194</v>
      </c>
    </row>
    <row r="886" spans="1:27" x14ac:dyDescent="0.25">
      <c r="A886" s="32" t="s">
        <v>10771</v>
      </c>
      <c r="B886" s="32" t="s">
        <v>10675</v>
      </c>
      <c r="C886" s="32" t="s">
        <v>10770</v>
      </c>
      <c r="D886" s="32" t="s">
        <v>10772</v>
      </c>
      <c r="E886" s="32" t="s">
        <v>10785</v>
      </c>
      <c r="F886" s="32" t="str">
        <f t="shared" si="211"/>
        <v>SFm-Ex-rDXHP-RE-dxHP_equip-spltSEER-16.0-SEER2-8.1-HSPF2-RG-NCGF_eq-GasFurnace-AFUE67-NoFanPower</v>
      </c>
      <c r="G886" s="32" t="str">
        <f t="shared" si="212"/>
        <v>SFm-Ex-rDXHP-RE-dxHP_equip-spltSEER-16.0-SEER2-8.1-HSPF2-RG-NCGF_eq-GasFurnace-AFUE67-NoFanPower</v>
      </c>
      <c r="H886" s="32" t="str">
        <f t="shared" ref="H886:H891" si="260">K886</f>
        <v>RE-dxGF_eq-GasFurnace-AFUE67-NoFanPower-11.0-EER</v>
      </c>
      <c r="I886" s="32" t="str">
        <f t="shared" ref="I886:I891" si="261">L886</f>
        <v>RG-NCGF_eq-GasFurnace-AFUE67-NoFanPower</v>
      </c>
      <c r="J886" s="32" t="str">
        <f t="shared" ref="J886:J891" si="262">M886</f>
        <v>RE-dxHP_equip-spltSEER-16.0-SEER2-8.1-HSPF2</v>
      </c>
      <c r="K886" s="32" t="s">
        <v>10777</v>
      </c>
      <c r="L886" s="32" t="s">
        <v>10776</v>
      </c>
      <c r="M886" s="32" t="s">
        <v>10778</v>
      </c>
      <c r="N886" s="32" t="str">
        <f>O886&amp;"&amp;"&amp;P886&amp;"&amp;"&amp;"rNCOH&amp;"&amp;R886&amp;"&amp;DHW"</f>
        <v>SFm&amp;2&amp;rNCOH&amp;Ex&amp;DHW</v>
      </c>
      <c r="O886" s="32" t="s">
        <v>50</v>
      </c>
      <c r="P886" s="32">
        <v>2</v>
      </c>
      <c r="Q886" s="32" t="s">
        <v>57</v>
      </c>
      <c r="R886" s="32" t="s">
        <v>52</v>
      </c>
      <c r="S886" s="32" t="s">
        <v>10786</v>
      </c>
      <c r="T886" s="32" t="str">
        <f t="shared" ref="T886:T891" si="263">V886&amp;"__"&amp;W886</f>
        <v>dxHP_equip__spltHP-SEER-BA</v>
      </c>
      <c r="U886" s="32" t="str">
        <f t="shared" ref="U886:U891" si="264">X886&amp;"__"&amp;Y886</f>
        <v>SpaceHtg_eq__GasFurnace</v>
      </c>
      <c r="V886" s="32" t="s">
        <v>105</v>
      </c>
      <c r="W886" s="32" t="s">
        <v>106</v>
      </c>
      <c r="X886" s="32" t="s">
        <v>137</v>
      </c>
      <c r="Y886" s="32" t="s">
        <v>138</v>
      </c>
      <c r="Z886" s="32"/>
      <c r="AA886" s="32" t="s">
        <v>194</v>
      </c>
    </row>
    <row r="887" spans="1:27" x14ac:dyDescent="0.25">
      <c r="A887" s="32" t="s">
        <v>10771</v>
      </c>
      <c r="B887" s="32" t="s">
        <v>10675</v>
      </c>
      <c r="C887" s="32" t="s">
        <v>10770</v>
      </c>
      <c r="D887" s="32" t="s">
        <v>10772</v>
      </c>
      <c r="E887" s="32" t="s">
        <v>10785</v>
      </c>
      <c r="F887" s="32" t="str">
        <f t="shared" si="211"/>
        <v>SFm-Ex-rDXHP-RE-dxHP_equip-spltSEER-16.0-SEER2-8.1-HSPF2-RE-dxGF_eq-GasFurnace-AFUE67-NoFanPower-11.0-EER</v>
      </c>
      <c r="G887" s="32" t="str">
        <f t="shared" si="212"/>
        <v>SFm-Ex-rDXHP-RE-dxHP_equip-spltSEER-16.0-SEER2-8.1-HSPF2-RE-dxGF_eq-GasFurnace-AFUE67-NoFanPower-11.0-EER</v>
      </c>
      <c r="H887" s="32" t="str">
        <f t="shared" si="260"/>
        <v>RE-dxGF_eq-GasFurnace-AFUE67-NoFanPower-11.0-EER</v>
      </c>
      <c r="I887" s="32" t="str">
        <f t="shared" si="261"/>
        <v>RE-dxGF_eq-GasFurnace-AFUE67-NoFanPower-11.0-EER</v>
      </c>
      <c r="J887" s="32" t="str">
        <f t="shared" si="262"/>
        <v>RE-dxHP_equip-spltSEER-16.0-SEER2-8.1-HSPF2</v>
      </c>
      <c r="K887" s="32" t="s">
        <v>10777</v>
      </c>
      <c r="L887" s="32" t="s">
        <v>10777</v>
      </c>
      <c r="M887" s="32" t="s">
        <v>10778</v>
      </c>
      <c r="N887" s="32" t="str">
        <f>O887&amp;"&amp;"&amp;P887&amp;"&amp;"&amp;"rDXHW&amp;"&amp;R887&amp;"&amp;DHW"</f>
        <v>SFm&amp;2&amp;rDXHW&amp;Ex&amp;DHW</v>
      </c>
      <c r="O887" s="32" t="s">
        <v>50</v>
      </c>
      <c r="P887" s="32">
        <v>2</v>
      </c>
      <c r="Q887" s="32" t="s">
        <v>57</v>
      </c>
      <c r="R887" s="32" t="s">
        <v>52</v>
      </c>
      <c r="S887" s="32" t="s">
        <v>10786</v>
      </c>
      <c r="T887" s="32" t="str">
        <f t="shared" si="263"/>
        <v>dxHP_equip__spltHP-SEER-BA</v>
      </c>
      <c r="U887" s="32" t="str">
        <f t="shared" si="264"/>
        <v>SpaceHtg_eq__GasFurnace</v>
      </c>
      <c r="V887" s="32" t="s">
        <v>105</v>
      </c>
      <c r="W887" s="32" t="s">
        <v>106</v>
      </c>
      <c r="X887" s="32" t="s">
        <v>137</v>
      </c>
      <c r="Y887" s="32" t="s">
        <v>138</v>
      </c>
      <c r="Z887" s="32"/>
      <c r="AA887" s="32" t="s">
        <v>194</v>
      </c>
    </row>
    <row r="888" spans="1:27" x14ac:dyDescent="0.25">
      <c r="A888" s="32" t="s">
        <v>10771</v>
      </c>
      <c r="B888" s="32" t="s">
        <v>10675</v>
      </c>
      <c r="C888" s="32" t="s">
        <v>10770</v>
      </c>
      <c r="D888" s="32" t="s">
        <v>10772</v>
      </c>
      <c r="E888" s="32" t="s">
        <v>10785</v>
      </c>
      <c r="F888" s="32" t="str">
        <f t="shared" si="211"/>
        <v>SFm-Ex-rDXHP-RE-dxHP_equip-spltSEER-18.7-SEER2-8.7-HSPF2-RG-NCGF_eq-GasFurnace-AFUE67-NoFanPower</v>
      </c>
      <c r="G888" s="32" t="str">
        <f t="shared" si="212"/>
        <v>SFm-Ex-rDXHP-RE-dxHP_equip-spltSEER-18.7-SEER2-8.7-HSPF2-RG-NCGF_eq-GasFurnace-AFUE67-NoFanPower</v>
      </c>
      <c r="H888" s="32" t="str">
        <f t="shared" si="260"/>
        <v>RE-dxGF_eq-GasFurnace-AFUE67-NoFanPower-11.0-EER</v>
      </c>
      <c r="I888" s="32" t="str">
        <f t="shared" si="261"/>
        <v>RG-NCGF_eq-GasFurnace-AFUE67-NoFanPower</v>
      </c>
      <c r="J888" s="32" t="str">
        <f t="shared" si="262"/>
        <v>RE-dxHP_equip-spltSEER-18.7-SEER2-8.7-HSPF2</v>
      </c>
      <c r="K888" s="32" t="s">
        <v>10777</v>
      </c>
      <c r="L888" s="32" t="s">
        <v>10776</v>
      </c>
      <c r="M888" s="32" t="s">
        <v>10779</v>
      </c>
      <c r="N888" s="32" t="str">
        <f t="shared" ref="N888" si="265">O888&amp;"&amp;"&amp;P888&amp;"&amp;"&amp;"rNCOH&amp;"&amp;R888&amp;"&amp;DHW"</f>
        <v>SFm&amp;2&amp;rNCOH&amp;Ex&amp;DHW</v>
      </c>
      <c r="O888" s="32" t="s">
        <v>50</v>
      </c>
      <c r="P888" s="32">
        <v>2</v>
      </c>
      <c r="Q888" s="32" t="s">
        <v>57</v>
      </c>
      <c r="R888" s="32" t="s">
        <v>52</v>
      </c>
      <c r="S888" s="32" t="s">
        <v>10786</v>
      </c>
      <c r="T888" s="32" t="str">
        <f t="shared" si="263"/>
        <v>dxHP_equip__spltHP-SEER-BA</v>
      </c>
      <c r="U888" s="32" t="str">
        <f t="shared" si="264"/>
        <v>SpaceHtg_eq__GasFurnace</v>
      </c>
      <c r="V888" s="32" t="s">
        <v>105</v>
      </c>
      <c r="W888" s="32" t="s">
        <v>106</v>
      </c>
      <c r="X888" s="32" t="s">
        <v>137</v>
      </c>
      <c r="Y888" s="32" t="s">
        <v>138</v>
      </c>
      <c r="Z888" s="32"/>
      <c r="AA888" s="32" t="s">
        <v>194</v>
      </c>
    </row>
    <row r="889" spans="1:27" x14ac:dyDescent="0.25">
      <c r="A889" s="32" t="s">
        <v>10771</v>
      </c>
      <c r="B889" s="32" t="s">
        <v>10675</v>
      </c>
      <c r="C889" s="32" t="s">
        <v>10770</v>
      </c>
      <c r="D889" s="32" t="s">
        <v>10772</v>
      </c>
      <c r="E889" s="32" t="s">
        <v>10785</v>
      </c>
      <c r="F889" s="32" t="str">
        <f t="shared" si="211"/>
        <v>SFm-Ex-rDXHP-RE-dxHP_equip-spltSEER-18.7-SEER2-8.7-HSPF2-RE-dxGF_eq-GasFurnace-AFUE67-NoFanPower-11.0-EER</v>
      </c>
      <c r="G889" s="32" t="str">
        <f t="shared" si="212"/>
        <v>SFm-Ex-rDXHP-RE-dxHP_equip-spltSEER-18.7-SEER2-8.7-HSPF2-RE-dxGF_eq-GasFurnace-AFUE67-NoFanPower-11.0-EER</v>
      </c>
      <c r="H889" s="32" t="str">
        <f t="shared" si="260"/>
        <v>RE-dxGF_eq-GasFurnace-AFUE67-NoFanPower-11.0-EER</v>
      </c>
      <c r="I889" s="32" t="str">
        <f t="shared" si="261"/>
        <v>RE-dxGF_eq-GasFurnace-AFUE67-NoFanPower-11.0-EER</v>
      </c>
      <c r="J889" s="32" t="str">
        <f t="shared" si="262"/>
        <v>RE-dxHP_equip-spltSEER-18.7-SEER2-8.7-HSPF2</v>
      </c>
      <c r="K889" s="32" t="s">
        <v>10777</v>
      </c>
      <c r="L889" s="32" t="s">
        <v>10777</v>
      </c>
      <c r="M889" s="32" t="s">
        <v>10779</v>
      </c>
      <c r="N889" s="32" t="str">
        <f t="shared" ref="N889" si="266">O889&amp;"&amp;"&amp;P889&amp;"&amp;"&amp;"rDXHW&amp;"&amp;R889&amp;"&amp;DHW"</f>
        <v>SFm&amp;2&amp;rDXHW&amp;Ex&amp;DHW</v>
      </c>
      <c r="O889" s="32" t="s">
        <v>50</v>
      </c>
      <c r="P889" s="32">
        <v>2</v>
      </c>
      <c r="Q889" s="32" t="s">
        <v>57</v>
      </c>
      <c r="R889" s="32" t="s">
        <v>52</v>
      </c>
      <c r="S889" s="32" t="s">
        <v>10786</v>
      </c>
      <c r="T889" s="32" t="str">
        <f t="shared" si="263"/>
        <v>dxHP_equip__spltHP-SEER-BA</v>
      </c>
      <c r="U889" s="32" t="str">
        <f t="shared" si="264"/>
        <v>SpaceHtg_eq__GasFurnace</v>
      </c>
      <c r="V889" s="32" t="s">
        <v>105</v>
      </c>
      <c r="W889" s="32" t="s">
        <v>106</v>
      </c>
      <c r="X889" s="32" t="s">
        <v>137</v>
      </c>
      <c r="Y889" s="32" t="s">
        <v>138</v>
      </c>
      <c r="Z889" s="32"/>
      <c r="AA889" s="32" t="s">
        <v>194</v>
      </c>
    </row>
    <row r="890" spans="1:27" x14ac:dyDescent="0.25">
      <c r="A890" s="32" t="s">
        <v>10771</v>
      </c>
      <c r="B890" s="32" t="s">
        <v>10675</v>
      </c>
      <c r="C890" s="32" t="s">
        <v>10770</v>
      </c>
      <c r="D890" s="32" t="s">
        <v>10772</v>
      </c>
      <c r="E890" s="32" t="s">
        <v>10785</v>
      </c>
      <c r="F890" s="32" t="str">
        <f t="shared" si="211"/>
        <v>SFm-Ex-rDXHP-RE-dxHP_equip-spltSEER-20.5-SEER2-9.1-HSPF2-RG-NCGF_eq-GasFurnace-AFUE67-NoFanPower</v>
      </c>
      <c r="G890" s="32" t="str">
        <f t="shared" si="212"/>
        <v>SFm-Ex-rDXHP-RE-dxHP_equip-spltSEER-20.5-SEER2-9.1-HSPF2-RG-NCGF_eq-GasFurnace-AFUE67-NoFanPower</v>
      </c>
      <c r="H890" s="32" t="str">
        <f t="shared" si="260"/>
        <v>RE-dxGF_eq-GasFurnace-AFUE67-NoFanPower-11.0-EER</v>
      </c>
      <c r="I890" s="32" t="str">
        <f t="shared" si="261"/>
        <v>RG-NCGF_eq-GasFurnace-AFUE67-NoFanPower</v>
      </c>
      <c r="J890" s="32" t="str">
        <f t="shared" si="262"/>
        <v>RE-dxHP_equip-spltSEER-20.5-SEER2-9.1-HSPF2</v>
      </c>
      <c r="K890" s="32" t="s">
        <v>10777</v>
      </c>
      <c r="L890" s="32" t="s">
        <v>10776</v>
      </c>
      <c r="M890" s="32" t="s">
        <v>10780</v>
      </c>
      <c r="N890" s="32" t="str">
        <f t="shared" ref="N890" si="267">O890&amp;"&amp;"&amp;P890&amp;"&amp;"&amp;"rNCOH&amp;"&amp;R890&amp;"&amp;DHW"</f>
        <v>SFm&amp;2&amp;rNCOH&amp;Ex&amp;DHW</v>
      </c>
      <c r="O890" s="32" t="s">
        <v>50</v>
      </c>
      <c r="P890" s="32">
        <v>2</v>
      </c>
      <c r="Q890" s="32" t="s">
        <v>57</v>
      </c>
      <c r="R890" s="32" t="s">
        <v>52</v>
      </c>
      <c r="S890" s="32" t="s">
        <v>10786</v>
      </c>
      <c r="T890" s="32" t="str">
        <f t="shared" si="263"/>
        <v>dxHP_equip__spltHP-SEER-BA</v>
      </c>
      <c r="U890" s="32" t="str">
        <f t="shared" si="264"/>
        <v>SpaceHtg_eq__GasFurnace</v>
      </c>
      <c r="V890" s="32" t="s">
        <v>105</v>
      </c>
      <c r="W890" s="32" t="s">
        <v>106</v>
      </c>
      <c r="X890" s="32" t="s">
        <v>137</v>
      </c>
      <c r="Y890" s="32" t="s">
        <v>138</v>
      </c>
      <c r="Z890" s="32"/>
      <c r="AA890" s="32" t="s">
        <v>194</v>
      </c>
    </row>
    <row r="891" spans="1:27" x14ac:dyDescent="0.25">
      <c r="A891" s="32" t="s">
        <v>10771</v>
      </c>
      <c r="B891" s="32" t="s">
        <v>10675</v>
      </c>
      <c r="C891" s="32" t="s">
        <v>10770</v>
      </c>
      <c r="D891" s="32" t="s">
        <v>10772</v>
      </c>
      <c r="E891" s="32" t="s">
        <v>10785</v>
      </c>
      <c r="F891" s="32" t="str">
        <f t="shared" si="211"/>
        <v>SFm-Ex-rDXHP-RE-dxHP_equip-spltSEER-20.5-SEER2-9.1-HSPF2-RE-dxGF_eq-GasFurnace-AFUE67-NoFanPower-11.0-EER</v>
      </c>
      <c r="G891" s="32" t="str">
        <f t="shared" si="212"/>
        <v>SFm-Ex-rDXHP-RE-dxHP_equip-spltSEER-20.5-SEER2-9.1-HSPF2-RE-dxGF_eq-GasFurnace-AFUE67-NoFanPower-11.0-EER</v>
      </c>
      <c r="H891" s="32" t="str">
        <f t="shared" si="260"/>
        <v>RE-dxGF_eq-GasFurnace-AFUE67-NoFanPower-11.0-EER</v>
      </c>
      <c r="I891" s="32" t="str">
        <f t="shared" si="261"/>
        <v>RE-dxGF_eq-GasFurnace-AFUE67-NoFanPower-11.0-EER</v>
      </c>
      <c r="J891" s="32" t="str">
        <f t="shared" si="262"/>
        <v>RE-dxHP_equip-spltSEER-20.5-SEER2-9.1-HSPF2</v>
      </c>
      <c r="K891" s="32" t="s">
        <v>10777</v>
      </c>
      <c r="L891" s="32" t="s">
        <v>10777</v>
      </c>
      <c r="M891" s="32" t="s">
        <v>10780</v>
      </c>
      <c r="N891" s="32" t="str">
        <f t="shared" ref="N891" si="268">O891&amp;"&amp;"&amp;P891&amp;"&amp;"&amp;"rDXHW&amp;"&amp;R891&amp;"&amp;DHW"</f>
        <v>SFm&amp;2&amp;rDXHW&amp;Ex&amp;DHW</v>
      </c>
      <c r="O891" s="32" t="s">
        <v>50</v>
      </c>
      <c r="P891" s="32">
        <v>2</v>
      </c>
      <c r="Q891" s="32" t="s">
        <v>57</v>
      </c>
      <c r="R891" s="32" t="s">
        <v>52</v>
      </c>
      <c r="S891" s="32" t="s">
        <v>10786</v>
      </c>
      <c r="T891" s="32" t="str">
        <f t="shared" si="263"/>
        <v>dxHP_equip__spltHP-SEER-BA</v>
      </c>
      <c r="U891" s="32" t="str">
        <f t="shared" si="264"/>
        <v>SpaceHtg_eq__GasFurnace</v>
      </c>
      <c r="V891" s="32" t="s">
        <v>105</v>
      </c>
      <c r="W891" s="32" t="s">
        <v>106</v>
      </c>
      <c r="X891" s="32" t="s">
        <v>137</v>
      </c>
      <c r="Y891" s="32" t="s">
        <v>138</v>
      </c>
      <c r="Z891" s="32"/>
      <c r="AA891" s="32" t="s">
        <v>194</v>
      </c>
    </row>
  </sheetData>
  <autoFilter ref="A5:AG891" xr:uid="{00000000-0009-0000-0000-000001000000}">
    <filterColumn colId="0">
      <filters>
        <filter val="Ductless HVAC Fuel Sub"/>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5" x14ac:dyDescent="0.25"/>
  <cols>
    <col min="1" max="1" width="23.42578125" bestFit="1" customWidth="1"/>
    <col min="2" max="2" width="15" bestFit="1" customWidth="1"/>
    <col min="3" max="3" width="21.140625" bestFit="1" customWidth="1"/>
    <col min="4" max="4" width="44.5703125" bestFit="1" customWidth="1"/>
    <col min="5" max="28" width="8.42578125" customWidth="1"/>
  </cols>
  <sheetData>
    <row r="1" spans="1:28" ht="39" customHeight="1" thickBot="1" x14ac:dyDescent="0.3">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25">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5" x14ac:dyDescent="0.25"/>
  <cols>
    <col min="1" max="1" width="69" customWidth="1"/>
    <col min="2" max="2" width="36.42578125" bestFit="1" customWidth="1"/>
    <col min="3" max="3" width="38.140625" customWidth="1"/>
    <col min="4" max="4" width="21.140625" bestFit="1" customWidth="1"/>
    <col min="5" max="18" width="34.5703125" bestFit="1" customWidth="1"/>
    <col min="19" max="19" width="11" bestFit="1" customWidth="1"/>
    <col min="20" max="134" width="46.5703125" bestFit="1" customWidth="1"/>
    <col min="135" max="138" width="11" bestFit="1" customWidth="1"/>
    <col min="139" max="269" width="46.5703125" bestFit="1" customWidth="1"/>
    <col min="270" max="270" width="31.5703125" bestFit="1" customWidth="1"/>
    <col min="271" max="271" width="32.140625" bestFit="1" customWidth="1"/>
    <col min="272" max="402" width="46.5703125" bestFit="1" customWidth="1"/>
    <col min="403" max="404" width="31.5703125" bestFit="1" customWidth="1"/>
    <col min="405" max="405" width="32.140625" bestFit="1" customWidth="1"/>
  </cols>
  <sheetData>
    <row r="2" spans="1:4" x14ac:dyDescent="0.25">
      <c r="A2" s="33" t="s">
        <v>21</v>
      </c>
      <c r="B2" t="s">
        <v>10765</v>
      </c>
    </row>
    <row r="4" spans="1:4" x14ac:dyDescent="0.25">
      <c r="A4" s="33" t="s">
        <v>29</v>
      </c>
      <c r="B4" s="33" t="s">
        <v>26</v>
      </c>
      <c r="C4" s="33" t="s">
        <v>27</v>
      </c>
      <c r="D4" s="33" t="s">
        <v>28</v>
      </c>
    </row>
    <row r="5" spans="1:4" x14ac:dyDescent="0.25">
      <c r="A5" t="s">
        <v>339</v>
      </c>
    </row>
    <row r="6" spans="1:4" x14ac:dyDescent="0.25">
      <c r="A6" t="s">
        <v>344</v>
      </c>
    </row>
    <row r="7" spans="1:4" x14ac:dyDescent="0.25">
      <c r="A7" t="s">
        <v>345</v>
      </c>
    </row>
    <row r="8" spans="1:4" x14ac:dyDescent="0.25">
      <c r="A8" t="s">
        <v>346</v>
      </c>
    </row>
    <row r="9" spans="1:4" x14ac:dyDescent="0.25">
      <c r="A9" t="s">
        <v>347</v>
      </c>
    </row>
    <row r="10" spans="1:4" x14ac:dyDescent="0.25">
      <c r="A10" t="s">
        <v>348</v>
      </c>
    </row>
    <row r="11" spans="1:4" x14ac:dyDescent="0.25">
      <c r="A11" t="s">
        <v>349</v>
      </c>
    </row>
    <row r="12" spans="1:4" x14ac:dyDescent="0.25">
      <c r="A12" t="s">
        <v>350</v>
      </c>
    </row>
    <row r="13" spans="1:4" x14ac:dyDescent="0.25">
      <c r="A13" t="s">
        <v>351</v>
      </c>
    </row>
    <row r="14" spans="1:4" x14ac:dyDescent="0.25">
      <c r="A14" t="s">
        <v>352</v>
      </c>
    </row>
    <row r="15" spans="1:4" x14ac:dyDescent="0.25">
      <c r="A15" t="s">
        <v>353</v>
      </c>
    </row>
    <row r="16" spans="1:4" x14ac:dyDescent="0.25">
      <c r="A16" t="s">
        <v>354</v>
      </c>
    </row>
    <row r="17" spans="1:1" x14ac:dyDescent="0.25">
      <c r="A17" t="s">
        <v>355</v>
      </c>
    </row>
    <row r="18" spans="1:1" x14ac:dyDescent="0.25">
      <c r="A18" t="s">
        <v>356</v>
      </c>
    </row>
    <row r="19" spans="1:1" x14ac:dyDescent="0.25">
      <c r="A19" t="s">
        <v>357</v>
      </c>
    </row>
    <row r="20" spans="1:1" x14ac:dyDescent="0.25">
      <c r="A20" t="s">
        <v>358</v>
      </c>
    </row>
    <row r="21" spans="1:1" x14ac:dyDescent="0.25">
      <c r="A21" t="s">
        <v>359</v>
      </c>
    </row>
    <row r="22" spans="1:1" x14ac:dyDescent="0.25">
      <c r="A22" t="s">
        <v>360</v>
      </c>
    </row>
    <row r="23" spans="1:1" x14ac:dyDescent="0.25">
      <c r="A23" t="s">
        <v>361</v>
      </c>
    </row>
    <row r="24" spans="1:1" x14ac:dyDescent="0.25">
      <c r="A24" t="s">
        <v>362</v>
      </c>
    </row>
    <row r="25" spans="1:1" x14ac:dyDescent="0.25">
      <c r="A25" t="s">
        <v>363</v>
      </c>
    </row>
    <row r="26" spans="1:1" x14ac:dyDescent="0.25">
      <c r="A26" t="s">
        <v>364</v>
      </c>
    </row>
    <row r="27" spans="1:1" x14ac:dyDescent="0.25">
      <c r="A27" t="s">
        <v>365</v>
      </c>
    </row>
    <row r="28" spans="1:1" x14ac:dyDescent="0.25">
      <c r="A28" t="s">
        <v>366</v>
      </c>
    </row>
    <row r="29" spans="1:1" x14ac:dyDescent="0.25">
      <c r="A29" t="s">
        <v>367</v>
      </c>
    </row>
    <row r="30" spans="1:1" x14ac:dyDescent="0.25">
      <c r="A30" t="s">
        <v>368</v>
      </c>
    </row>
    <row r="31" spans="1:1" x14ac:dyDescent="0.25">
      <c r="A31" t="s">
        <v>369</v>
      </c>
    </row>
    <row r="32" spans="1:1" x14ac:dyDescent="0.25">
      <c r="A32" t="s">
        <v>370</v>
      </c>
    </row>
    <row r="33" spans="1:1" x14ac:dyDescent="0.25">
      <c r="A33" t="s">
        <v>371</v>
      </c>
    </row>
    <row r="34" spans="1:1" x14ac:dyDescent="0.25">
      <c r="A34" t="s">
        <v>372</v>
      </c>
    </row>
    <row r="35" spans="1:1" x14ac:dyDescent="0.25">
      <c r="A35" t="s">
        <v>373</v>
      </c>
    </row>
    <row r="36" spans="1:1" x14ac:dyDescent="0.25">
      <c r="A36" t="s">
        <v>374</v>
      </c>
    </row>
    <row r="37" spans="1:1" x14ac:dyDescent="0.25">
      <c r="A37" t="s">
        <v>375</v>
      </c>
    </row>
    <row r="38" spans="1:1" x14ac:dyDescent="0.25">
      <c r="A38" t="s">
        <v>376</v>
      </c>
    </row>
    <row r="39" spans="1:1" x14ac:dyDescent="0.25">
      <c r="A39" t="s">
        <v>377</v>
      </c>
    </row>
    <row r="40" spans="1:1" x14ac:dyDescent="0.25">
      <c r="A40" t="s">
        <v>378</v>
      </c>
    </row>
    <row r="41" spans="1:1" x14ac:dyDescent="0.25">
      <c r="A41" t="s">
        <v>379</v>
      </c>
    </row>
    <row r="42" spans="1:1" x14ac:dyDescent="0.25">
      <c r="A42" t="s">
        <v>380</v>
      </c>
    </row>
    <row r="43" spans="1:1" x14ac:dyDescent="0.25">
      <c r="A43" t="s">
        <v>381</v>
      </c>
    </row>
    <row r="44" spans="1:1" x14ac:dyDescent="0.25">
      <c r="A44" t="s">
        <v>382</v>
      </c>
    </row>
    <row r="45" spans="1:1" x14ac:dyDescent="0.25">
      <c r="A45" t="s">
        <v>383</v>
      </c>
    </row>
    <row r="46" spans="1:1" x14ac:dyDescent="0.25">
      <c r="A46" t="s">
        <v>384</v>
      </c>
    </row>
    <row r="47" spans="1:1" x14ac:dyDescent="0.25">
      <c r="A47" t="s">
        <v>385</v>
      </c>
    </row>
    <row r="48" spans="1:1" x14ac:dyDescent="0.25">
      <c r="A48" t="s">
        <v>386</v>
      </c>
    </row>
    <row r="49" spans="1:1" x14ac:dyDescent="0.25">
      <c r="A49" t="s">
        <v>387</v>
      </c>
    </row>
    <row r="50" spans="1:1" x14ac:dyDescent="0.25">
      <c r="A50" t="s">
        <v>388</v>
      </c>
    </row>
    <row r="51" spans="1:1" x14ac:dyDescent="0.25">
      <c r="A51" t="s">
        <v>389</v>
      </c>
    </row>
    <row r="52" spans="1:1" x14ac:dyDescent="0.25">
      <c r="A52" t="s">
        <v>390</v>
      </c>
    </row>
    <row r="53" spans="1:1" x14ac:dyDescent="0.25">
      <c r="A53" t="s">
        <v>391</v>
      </c>
    </row>
    <row r="54" spans="1:1" x14ac:dyDescent="0.25">
      <c r="A54" t="s">
        <v>392</v>
      </c>
    </row>
    <row r="55" spans="1:1" x14ac:dyDescent="0.25">
      <c r="A55" t="s">
        <v>393</v>
      </c>
    </row>
    <row r="56" spans="1:1" x14ac:dyDescent="0.25">
      <c r="A56" s="40" t="s">
        <v>394</v>
      </c>
    </row>
    <row r="57" spans="1:1" x14ac:dyDescent="0.25">
      <c r="A57" t="s">
        <v>395</v>
      </c>
    </row>
    <row r="58" spans="1:1" x14ac:dyDescent="0.25">
      <c r="A58" t="s">
        <v>396</v>
      </c>
    </row>
    <row r="59" spans="1:1" x14ac:dyDescent="0.25">
      <c r="A59" t="s">
        <v>397</v>
      </c>
    </row>
    <row r="60" spans="1:1" x14ac:dyDescent="0.25">
      <c r="A60" t="s">
        <v>398</v>
      </c>
    </row>
    <row r="61" spans="1:1" x14ac:dyDescent="0.25">
      <c r="A61" t="s">
        <v>399</v>
      </c>
    </row>
    <row r="62" spans="1:1" x14ac:dyDescent="0.25">
      <c r="A62" s="40" t="s">
        <v>400</v>
      </c>
    </row>
    <row r="63" spans="1:1" x14ac:dyDescent="0.25">
      <c r="A63" t="s">
        <v>401</v>
      </c>
    </row>
    <row r="64" spans="1:1" x14ac:dyDescent="0.25">
      <c r="A64" t="s">
        <v>402</v>
      </c>
    </row>
    <row r="65" spans="1:1" x14ac:dyDescent="0.25">
      <c r="A65" t="s">
        <v>403</v>
      </c>
    </row>
    <row r="66" spans="1:1" x14ac:dyDescent="0.25">
      <c r="A66" t="s">
        <v>404</v>
      </c>
    </row>
    <row r="67" spans="1:1" x14ac:dyDescent="0.25">
      <c r="A67" t="s">
        <v>405</v>
      </c>
    </row>
    <row r="68" spans="1:1" x14ac:dyDescent="0.25">
      <c r="A68" t="s">
        <v>406</v>
      </c>
    </row>
    <row r="69" spans="1:1" x14ac:dyDescent="0.25">
      <c r="A69" t="s">
        <v>407</v>
      </c>
    </row>
    <row r="70" spans="1:1" x14ac:dyDescent="0.25">
      <c r="A70" t="s">
        <v>408</v>
      </c>
    </row>
    <row r="71" spans="1:1" x14ac:dyDescent="0.25">
      <c r="A71" t="s">
        <v>409</v>
      </c>
    </row>
    <row r="72" spans="1:1" x14ac:dyDescent="0.25">
      <c r="A72" t="s">
        <v>410</v>
      </c>
    </row>
    <row r="73" spans="1:1" x14ac:dyDescent="0.25">
      <c r="A73" t="s">
        <v>411</v>
      </c>
    </row>
    <row r="74" spans="1:1" x14ac:dyDescent="0.25">
      <c r="A74" t="s">
        <v>412</v>
      </c>
    </row>
    <row r="75" spans="1:1" x14ac:dyDescent="0.25">
      <c r="A75" t="s">
        <v>413</v>
      </c>
    </row>
    <row r="76" spans="1:1" x14ac:dyDescent="0.25">
      <c r="A76" t="s">
        <v>414</v>
      </c>
    </row>
    <row r="77" spans="1:1" x14ac:dyDescent="0.25">
      <c r="A77" t="s">
        <v>415</v>
      </c>
    </row>
    <row r="78" spans="1:1" x14ac:dyDescent="0.25">
      <c r="A78" t="s">
        <v>416</v>
      </c>
    </row>
    <row r="79" spans="1:1" x14ac:dyDescent="0.25">
      <c r="A79" t="s">
        <v>417</v>
      </c>
    </row>
    <row r="80" spans="1:1" x14ac:dyDescent="0.25">
      <c r="A80" t="s">
        <v>418</v>
      </c>
    </row>
    <row r="81" spans="1:1" x14ac:dyDescent="0.25">
      <c r="A81" t="s">
        <v>419</v>
      </c>
    </row>
    <row r="82" spans="1:1" x14ac:dyDescent="0.25">
      <c r="A82" t="s">
        <v>420</v>
      </c>
    </row>
    <row r="83" spans="1:1" x14ac:dyDescent="0.25">
      <c r="A83" t="s">
        <v>421</v>
      </c>
    </row>
    <row r="84" spans="1:1" x14ac:dyDescent="0.25">
      <c r="A84" t="s">
        <v>422</v>
      </c>
    </row>
    <row r="85" spans="1:1" x14ac:dyDescent="0.25">
      <c r="A85" t="s">
        <v>423</v>
      </c>
    </row>
    <row r="86" spans="1:1" x14ac:dyDescent="0.25">
      <c r="A86" t="s">
        <v>424</v>
      </c>
    </row>
    <row r="87" spans="1:1" x14ac:dyDescent="0.25">
      <c r="A87" t="s">
        <v>425</v>
      </c>
    </row>
    <row r="88" spans="1:1" x14ac:dyDescent="0.25">
      <c r="A88" t="s">
        <v>426</v>
      </c>
    </row>
    <row r="89" spans="1:1" x14ac:dyDescent="0.25">
      <c r="A89" t="s">
        <v>427</v>
      </c>
    </row>
    <row r="90" spans="1:1" x14ac:dyDescent="0.25">
      <c r="A90" t="s">
        <v>428</v>
      </c>
    </row>
    <row r="91" spans="1:1" x14ac:dyDescent="0.25">
      <c r="A91" t="s">
        <v>429</v>
      </c>
    </row>
    <row r="92" spans="1:1" x14ac:dyDescent="0.25">
      <c r="A92" t="s">
        <v>430</v>
      </c>
    </row>
    <row r="93" spans="1:1" x14ac:dyDescent="0.25">
      <c r="A93" t="s">
        <v>431</v>
      </c>
    </row>
    <row r="94" spans="1:1" x14ac:dyDescent="0.25">
      <c r="A94" t="s">
        <v>432</v>
      </c>
    </row>
    <row r="95" spans="1:1" x14ac:dyDescent="0.25">
      <c r="A95" t="s">
        <v>433</v>
      </c>
    </row>
    <row r="96" spans="1:1" x14ac:dyDescent="0.25">
      <c r="A96" t="s">
        <v>434</v>
      </c>
    </row>
    <row r="97" spans="1:1" x14ac:dyDescent="0.25">
      <c r="A97" t="s">
        <v>435</v>
      </c>
    </row>
    <row r="98" spans="1:1" x14ac:dyDescent="0.25">
      <c r="A98" t="s">
        <v>436</v>
      </c>
    </row>
    <row r="99" spans="1:1" x14ac:dyDescent="0.25">
      <c r="A99" t="s">
        <v>437</v>
      </c>
    </row>
    <row r="100" spans="1:1" x14ac:dyDescent="0.25">
      <c r="A100" t="s">
        <v>438</v>
      </c>
    </row>
    <row r="101" spans="1:1" x14ac:dyDescent="0.25">
      <c r="A101" t="s">
        <v>439</v>
      </c>
    </row>
    <row r="102" spans="1:1" x14ac:dyDescent="0.25">
      <c r="A102" t="s">
        <v>440</v>
      </c>
    </row>
    <row r="103" spans="1:1" x14ac:dyDescent="0.25">
      <c r="A103" t="s">
        <v>441</v>
      </c>
    </row>
    <row r="104" spans="1:1" x14ac:dyDescent="0.25">
      <c r="A104" t="s">
        <v>442</v>
      </c>
    </row>
    <row r="105" spans="1:1" x14ac:dyDescent="0.25">
      <c r="A105" t="s">
        <v>443</v>
      </c>
    </row>
    <row r="106" spans="1:1" x14ac:dyDescent="0.25">
      <c r="A106" t="s">
        <v>444</v>
      </c>
    </row>
    <row r="107" spans="1:1" x14ac:dyDescent="0.25">
      <c r="A107" t="s">
        <v>445</v>
      </c>
    </row>
    <row r="108" spans="1:1" x14ac:dyDescent="0.25">
      <c r="A108" t="s">
        <v>446</v>
      </c>
    </row>
    <row r="109" spans="1:1" x14ac:dyDescent="0.25">
      <c r="A109" t="s">
        <v>447</v>
      </c>
    </row>
    <row r="110" spans="1:1" x14ac:dyDescent="0.25">
      <c r="A110" t="s">
        <v>448</v>
      </c>
    </row>
    <row r="111" spans="1:1" x14ac:dyDescent="0.25">
      <c r="A111" t="s">
        <v>449</v>
      </c>
    </row>
    <row r="112" spans="1:1" x14ac:dyDescent="0.25">
      <c r="A112" t="s">
        <v>450</v>
      </c>
    </row>
    <row r="113" spans="1:1" x14ac:dyDescent="0.25">
      <c r="A113" s="51" t="s">
        <v>451</v>
      </c>
    </row>
    <row r="114" spans="1:1" x14ac:dyDescent="0.25">
      <c r="A114" s="51" t="s">
        <v>452</v>
      </c>
    </row>
    <row r="115" spans="1:1" x14ac:dyDescent="0.25">
      <c r="A115" s="51" t="s">
        <v>453</v>
      </c>
    </row>
    <row r="116" spans="1:1" x14ac:dyDescent="0.25">
      <c r="A116" s="51" t="s">
        <v>454</v>
      </c>
    </row>
    <row r="117" spans="1:1" x14ac:dyDescent="0.25">
      <c r="A117" s="51" t="s">
        <v>455</v>
      </c>
    </row>
    <row r="118" spans="1:1" x14ac:dyDescent="0.25">
      <c r="A118" s="51" t="s">
        <v>456</v>
      </c>
    </row>
    <row r="119" spans="1:1" x14ac:dyDescent="0.25">
      <c r="A119" s="51" t="s">
        <v>457</v>
      </c>
    </row>
    <row r="120" spans="1:1" x14ac:dyDescent="0.25">
      <c r="A120" s="51" t="s">
        <v>458</v>
      </c>
    </row>
    <row r="121" spans="1:1" x14ac:dyDescent="0.25">
      <c r="A121" s="51" t="s">
        <v>459</v>
      </c>
    </row>
    <row r="122" spans="1:1" x14ac:dyDescent="0.25">
      <c r="A122" s="51" t="s">
        <v>460</v>
      </c>
    </row>
    <row r="123" spans="1:1" x14ac:dyDescent="0.25">
      <c r="A123" s="51" t="s">
        <v>461</v>
      </c>
    </row>
    <row r="124" spans="1:1" x14ac:dyDescent="0.25">
      <c r="A124" s="51" t="s">
        <v>462</v>
      </c>
    </row>
    <row r="125" spans="1:1" x14ac:dyDescent="0.25">
      <c r="A125" t="s">
        <v>316</v>
      </c>
    </row>
    <row r="126" spans="1:1" x14ac:dyDescent="0.25">
      <c r="A126" t="s">
        <v>317</v>
      </c>
    </row>
    <row r="127" spans="1:1" x14ac:dyDescent="0.25">
      <c r="A127" t="s">
        <v>318</v>
      </c>
    </row>
    <row r="128" spans="1:1" x14ac:dyDescent="0.25">
      <c r="A128" s="51" t="s">
        <v>319</v>
      </c>
    </row>
    <row r="129" spans="1:1" x14ac:dyDescent="0.25">
      <c r="A129" s="51" t="s">
        <v>320</v>
      </c>
    </row>
    <row r="130" spans="1:1" x14ac:dyDescent="0.25">
      <c r="A130" s="51" t="s">
        <v>321</v>
      </c>
    </row>
    <row r="131" spans="1:1" x14ac:dyDescent="0.25">
      <c r="A131" s="51" t="s">
        <v>322</v>
      </c>
    </row>
    <row r="132" spans="1:1" x14ac:dyDescent="0.25">
      <c r="A132" s="51" t="s">
        <v>323</v>
      </c>
    </row>
    <row r="133" spans="1:1" x14ac:dyDescent="0.25">
      <c r="A133" s="51" t="s">
        <v>324</v>
      </c>
    </row>
    <row r="134" spans="1:1" x14ac:dyDescent="0.25">
      <c r="A134" s="51" t="s">
        <v>325</v>
      </c>
    </row>
    <row r="135" spans="1:1" x14ac:dyDescent="0.25">
      <c r="A135" s="51" t="s">
        <v>326</v>
      </c>
    </row>
    <row r="136" spans="1:1" x14ac:dyDescent="0.25">
      <c r="A136" s="51" t="s">
        <v>327</v>
      </c>
    </row>
    <row r="137" spans="1:1" x14ac:dyDescent="0.25">
      <c r="A137" s="51" t="s">
        <v>328</v>
      </c>
    </row>
    <row r="138" spans="1:1" x14ac:dyDescent="0.25">
      <c r="A138" s="51" t="s">
        <v>329</v>
      </c>
    </row>
    <row r="139" spans="1:1" x14ac:dyDescent="0.25">
      <c r="A139" s="51" t="s">
        <v>330</v>
      </c>
    </row>
    <row r="140" spans="1:1" x14ac:dyDescent="0.25">
      <c r="A140" t="s">
        <v>331</v>
      </c>
    </row>
    <row r="141" spans="1:1" x14ac:dyDescent="0.25">
      <c r="A141" t="s">
        <v>463</v>
      </c>
    </row>
    <row r="142" spans="1:1" x14ac:dyDescent="0.25">
      <c r="A142" t="s">
        <v>464</v>
      </c>
    </row>
    <row r="143" spans="1:1" x14ac:dyDescent="0.25">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5" x14ac:dyDescent="0.25"/>
  <cols>
    <col min="1" max="1" width="68.5703125" bestFit="1" customWidth="1"/>
    <col min="2" max="2" width="12.140625" bestFit="1" customWidth="1"/>
    <col min="3" max="3" width="44.42578125" customWidth="1"/>
    <col min="4" max="4" width="31" customWidth="1"/>
    <col min="5" max="5" width="22.140625" customWidth="1"/>
    <col min="6" max="6" width="165.140625" bestFit="1" customWidth="1"/>
    <col min="11" max="11" width="19" bestFit="1" customWidth="1"/>
  </cols>
  <sheetData>
    <row r="1" spans="1:12" x14ac:dyDescent="0.25">
      <c r="A1" s="39" t="s">
        <v>333</v>
      </c>
      <c r="B1" t="s">
        <v>334</v>
      </c>
      <c r="C1" t="s">
        <v>335</v>
      </c>
      <c r="D1" t="s">
        <v>336</v>
      </c>
      <c r="E1" t="s">
        <v>337</v>
      </c>
      <c r="F1" t="s">
        <v>338</v>
      </c>
    </row>
    <row r="2" spans="1:12" hidden="1" x14ac:dyDescent="0.25">
      <c r="A2" s="34" t="s">
        <v>339</v>
      </c>
      <c r="B2">
        <f>LEN(A2)</f>
        <v>35</v>
      </c>
      <c r="C2" t="s">
        <v>340</v>
      </c>
      <c r="D2" t="s">
        <v>110</v>
      </c>
      <c r="E2" t="s">
        <v>341</v>
      </c>
      <c r="K2" s="2" t="s">
        <v>342</v>
      </c>
      <c r="L2" s="2" t="s">
        <v>343</v>
      </c>
    </row>
    <row r="3" spans="1:12" hidden="1" x14ac:dyDescent="0.25">
      <c r="A3" s="34" t="s">
        <v>344</v>
      </c>
      <c r="B3">
        <f t="shared" ref="B3:B66" si="0">LEN(A3)</f>
        <v>35</v>
      </c>
      <c r="K3" t="s">
        <v>79</v>
      </c>
      <c r="L3">
        <f>LEN(K3)</f>
        <v>18</v>
      </c>
    </row>
    <row r="4" spans="1:12" hidden="1" x14ac:dyDescent="0.25">
      <c r="A4" s="34" t="s">
        <v>345</v>
      </c>
      <c r="B4">
        <f t="shared" si="0"/>
        <v>35</v>
      </c>
      <c r="K4" t="s">
        <v>95</v>
      </c>
      <c r="L4">
        <f t="shared" ref="L4:L10" si="1">LEN(K4)</f>
        <v>19</v>
      </c>
    </row>
    <row r="5" spans="1:12" hidden="1" x14ac:dyDescent="0.25">
      <c r="A5" s="34" t="s">
        <v>346</v>
      </c>
      <c r="B5">
        <f t="shared" si="0"/>
        <v>35</v>
      </c>
      <c r="K5" t="s">
        <v>100</v>
      </c>
      <c r="L5">
        <f t="shared" si="1"/>
        <v>18</v>
      </c>
    </row>
    <row r="6" spans="1:12" hidden="1" x14ac:dyDescent="0.25">
      <c r="A6" s="34" t="s">
        <v>347</v>
      </c>
      <c r="B6">
        <f t="shared" si="0"/>
        <v>35</v>
      </c>
      <c r="K6" t="s">
        <v>131</v>
      </c>
      <c r="L6">
        <f t="shared" si="1"/>
        <v>7</v>
      </c>
    </row>
    <row r="7" spans="1:12" hidden="1" x14ac:dyDescent="0.25">
      <c r="A7" s="34" t="s">
        <v>348</v>
      </c>
      <c r="B7">
        <f t="shared" si="0"/>
        <v>35</v>
      </c>
      <c r="K7" t="s">
        <v>144</v>
      </c>
      <c r="L7">
        <f t="shared" si="1"/>
        <v>20</v>
      </c>
    </row>
    <row r="8" spans="1:12" hidden="1" x14ac:dyDescent="0.25">
      <c r="A8" s="34" t="s">
        <v>349</v>
      </c>
      <c r="B8">
        <f t="shared" si="0"/>
        <v>35</v>
      </c>
      <c r="K8" t="s">
        <v>159</v>
      </c>
      <c r="L8">
        <f t="shared" si="1"/>
        <v>15</v>
      </c>
    </row>
    <row r="9" spans="1:12" hidden="1" x14ac:dyDescent="0.25">
      <c r="A9" s="34" t="s">
        <v>350</v>
      </c>
      <c r="B9">
        <f t="shared" si="0"/>
        <v>35</v>
      </c>
      <c r="K9" t="s">
        <v>189</v>
      </c>
      <c r="L9">
        <f t="shared" si="1"/>
        <v>11</v>
      </c>
    </row>
    <row r="10" spans="1:12" hidden="1" x14ac:dyDescent="0.25">
      <c r="A10" s="34" t="s">
        <v>351</v>
      </c>
      <c r="B10">
        <f t="shared" si="0"/>
        <v>35</v>
      </c>
      <c r="K10" t="s">
        <v>0</v>
      </c>
      <c r="L10">
        <f t="shared" si="1"/>
        <v>16</v>
      </c>
    </row>
    <row r="11" spans="1:12" hidden="1" x14ac:dyDescent="0.25">
      <c r="A11" s="34" t="s">
        <v>352</v>
      </c>
      <c r="B11">
        <f t="shared" si="0"/>
        <v>35</v>
      </c>
    </row>
    <row r="12" spans="1:12" hidden="1" x14ac:dyDescent="0.25">
      <c r="A12" s="34" t="s">
        <v>353</v>
      </c>
      <c r="B12">
        <f t="shared" si="0"/>
        <v>35</v>
      </c>
    </row>
    <row r="13" spans="1:12" hidden="1" x14ac:dyDescent="0.25">
      <c r="A13" s="34" t="s">
        <v>354</v>
      </c>
      <c r="B13">
        <f t="shared" si="0"/>
        <v>35</v>
      </c>
    </row>
    <row r="14" spans="1:12" hidden="1" x14ac:dyDescent="0.25">
      <c r="A14" s="34" t="s">
        <v>355</v>
      </c>
      <c r="B14">
        <f t="shared" si="0"/>
        <v>37</v>
      </c>
    </row>
    <row r="15" spans="1:12" hidden="1" x14ac:dyDescent="0.25">
      <c r="A15" s="34" t="s">
        <v>356</v>
      </c>
      <c r="B15">
        <f t="shared" si="0"/>
        <v>37</v>
      </c>
    </row>
    <row r="16" spans="1:12" hidden="1" x14ac:dyDescent="0.25">
      <c r="A16" s="34" t="s">
        <v>357</v>
      </c>
      <c r="B16">
        <f t="shared" si="0"/>
        <v>37</v>
      </c>
    </row>
    <row r="17" spans="1:2" hidden="1" x14ac:dyDescent="0.25">
      <c r="A17" s="34" t="s">
        <v>358</v>
      </c>
      <c r="B17">
        <f t="shared" si="0"/>
        <v>37</v>
      </c>
    </row>
    <row r="18" spans="1:2" hidden="1" x14ac:dyDescent="0.25">
      <c r="A18" s="34" t="s">
        <v>359</v>
      </c>
      <c r="B18">
        <f t="shared" si="0"/>
        <v>37</v>
      </c>
    </row>
    <row r="19" spans="1:2" hidden="1" x14ac:dyDescent="0.25">
      <c r="A19" s="34" t="s">
        <v>360</v>
      </c>
      <c r="B19">
        <f t="shared" si="0"/>
        <v>37</v>
      </c>
    </row>
    <row r="20" spans="1:2" hidden="1" x14ac:dyDescent="0.25">
      <c r="A20" s="34" t="s">
        <v>361</v>
      </c>
      <c r="B20">
        <f t="shared" si="0"/>
        <v>37</v>
      </c>
    </row>
    <row r="21" spans="1:2" hidden="1" x14ac:dyDescent="0.25">
      <c r="A21" s="34" t="s">
        <v>362</v>
      </c>
      <c r="B21">
        <f t="shared" si="0"/>
        <v>37</v>
      </c>
    </row>
    <row r="22" spans="1:2" hidden="1" x14ac:dyDescent="0.25">
      <c r="A22" s="34" t="s">
        <v>363</v>
      </c>
      <c r="B22">
        <f t="shared" si="0"/>
        <v>37</v>
      </c>
    </row>
    <row r="23" spans="1:2" hidden="1" x14ac:dyDescent="0.25">
      <c r="A23" s="34" t="s">
        <v>364</v>
      </c>
      <c r="B23">
        <f t="shared" si="0"/>
        <v>37</v>
      </c>
    </row>
    <row r="24" spans="1:2" hidden="1" x14ac:dyDescent="0.25">
      <c r="A24" s="34" t="s">
        <v>365</v>
      </c>
      <c r="B24">
        <f t="shared" si="0"/>
        <v>37</v>
      </c>
    </row>
    <row r="25" spans="1:2" hidden="1" x14ac:dyDescent="0.25">
      <c r="A25" s="34" t="s">
        <v>366</v>
      </c>
      <c r="B25">
        <f t="shared" si="0"/>
        <v>37</v>
      </c>
    </row>
    <row r="26" spans="1:2" hidden="1" x14ac:dyDescent="0.25">
      <c r="A26" s="34" t="s">
        <v>367</v>
      </c>
      <c r="B26">
        <f t="shared" si="0"/>
        <v>37</v>
      </c>
    </row>
    <row r="27" spans="1:2" hidden="1" x14ac:dyDescent="0.25">
      <c r="A27" s="34" t="s">
        <v>368</v>
      </c>
      <c r="B27">
        <f t="shared" si="0"/>
        <v>37</v>
      </c>
    </row>
    <row r="28" spans="1:2" hidden="1" x14ac:dyDescent="0.25">
      <c r="A28" s="34" t="s">
        <v>369</v>
      </c>
      <c r="B28">
        <f t="shared" si="0"/>
        <v>37</v>
      </c>
    </row>
    <row r="29" spans="1:2" hidden="1" x14ac:dyDescent="0.25">
      <c r="A29" s="34" t="s">
        <v>370</v>
      </c>
      <c r="B29">
        <f t="shared" si="0"/>
        <v>37</v>
      </c>
    </row>
    <row r="30" spans="1:2" hidden="1" x14ac:dyDescent="0.25">
      <c r="A30" s="34" t="s">
        <v>371</v>
      </c>
      <c r="B30">
        <f t="shared" si="0"/>
        <v>35</v>
      </c>
    </row>
    <row r="31" spans="1:2" hidden="1" x14ac:dyDescent="0.25">
      <c r="A31" s="34" t="s">
        <v>372</v>
      </c>
      <c r="B31">
        <f t="shared" si="0"/>
        <v>35</v>
      </c>
    </row>
    <row r="32" spans="1:2" hidden="1" x14ac:dyDescent="0.25">
      <c r="A32" s="34" t="s">
        <v>373</v>
      </c>
      <c r="B32">
        <f t="shared" si="0"/>
        <v>35</v>
      </c>
    </row>
    <row r="33" spans="1:2" hidden="1" x14ac:dyDescent="0.25">
      <c r="A33" s="34" t="s">
        <v>374</v>
      </c>
      <c r="B33">
        <f t="shared" si="0"/>
        <v>35</v>
      </c>
    </row>
    <row r="34" spans="1:2" hidden="1" x14ac:dyDescent="0.25">
      <c r="A34" s="34" t="s">
        <v>375</v>
      </c>
      <c r="B34">
        <f t="shared" si="0"/>
        <v>35</v>
      </c>
    </row>
    <row r="35" spans="1:2" hidden="1" x14ac:dyDescent="0.25">
      <c r="A35" s="34" t="s">
        <v>376</v>
      </c>
      <c r="B35">
        <f t="shared" si="0"/>
        <v>35</v>
      </c>
    </row>
    <row r="36" spans="1:2" hidden="1" x14ac:dyDescent="0.25">
      <c r="A36" s="34" t="s">
        <v>377</v>
      </c>
      <c r="B36">
        <f t="shared" si="0"/>
        <v>35</v>
      </c>
    </row>
    <row r="37" spans="1:2" hidden="1" x14ac:dyDescent="0.25">
      <c r="A37" s="34" t="s">
        <v>378</v>
      </c>
      <c r="B37">
        <f t="shared" si="0"/>
        <v>35</v>
      </c>
    </row>
    <row r="38" spans="1:2" hidden="1" x14ac:dyDescent="0.25">
      <c r="A38" s="34" t="s">
        <v>379</v>
      </c>
      <c r="B38">
        <f t="shared" si="0"/>
        <v>35</v>
      </c>
    </row>
    <row r="39" spans="1:2" hidden="1" x14ac:dyDescent="0.25">
      <c r="A39" s="34" t="s">
        <v>380</v>
      </c>
      <c r="B39">
        <f t="shared" si="0"/>
        <v>35</v>
      </c>
    </row>
    <row r="40" spans="1:2" hidden="1" x14ac:dyDescent="0.25">
      <c r="A40" s="34" t="s">
        <v>381</v>
      </c>
      <c r="B40">
        <f t="shared" si="0"/>
        <v>35</v>
      </c>
    </row>
    <row r="41" spans="1:2" hidden="1" x14ac:dyDescent="0.25">
      <c r="A41" s="34" t="s">
        <v>382</v>
      </c>
      <c r="B41">
        <f t="shared" si="0"/>
        <v>35</v>
      </c>
    </row>
    <row r="42" spans="1:2" hidden="1" x14ac:dyDescent="0.25">
      <c r="A42" s="34" t="s">
        <v>383</v>
      </c>
      <c r="B42">
        <f t="shared" si="0"/>
        <v>35</v>
      </c>
    </row>
    <row r="43" spans="1:2" hidden="1" x14ac:dyDescent="0.25">
      <c r="A43" s="34" t="s">
        <v>384</v>
      </c>
      <c r="B43">
        <f t="shared" si="0"/>
        <v>35</v>
      </c>
    </row>
    <row r="44" spans="1:2" hidden="1" x14ac:dyDescent="0.25">
      <c r="A44" s="34" t="s">
        <v>385</v>
      </c>
      <c r="B44">
        <f t="shared" si="0"/>
        <v>35</v>
      </c>
    </row>
    <row r="45" spans="1:2" hidden="1" x14ac:dyDescent="0.25">
      <c r="A45" s="34" t="s">
        <v>386</v>
      </c>
      <c r="B45">
        <f t="shared" si="0"/>
        <v>35</v>
      </c>
    </row>
    <row r="46" spans="1:2" hidden="1" x14ac:dyDescent="0.25">
      <c r="A46" s="34" t="s">
        <v>387</v>
      </c>
      <c r="B46">
        <f t="shared" si="0"/>
        <v>39</v>
      </c>
    </row>
    <row r="47" spans="1:2" hidden="1" x14ac:dyDescent="0.25">
      <c r="A47" s="34" t="s">
        <v>388</v>
      </c>
      <c r="B47">
        <f t="shared" si="0"/>
        <v>39</v>
      </c>
    </row>
    <row r="48" spans="1:2" hidden="1" x14ac:dyDescent="0.25">
      <c r="A48" s="34" t="s">
        <v>389</v>
      </c>
      <c r="B48">
        <f t="shared" si="0"/>
        <v>39</v>
      </c>
    </row>
    <row r="49" spans="1:6" hidden="1" x14ac:dyDescent="0.25">
      <c r="A49" s="34" t="s">
        <v>390</v>
      </c>
      <c r="B49">
        <f t="shared" si="0"/>
        <v>39</v>
      </c>
    </row>
    <row r="50" spans="1:6" hidden="1" x14ac:dyDescent="0.25">
      <c r="A50" s="34" t="s">
        <v>391</v>
      </c>
      <c r="B50">
        <f t="shared" si="0"/>
        <v>41</v>
      </c>
    </row>
    <row r="51" spans="1:6" hidden="1" x14ac:dyDescent="0.25">
      <c r="A51" s="34" t="s">
        <v>392</v>
      </c>
      <c r="B51">
        <f t="shared" si="0"/>
        <v>41</v>
      </c>
    </row>
    <row r="52" spans="1:6" hidden="1" x14ac:dyDescent="0.25">
      <c r="A52" s="34" t="s">
        <v>393</v>
      </c>
      <c r="B52">
        <f t="shared" si="0"/>
        <v>41</v>
      </c>
    </row>
    <row r="53" spans="1:6" hidden="1" x14ac:dyDescent="0.25">
      <c r="A53" s="34" t="s">
        <v>394</v>
      </c>
      <c r="B53">
        <f t="shared" si="0"/>
        <v>41</v>
      </c>
    </row>
    <row r="54" spans="1:6" hidden="1" x14ac:dyDescent="0.25">
      <c r="A54" s="34" t="s">
        <v>395</v>
      </c>
      <c r="B54">
        <f t="shared" si="0"/>
        <v>42</v>
      </c>
    </row>
    <row r="55" spans="1:6" hidden="1" x14ac:dyDescent="0.25">
      <c r="A55" s="34" t="s">
        <v>396</v>
      </c>
      <c r="B55">
        <f t="shared" si="0"/>
        <v>42</v>
      </c>
    </row>
    <row r="56" spans="1:6" x14ac:dyDescent="0.25">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25">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25">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25">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25">
      <c r="A60" s="34" t="s">
        <v>401</v>
      </c>
      <c r="B60">
        <f t="shared" si="0"/>
        <v>38</v>
      </c>
    </row>
    <row r="61" spans="1:6" hidden="1" x14ac:dyDescent="0.25">
      <c r="A61" s="34" t="s">
        <v>402</v>
      </c>
      <c r="B61">
        <f t="shared" si="0"/>
        <v>38</v>
      </c>
    </row>
    <row r="62" spans="1:6" hidden="1" x14ac:dyDescent="0.25">
      <c r="A62" s="34" t="s">
        <v>403</v>
      </c>
      <c r="B62">
        <f t="shared" si="0"/>
        <v>38</v>
      </c>
    </row>
    <row r="63" spans="1:6" hidden="1" x14ac:dyDescent="0.25">
      <c r="A63" s="34" t="s">
        <v>404</v>
      </c>
      <c r="B63">
        <f t="shared" si="0"/>
        <v>38</v>
      </c>
    </row>
    <row r="64" spans="1:6" hidden="1" x14ac:dyDescent="0.25">
      <c r="A64" s="34" t="s">
        <v>405</v>
      </c>
      <c r="B64">
        <f t="shared" si="0"/>
        <v>38</v>
      </c>
    </row>
    <row r="65" spans="1:2" hidden="1" x14ac:dyDescent="0.25">
      <c r="A65" s="34" t="s">
        <v>406</v>
      </c>
      <c r="B65">
        <f t="shared" si="0"/>
        <v>38</v>
      </c>
    </row>
    <row r="66" spans="1:2" hidden="1" x14ac:dyDescent="0.25">
      <c r="A66" s="34" t="s">
        <v>407</v>
      </c>
      <c r="B66">
        <f t="shared" si="0"/>
        <v>38</v>
      </c>
    </row>
    <row r="67" spans="1:2" hidden="1" x14ac:dyDescent="0.25">
      <c r="A67" s="34" t="s">
        <v>408</v>
      </c>
      <c r="B67">
        <f t="shared" ref="B67:B130" si="4">LEN(A67)</f>
        <v>38</v>
      </c>
    </row>
    <row r="68" spans="1:2" hidden="1" x14ac:dyDescent="0.25">
      <c r="A68" s="34" t="s">
        <v>409</v>
      </c>
      <c r="B68">
        <f t="shared" si="4"/>
        <v>39</v>
      </c>
    </row>
    <row r="69" spans="1:2" hidden="1" x14ac:dyDescent="0.25">
      <c r="A69" s="34" t="s">
        <v>410</v>
      </c>
      <c r="B69">
        <f t="shared" si="4"/>
        <v>39</v>
      </c>
    </row>
    <row r="70" spans="1:2" hidden="1" x14ac:dyDescent="0.25">
      <c r="A70" s="34" t="s">
        <v>411</v>
      </c>
      <c r="B70">
        <f t="shared" si="4"/>
        <v>39</v>
      </c>
    </row>
    <row r="71" spans="1:2" hidden="1" x14ac:dyDescent="0.25">
      <c r="A71" s="34" t="s">
        <v>412</v>
      </c>
      <c r="B71">
        <f t="shared" si="4"/>
        <v>39</v>
      </c>
    </row>
    <row r="72" spans="1:2" hidden="1" x14ac:dyDescent="0.25">
      <c r="A72" s="34" t="s">
        <v>413</v>
      </c>
      <c r="B72">
        <f t="shared" si="4"/>
        <v>39</v>
      </c>
    </row>
    <row r="73" spans="1:2" hidden="1" x14ac:dyDescent="0.25">
      <c r="A73" s="34" t="s">
        <v>414</v>
      </c>
      <c r="B73">
        <f t="shared" si="4"/>
        <v>39</v>
      </c>
    </row>
    <row r="74" spans="1:2" hidden="1" x14ac:dyDescent="0.25">
      <c r="A74" s="34" t="s">
        <v>415</v>
      </c>
      <c r="B74">
        <f t="shared" si="4"/>
        <v>39</v>
      </c>
    </row>
    <row r="75" spans="1:2" hidden="1" x14ac:dyDescent="0.25">
      <c r="A75" s="34" t="s">
        <v>416</v>
      </c>
      <c r="B75">
        <f t="shared" si="4"/>
        <v>39</v>
      </c>
    </row>
    <row r="76" spans="1:2" hidden="1" x14ac:dyDescent="0.25">
      <c r="A76" s="34" t="s">
        <v>417</v>
      </c>
      <c r="B76">
        <f t="shared" si="4"/>
        <v>37</v>
      </c>
    </row>
    <row r="77" spans="1:2" hidden="1" x14ac:dyDescent="0.25">
      <c r="A77" s="34" t="s">
        <v>418</v>
      </c>
      <c r="B77">
        <f t="shared" si="4"/>
        <v>37</v>
      </c>
    </row>
    <row r="78" spans="1:2" hidden="1" x14ac:dyDescent="0.25">
      <c r="A78" s="34" t="s">
        <v>419</v>
      </c>
      <c r="B78">
        <f t="shared" si="4"/>
        <v>37</v>
      </c>
    </row>
    <row r="79" spans="1:2" hidden="1" x14ac:dyDescent="0.25">
      <c r="A79" s="34" t="s">
        <v>420</v>
      </c>
      <c r="B79">
        <f t="shared" si="4"/>
        <v>37</v>
      </c>
    </row>
    <row r="80" spans="1:2" hidden="1" x14ac:dyDescent="0.25">
      <c r="A80" s="34" t="s">
        <v>421</v>
      </c>
      <c r="B80">
        <f t="shared" si="4"/>
        <v>38</v>
      </c>
    </row>
    <row r="81" spans="1:2" hidden="1" x14ac:dyDescent="0.25">
      <c r="A81" s="34" t="s">
        <v>422</v>
      </c>
      <c r="B81">
        <f t="shared" si="4"/>
        <v>38</v>
      </c>
    </row>
    <row r="82" spans="1:2" hidden="1" x14ac:dyDescent="0.25">
      <c r="A82" s="34" t="s">
        <v>423</v>
      </c>
      <c r="B82">
        <f t="shared" si="4"/>
        <v>38</v>
      </c>
    </row>
    <row r="83" spans="1:2" hidden="1" x14ac:dyDescent="0.25">
      <c r="A83" s="34" t="s">
        <v>424</v>
      </c>
      <c r="B83">
        <f t="shared" si="4"/>
        <v>38</v>
      </c>
    </row>
    <row r="84" spans="1:2" hidden="1" x14ac:dyDescent="0.25">
      <c r="A84" s="34" t="s">
        <v>425</v>
      </c>
      <c r="B84">
        <f t="shared" si="4"/>
        <v>37</v>
      </c>
    </row>
    <row r="85" spans="1:2" hidden="1" x14ac:dyDescent="0.25">
      <c r="A85" s="34" t="s">
        <v>426</v>
      </c>
      <c r="B85">
        <f t="shared" si="4"/>
        <v>37</v>
      </c>
    </row>
    <row r="86" spans="1:2" hidden="1" x14ac:dyDescent="0.25">
      <c r="A86" s="34" t="s">
        <v>427</v>
      </c>
      <c r="B86">
        <f t="shared" si="4"/>
        <v>37</v>
      </c>
    </row>
    <row r="87" spans="1:2" hidden="1" x14ac:dyDescent="0.25">
      <c r="A87" s="34" t="s">
        <v>428</v>
      </c>
      <c r="B87">
        <f t="shared" si="4"/>
        <v>37</v>
      </c>
    </row>
    <row r="88" spans="1:2" hidden="1" x14ac:dyDescent="0.25">
      <c r="A88" s="34" t="s">
        <v>429</v>
      </c>
      <c r="B88">
        <f t="shared" si="4"/>
        <v>38</v>
      </c>
    </row>
    <row r="89" spans="1:2" hidden="1" x14ac:dyDescent="0.25">
      <c r="A89" s="34" t="s">
        <v>430</v>
      </c>
      <c r="B89">
        <f t="shared" si="4"/>
        <v>38</v>
      </c>
    </row>
    <row r="90" spans="1:2" hidden="1" x14ac:dyDescent="0.25">
      <c r="A90" s="34" t="s">
        <v>431</v>
      </c>
      <c r="B90">
        <f t="shared" si="4"/>
        <v>38</v>
      </c>
    </row>
    <row r="91" spans="1:2" hidden="1" x14ac:dyDescent="0.25">
      <c r="A91" s="34" t="s">
        <v>432</v>
      </c>
      <c r="B91">
        <f t="shared" si="4"/>
        <v>38</v>
      </c>
    </row>
    <row r="92" spans="1:2" hidden="1" x14ac:dyDescent="0.25">
      <c r="A92" s="34" t="s">
        <v>433</v>
      </c>
      <c r="B92">
        <f t="shared" si="4"/>
        <v>37</v>
      </c>
    </row>
    <row r="93" spans="1:2" hidden="1" x14ac:dyDescent="0.25">
      <c r="A93" s="34" t="s">
        <v>434</v>
      </c>
      <c r="B93">
        <f t="shared" si="4"/>
        <v>37</v>
      </c>
    </row>
    <row r="94" spans="1:2" hidden="1" x14ac:dyDescent="0.25">
      <c r="A94" s="34" t="s">
        <v>435</v>
      </c>
      <c r="B94">
        <f t="shared" si="4"/>
        <v>37</v>
      </c>
    </row>
    <row r="95" spans="1:2" hidden="1" x14ac:dyDescent="0.25">
      <c r="A95" s="34" t="s">
        <v>436</v>
      </c>
      <c r="B95">
        <f t="shared" si="4"/>
        <v>37</v>
      </c>
    </row>
    <row r="96" spans="1:2" hidden="1" x14ac:dyDescent="0.25">
      <c r="A96" s="34" t="s">
        <v>437</v>
      </c>
      <c r="B96">
        <f t="shared" si="4"/>
        <v>38</v>
      </c>
    </row>
    <row r="97" spans="1:2" hidden="1" x14ac:dyDescent="0.25">
      <c r="A97" s="34" t="s">
        <v>438</v>
      </c>
      <c r="B97">
        <f t="shared" si="4"/>
        <v>38</v>
      </c>
    </row>
    <row r="98" spans="1:2" hidden="1" x14ac:dyDescent="0.25">
      <c r="A98" s="34" t="s">
        <v>439</v>
      </c>
      <c r="B98">
        <f t="shared" si="4"/>
        <v>38</v>
      </c>
    </row>
    <row r="99" spans="1:2" hidden="1" x14ac:dyDescent="0.25">
      <c r="A99" s="34" t="s">
        <v>440</v>
      </c>
      <c r="B99">
        <f t="shared" si="4"/>
        <v>38</v>
      </c>
    </row>
    <row r="100" spans="1:2" hidden="1" x14ac:dyDescent="0.25">
      <c r="A100" s="34" t="s">
        <v>441</v>
      </c>
      <c r="B100">
        <f t="shared" si="4"/>
        <v>37</v>
      </c>
    </row>
    <row r="101" spans="1:2" hidden="1" x14ac:dyDescent="0.25">
      <c r="A101" s="34" t="s">
        <v>442</v>
      </c>
      <c r="B101">
        <f t="shared" si="4"/>
        <v>37</v>
      </c>
    </row>
    <row r="102" spans="1:2" hidden="1" x14ac:dyDescent="0.25">
      <c r="A102" s="34" t="s">
        <v>443</v>
      </c>
      <c r="B102">
        <f t="shared" si="4"/>
        <v>37</v>
      </c>
    </row>
    <row r="103" spans="1:2" hidden="1" x14ac:dyDescent="0.25">
      <c r="A103" s="34" t="s">
        <v>444</v>
      </c>
      <c r="B103">
        <f t="shared" si="4"/>
        <v>37</v>
      </c>
    </row>
    <row r="104" spans="1:2" hidden="1" x14ac:dyDescent="0.25">
      <c r="A104" s="34" t="s">
        <v>445</v>
      </c>
      <c r="B104">
        <f t="shared" si="4"/>
        <v>38</v>
      </c>
    </row>
    <row r="105" spans="1:2" hidden="1" x14ac:dyDescent="0.25">
      <c r="A105" s="34" t="s">
        <v>446</v>
      </c>
      <c r="B105">
        <f t="shared" si="4"/>
        <v>38</v>
      </c>
    </row>
    <row r="106" spans="1:2" hidden="1" x14ac:dyDescent="0.25">
      <c r="A106" s="34" t="s">
        <v>447</v>
      </c>
      <c r="B106">
        <f t="shared" si="4"/>
        <v>38</v>
      </c>
    </row>
    <row r="107" spans="1:2" hidden="1" x14ac:dyDescent="0.25">
      <c r="A107" s="34" t="s">
        <v>448</v>
      </c>
      <c r="B107">
        <f t="shared" si="4"/>
        <v>38</v>
      </c>
    </row>
    <row r="108" spans="1:2" hidden="1" x14ac:dyDescent="0.25">
      <c r="A108" s="34" t="s">
        <v>449</v>
      </c>
      <c r="B108">
        <f t="shared" si="4"/>
        <v>29</v>
      </c>
    </row>
    <row r="109" spans="1:2" hidden="1" x14ac:dyDescent="0.25">
      <c r="A109" s="34" t="s">
        <v>450</v>
      </c>
      <c r="B109">
        <f t="shared" si="4"/>
        <v>29</v>
      </c>
    </row>
    <row r="110" spans="1:2" hidden="1" x14ac:dyDescent="0.25">
      <c r="A110" s="34" t="s">
        <v>451</v>
      </c>
      <c r="B110">
        <f t="shared" si="4"/>
        <v>34</v>
      </c>
    </row>
    <row r="111" spans="1:2" hidden="1" x14ac:dyDescent="0.25">
      <c r="A111" s="34" t="s">
        <v>452</v>
      </c>
      <c r="B111">
        <f t="shared" si="4"/>
        <v>34</v>
      </c>
    </row>
    <row r="112" spans="1:2" hidden="1" x14ac:dyDescent="0.25">
      <c r="A112" s="34" t="s">
        <v>453</v>
      </c>
      <c r="B112">
        <f t="shared" si="4"/>
        <v>34</v>
      </c>
    </row>
    <row r="113" spans="1:2" hidden="1" x14ac:dyDescent="0.25">
      <c r="A113" s="34" t="s">
        <v>454</v>
      </c>
      <c r="B113">
        <f t="shared" si="4"/>
        <v>35</v>
      </c>
    </row>
    <row r="114" spans="1:2" hidden="1" x14ac:dyDescent="0.25">
      <c r="A114" s="34" t="s">
        <v>455</v>
      </c>
      <c r="B114">
        <f t="shared" si="4"/>
        <v>35</v>
      </c>
    </row>
    <row r="115" spans="1:2" hidden="1" x14ac:dyDescent="0.25">
      <c r="A115" s="34" t="s">
        <v>456</v>
      </c>
      <c r="B115">
        <f t="shared" si="4"/>
        <v>35</v>
      </c>
    </row>
    <row r="116" spans="1:2" hidden="1" x14ac:dyDescent="0.25">
      <c r="A116" s="34" t="s">
        <v>457</v>
      </c>
      <c r="B116">
        <f t="shared" si="4"/>
        <v>34</v>
      </c>
    </row>
    <row r="117" spans="1:2" hidden="1" x14ac:dyDescent="0.25">
      <c r="A117" s="34" t="s">
        <v>458</v>
      </c>
      <c r="B117">
        <f t="shared" si="4"/>
        <v>34</v>
      </c>
    </row>
    <row r="118" spans="1:2" hidden="1" x14ac:dyDescent="0.25">
      <c r="A118" s="34" t="s">
        <v>459</v>
      </c>
      <c r="B118">
        <f t="shared" si="4"/>
        <v>34</v>
      </c>
    </row>
    <row r="119" spans="1:2" hidden="1" x14ac:dyDescent="0.25">
      <c r="A119" s="34" t="s">
        <v>460</v>
      </c>
      <c r="B119">
        <f t="shared" si="4"/>
        <v>35</v>
      </c>
    </row>
    <row r="120" spans="1:2" hidden="1" x14ac:dyDescent="0.25">
      <c r="A120" s="34" t="s">
        <v>461</v>
      </c>
      <c r="B120">
        <f t="shared" si="4"/>
        <v>35</v>
      </c>
    </row>
    <row r="121" spans="1:2" hidden="1" x14ac:dyDescent="0.25">
      <c r="A121" s="34" t="s">
        <v>462</v>
      </c>
      <c r="B121">
        <f t="shared" si="4"/>
        <v>35</v>
      </c>
    </row>
    <row r="122" spans="1:2" hidden="1" x14ac:dyDescent="0.25">
      <c r="A122" s="34" t="s">
        <v>316</v>
      </c>
      <c r="B122">
        <f t="shared" si="4"/>
        <v>25</v>
      </c>
    </row>
    <row r="123" spans="1:2" hidden="1" x14ac:dyDescent="0.25">
      <c r="A123" s="34" t="s">
        <v>317</v>
      </c>
      <c r="B123">
        <f t="shared" si="4"/>
        <v>25</v>
      </c>
    </row>
    <row r="124" spans="1:2" hidden="1" x14ac:dyDescent="0.25">
      <c r="A124" s="34" t="s">
        <v>318</v>
      </c>
      <c r="B124">
        <f t="shared" si="4"/>
        <v>25</v>
      </c>
    </row>
    <row r="125" spans="1:2" hidden="1" x14ac:dyDescent="0.25">
      <c r="A125" s="34" t="s">
        <v>319</v>
      </c>
      <c r="B125">
        <f t="shared" si="4"/>
        <v>25</v>
      </c>
    </row>
    <row r="126" spans="1:2" hidden="1" x14ac:dyDescent="0.25">
      <c r="A126" s="34" t="s">
        <v>320</v>
      </c>
      <c r="B126">
        <f t="shared" si="4"/>
        <v>26</v>
      </c>
    </row>
    <row r="127" spans="1:2" hidden="1" x14ac:dyDescent="0.25">
      <c r="A127" s="34" t="s">
        <v>321</v>
      </c>
      <c r="B127">
        <f t="shared" si="4"/>
        <v>26</v>
      </c>
    </row>
    <row r="128" spans="1:2" hidden="1" x14ac:dyDescent="0.25">
      <c r="A128" s="34" t="s">
        <v>322</v>
      </c>
      <c r="B128">
        <f t="shared" si="4"/>
        <v>26</v>
      </c>
    </row>
    <row r="129" spans="1:2" hidden="1" x14ac:dyDescent="0.25">
      <c r="A129" s="34" t="s">
        <v>323</v>
      </c>
      <c r="B129">
        <f t="shared" si="4"/>
        <v>26</v>
      </c>
    </row>
    <row r="130" spans="1:2" hidden="1" x14ac:dyDescent="0.25">
      <c r="A130" s="34" t="s">
        <v>324</v>
      </c>
      <c r="B130">
        <f t="shared" si="4"/>
        <v>25</v>
      </c>
    </row>
    <row r="131" spans="1:2" hidden="1" x14ac:dyDescent="0.25">
      <c r="A131" s="34" t="s">
        <v>325</v>
      </c>
      <c r="B131">
        <f t="shared" ref="B131:B139" si="5">LEN(A131)</f>
        <v>25</v>
      </c>
    </row>
    <row r="132" spans="1:2" hidden="1" x14ac:dyDescent="0.25">
      <c r="A132" s="34" t="s">
        <v>326</v>
      </c>
      <c r="B132">
        <f t="shared" si="5"/>
        <v>25</v>
      </c>
    </row>
    <row r="133" spans="1:2" hidden="1" x14ac:dyDescent="0.25">
      <c r="A133" s="34" t="s">
        <v>327</v>
      </c>
      <c r="B133">
        <f t="shared" si="5"/>
        <v>25</v>
      </c>
    </row>
    <row r="134" spans="1:2" hidden="1" x14ac:dyDescent="0.25">
      <c r="A134" s="34" t="s">
        <v>328</v>
      </c>
      <c r="B134">
        <f t="shared" si="5"/>
        <v>26</v>
      </c>
    </row>
    <row r="135" spans="1:2" hidden="1" x14ac:dyDescent="0.25">
      <c r="A135" s="34" t="s">
        <v>329</v>
      </c>
      <c r="B135">
        <f t="shared" si="5"/>
        <v>26</v>
      </c>
    </row>
    <row r="136" spans="1:2" hidden="1" x14ac:dyDescent="0.25">
      <c r="A136" s="34" t="s">
        <v>330</v>
      </c>
      <c r="B136">
        <f t="shared" si="5"/>
        <v>26</v>
      </c>
    </row>
    <row r="137" spans="1:2" hidden="1" x14ac:dyDescent="0.25">
      <c r="A137" s="34" t="s">
        <v>331</v>
      </c>
      <c r="B137">
        <f t="shared" si="5"/>
        <v>26</v>
      </c>
    </row>
    <row r="138" spans="1:2" hidden="1" x14ac:dyDescent="0.25">
      <c r="A138" s="34" t="s">
        <v>463</v>
      </c>
      <c r="B138">
        <f t="shared" si="5"/>
        <v>42</v>
      </c>
    </row>
    <row r="139" spans="1:2" hidden="1" x14ac:dyDescent="0.25">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5" x14ac:dyDescent="0.25"/>
  <sheetData>
    <row r="1" spans="1:1" x14ac:dyDescent="0.25">
      <c r="A1" t="s">
        <v>465</v>
      </c>
    </row>
    <row r="2" spans="1:1" x14ac:dyDescent="0.25">
      <c r="A2" t="s">
        <v>466</v>
      </c>
    </row>
    <row r="3" spans="1:1" x14ac:dyDescent="0.25">
      <c r="A3" t="s">
        <v>467</v>
      </c>
    </row>
    <row r="6" spans="1:1" x14ac:dyDescent="0.25">
      <c r="A6" t="s">
        <v>45</v>
      </c>
    </row>
    <row r="7" spans="1:1" x14ac:dyDescent="0.25">
      <c r="A7" t="s">
        <v>131</v>
      </c>
    </row>
    <row r="8" spans="1:1" x14ac:dyDescent="0.25">
      <c r="A8" t="s">
        <v>468</v>
      </c>
    </row>
    <row r="9" spans="1:1" x14ac:dyDescent="0.2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5" x14ac:dyDescent="0.25"/>
  <cols>
    <col min="1" max="1" width="52.5703125" customWidth="1"/>
    <col min="2" max="2" width="36.140625" customWidth="1"/>
  </cols>
  <sheetData>
    <row r="3" spans="1:1" x14ac:dyDescent="0.25">
      <c r="A3" t="s">
        <v>469</v>
      </c>
    </row>
    <row r="5" spans="1:1" x14ac:dyDescent="0.25">
      <c r="A5" t="s">
        <v>470</v>
      </c>
    </row>
    <row r="7" spans="1:1" x14ac:dyDescent="0.25">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5" x14ac:dyDescent="0.25"/>
  <cols>
    <col min="1" max="1" width="12.5703125" style="1" customWidth="1"/>
    <col min="2" max="2" width="30.85546875" bestFit="1" customWidth="1"/>
  </cols>
  <sheetData>
    <row r="1" spans="1:2" x14ac:dyDescent="0.25">
      <c r="A1" s="17" t="s">
        <v>472</v>
      </c>
      <c r="B1" s="2" t="s">
        <v>473</v>
      </c>
    </row>
    <row r="2" spans="1:2" hidden="1" x14ac:dyDescent="0.25">
      <c r="A2" s="1">
        <v>234</v>
      </c>
      <c r="B2" t="str" cm="1">
        <f t="array" ref="B2">IFERROR(SUBSTITUTE(INDEX(TechType[[#All],[TechTypeID]],$A2),":","__"),"")</f>
        <v/>
      </c>
    </row>
    <row r="3" spans="1:2" hidden="1" x14ac:dyDescent="0.25">
      <c r="A3" s="1">
        <v>235</v>
      </c>
      <c r="B3" t="str" cm="1">
        <f t="array" ref="B3">IFERROR(SUBSTITUTE(INDEX(TechType[[#All],[TechTypeID]],$A3),":","__"),"")</f>
        <v/>
      </c>
    </row>
    <row r="4" spans="1:2" hidden="1" x14ac:dyDescent="0.25">
      <c r="A4" s="1">
        <v>236</v>
      </c>
      <c r="B4" t="str" cm="1">
        <f t="array" ref="B4">IFERROR(SUBSTITUTE(INDEX(TechType[[#All],[TechTypeID]],$A4),":","__"),"")</f>
        <v/>
      </c>
    </row>
    <row r="5" spans="1:2" hidden="1" x14ac:dyDescent="0.25">
      <c r="A5" s="1">
        <v>237</v>
      </c>
      <c r="B5" t="str" cm="1">
        <f t="array" ref="B5">IFERROR(SUBSTITUTE(INDEX(TechType[[#All],[TechTypeID]],$A5),":","__"),"")</f>
        <v/>
      </c>
    </row>
    <row r="6" spans="1:2" hidden="1" x14ac:dyDescent="0.25">
      <c r="A6" s="1">
        <v>238</v>
      </c>
      <c r="B6" t="str" cm="1">
        <f t="array" ref="B6">IFERROR(SUBSTITUTE(INDEX(TechType[[#All],[TechTypeID]],$A6),":","__"),"")</f>
        <v/>
      </c>
    </row>
    <row r="7" spans="1:2" hidden="1" x14ac:dyDescent="0.25">
      <c r="A7" s="1">
        <v>239</v>
      </c>
      <c r="B7" t="str" cm="1">
        <f t="array" ref="B7">IFERROR(SUBSTITUTE(INDEX(TechType[[#All],[TechTypeID]],$A7),":","__"),"")</f>
        <v/>
      </c>
    </row>
    <row r="8" spans="1:2" hidden="1" x14ac:dyDescent="0.25">
      <c r="A8" s="1">
        <v>240</v>
      </c>
      <c r="B8" t="str" cm="1">
        <f t="array" ref="B8">IFERROR(SUBSTITUTE(INDEX(TechType[[#All],[TechTypeID]],$A8),":","__"),"")</f>
        <v/>
      </c>
    </row>
    <row r="9" spans="1:2" hidden="1" x14ac:dyDescent="0.25">
      <c r="A9" s="1">
        <v>241</v>
      </c>
      <c r="B9" t="str" cm="1">
        <f t="array" ref="B9">IFERROR(SUBSTITUTE(INDEX(TechType[[#All],[TechTypeID]],$A9),":","__"),"")</f>
        <v/>
      </c>
    </row>
    <row r="10" spans="1:2" hidden="1" x14ac:dyDescent="0.25">
      <c r="A10" s="1">
        <v>242</v>
      </c>
      <c r="B10" t="str" cm="1">
        <f t="array" ref="B10">IFERROR(SUBSTITUTE(INDEX(TechType[[#All],[TechTypeID]],$A10),":","__"),"")</f>
        <v/>
      </c>
    </row>
    <row r="11" spans="1:2" hidden="1" x14ac:dyDescent="0.25">
      <c r="A11" s="1">
        <v>243</v>
      </c>
      <c r="B11" t="str" cm="1">
        <f t="array" ref="B11">IFERROR(SUBSTITUTE(INDEX(TechType[[#All],[TechTypeID]],$A11),":","__"),"")</f>
        <v/>
      </c>
    </row>
    <row r="12" spans="1:2" hidden="1" x14ac:dyDescent="0.25">
      <c r="A12" s="1">
        <v>244</v>
      </c>
      <c r="B12" t="str" cm="1">
        <f t="array" ref="B12">IFERROR(SUBSTITUTE(INDEX(TechType[[#All],[TechTypeID]],$A12),":","__"),"")</f>
        <v/>
      </c>
    </row>
    <row r="13" spans="1:2" hidden="1" x14ac:dyDescent="0.25">
      <c r="A13" s="1">
        <v>245</v>
      </c>
      <c r="B13" t="str" cm="1">
        <f t="array" ref="B13">IFERROR(SUBSTITUTE(INDEX(TechType[[#All],[TechTypeID]],$A13),":","__"),"")</f>
        <v/>
      </c>
    </row>
    <row r="14" spans="1:2" hidden="1" x14ac:dyDescent="0.25">
      <c r="A14" s="1">
        <v>246</v>
      </c>
      <c r="B14" t="str" cm="1">
        <f t="array" ref="B14">IFERROR(SUBSTITUTE(INDEX(TechType[[#All],[TechTypeID]],$A14),":","__"),"")</f>
        <v/>
      </c>
    </row>
    <row r="15" spans="1:2" hidden="1" x14ac:dyDescent="0.25">
      <c r="A15" s="1">
        <v>247</v>
      </c>
      <c r="B15" t="str" cm="1">
        <f t="array" ref="B15">IFERROR(SUBSTITUTE(INDEX(TechType[[#All],[TechTypeID]],$A15),":","__"),"")</f>
        <v/>
      </c>
    </row>
    <row r="16" spans="1:2" hidden="1" x14ac:dyDescent="0.25">
      <c r="A16" s="1">
        <v>248</v>
      </c>
      <c r="B16" t="str" cm="1">
        <f t="array" ref="B16">IFERROR(SUBSTITUTE(INDEX(TechType[[#All],[TechTypeID]],$A16),":","__"),"")</f>
        <v/>
      </c>
    </row>
    <row r="17" spans="1:2" hidden="1" x14ac:dyDescent="0.25">
      <c r="A17" s="1">
        <v>249</v>
      </c>
      <c r="B17" t="str" cm="1">
        <f t="array" ref="B17">IFERROR(SUBSTITUTE(INDEX(TechType[[#All],[TechTypeID]],$A17),":","__"),"")</f>
        <v/>
      </c>
    </row>
    <row r="18" spans="1:2" hidden="1" x14ac:dyDescent="0.25">
      <c r="A18" s="1">
        <v>250</v>
      </c>
      <c r="B18" t="str" cm="1">
        <f t="array" ref="B18">IFERROR(SUBSTITUTE(INDEX(TechType[[#All],[TechTypeID]],$A18),":","__"),"")</f>
        <v/>
      </c>
    </row>
    <row r="19" spans="1:2" hidden="1" x14ac:dyDescent="0.25">
      <c r="A19" s="1">
        <v>251</v>
      </c>
      <c r="B19" t="str" cm="1">
        <f t="array" ref="B19">IFERROR(SUBSTITUTE(INDEX(TechType[[#All],[TechTypeID]],$A19),":","__"),"")</f>
        <v/>
      </c>
    </row>
    <row r="20" spans="1:2" hidden="1" x14ac:dyDescent="0.25">
      <c r="A20" s="1">
        <v>252</v>
      </c>
      <c r="B20" t="str" cm="1">
        <f t="array" ref="B20">IFERROR(SUBSTITUTE(INDEX(TechType[[#All],[TechTypeID]],$A20),":","__"),"")</f>
        <v/>
      </c>
    </row>
    <row r="21" spans="1:2" hidden="1" x14ac:dyDescent="0.25">
      <c r="A21" s="1">
        <v>253</v>
      </c>
      <c r="B21" t="str" cm="1">
        <f t="array" ref="B21">IFERROR(SUBSTITUTE(INDEX(TechType[[#All],[TechTypeID]],$A21),":","__"),"")</f>
        <v/>
      </c>
    </row>
    <row r="22" spans="1:2" hidden="1" x14ac:dyDescent="0.25">
      <c r="A22" s="1">
        <v>254</v>
      </c>
      <c r="B22" t="str" cm="1">
        <f t="array" ref="B22">IFERROR(SUBSTITUTE(INDEX(TechType[[#All],[TechTypeID]],$A22),":","__"),"")</f>
        <v/>
      </c>
    </row>
    <row r="23" spans="1:2" hidden="1" x14ac:dyDescent="0.25">
      <c r="A23" s="1">
        <v>255</v>
      </c>
      <c r="B23" t="str" cm="1">
        <f t="array" ref="B23">IFERROR(SUBSTITUTE(INDEX(TechType[[#All],[TechTypeID]],$A23),":","__"),"")</f>
        <v/>
      </c>
    </row>
    <row r="24" spans="1:2" hidden="1" x14ac:dyDescent="0.25">
      <c r="A24" s="1">
        <v>256</v>
      </c>
      <c r="B24" t="str" cm="1">
        <f t="array" ref="B24">IFERROR(SUBSTITUTE(INDEX(TechType[[#All],[TechTypeID]],$A24),":","__"),"")</f>
        <v/>
      </c>
    </row>
    <row r="25" spans="1:2" hidden="1" x14ac:dyDescent="0.25">
      <c r="A25" s="1">
        <v>257</v>
      </c>
      <c r="B25" t="str" cm="1">
        <f t="array" ref="B25">IFERROR(SUBSTITUTE(INDEX(TechType[[#All],[TechTypeID]],$A25),":","__"),"")</f>
        <v/>
      </c>
    </row>
    <row r="26" spans="1:2" hidden="1" x14ac:dyDescent="0.25">
      <c r="A26" s="1">
        <v>258</v>
      </c>
      <c r="B26" t="str" cm="1">
        <f t="array" ref="B26">IFERROR(SUBSTITUTE(INDEX(TechType[[#All],[TechTypeID]],$A26),":","__"),"")</f>
        <v/>
      </c>
    </row>
    <row r="27" spans="1:2" hidden="1" x14ac:dyDescent="0.25">
      <c r="A27" s="1">
        <v>259</v>
      </c>
      <c r="B27" t="str" cm="1">
        <f t="array" ref="B27">IFERROR(SUBSTITUTE(INDEX(TechType[[#All],[TechTypeID]],$A27),":","__"),"")</f>
        <v/>
      </c>
    </row>
    <row r="28" spans="1:2" hidden="1" x14ac:dyDescent="0.25">
      <c r="A28" s="1">
        <v>260</v>
      </c>
      <c r="B28" t="str" cm="1">
        <f t="array" ref="B28">IFERROR(SUBSTITUTE(INDEX(TechType[[#All],[TechTypeID]],$A28),":","__"),"")</f>
        <v/>
      </c>
    </row>
    <row r="29" spans="1:2" hidden="1" x14ac:dyDescent="0.25">
      <c r="A29" s="1">
        <v>261</v>
      </c>
      <c r="B29" t="str" cm="1">
        <f t="array" ref="B29">IFERROR(SUBSTITUTE(INDEX(TechType[[#All],[TechTypeID]],$A29),":","__"),"")</f>
        <v/>
      </c>
    </row>
    <row r="30" spans="1:2" hidden="1" x14ac:dyDescent="0.25">
      <c r="A30" s="1">
        <v>262</v>
      </c>
      <c r="B30" t="str" cm="1">
        <f t="array" ref="B30">IFERROR(SUBSTITUTE(INDEX(TechType[[#All],[TechTypeID]],$A30),":","__"),"")</f>
        <v/>
      </c>
    </row>
    <row r="31" spans="1:2" hidden="1" x14ac:dyDescent="0.25">
      <c r="A31" s="1">
        <v>263</v>
      </c>
      <c r="B31" t="str" cm="1">
        <f t="array" ref="B31">IFERROR(SUBSTITUTE(INDEX(TechType[[#All],[TechTypeID]],$A31),":","__"),"")</f>
        <v/>
      </c>
    </row>
    <row r="32" spans="1:2" hidden="1" x14ac:dyDescent="0.25">
      <c r="A32" s="1">
        <v>264</v>
      </c>
      <c r="B32" t="str" cm="1">
        <f t="array" ref="B32">IFERROR(SUBSTITUTE(INDEX(TechType[[#All],[TechTypeID]],$A32),":","__"),"")</f>
        <v/>
      </c>
    </row>
    <row r="33" spans="1:2" hidden="1" x14ac:dyDescent="0.25">
      <c r="A33" s="1">
        <v>265</v>
      </c>
      <c r="B33" t="str" cm="1">
        <f t="array" ref="B33">IFERROR(SUBSTITUTE(INDEX(TechType[[#All],[TechTypeID]],$A33),":","__"),"")</f>
        <v/>
      </c>
    </row>
    <row r="34" spans="1:2" hidden="1" x14ac:dyDescent="0.25">
      <c r="A34" s="1">
        <v>266</v>
      </c>
      <c r="B34" t="str" cm="1">
        <f t="array" ref="B34">IFERROR(SUBSTITUTE(INDEX(TechType[[#All],[TechTypeID]],$A34),":","__"),"")</f>
        <v/>
      </c>
    </row>
    <row r="35" spans="1:2" hidden="1" x14ac:dyDescent="0.25">
      <c r="A35" s="1">
        <v>267</v>
      </c>
      <c r="B35" t="str" cm="1">
        <f t="array" ref="B35">IFERROR(SUBSTITUTE(INDEX(TechType[[#All],[TechTypeID]],$A35),":","__"),"")</f>
        <v/>
      </c>
    </row>
    <row r="36" spans="1:2" hidden="1" x14ac:dyDescent="0.25">
      <c r="A36" s="1">
        <v>268</v>
      </c>
      <c r="B36" t="str" cm="1">
        <f t="array" ref="B36">IFERROR(SUBSTITUTE(INDEX(TechType[[#All],[TechTypeID]],$A36),":","__"),"")</f>
        <v/>
      </c>
    </row>
    <row r="37" spans="1:2" hidden="1" x14ac:dyDescent="0.25">
      <c r="A37" s="1">
        <v>269</v>
      </c>
      <c r="B37" t="str" cm="1">
        <f t="array" ref="B37">IFERROR(SUBSTITUTE(INDEX(TechType[[#All],[TechTypeID]],$A37),":","__"),"")</f>
        <v/>
      </c>
    </row>
    <row r="38" spans="1:2" hidden="1" x14ac:dyDescent="0.25">
      <c r="A38" s="1">
        <v>270</v>
      </c>
      <c r="B38" t="str" cm="1">
        <f t="array" ref="B38">IFERROR(SUBSTITUTE(INDEX(TechType[[#All],[TechTypeID]],$A38),":","__"),"")</f>
        <v/>
      </c>
    </row>
    <row r="39" spans="1:2" hidden="1" x14ac:dyDescent="0.25">
      <c r="A39" s="1">
        <v>271</v>
      </c>
      <c r="B39" t="str" cm="1">
        <f t="array" ref="B39">IFERROR(SUBSTITUTE(INDEX(TechType[[#All],[TechTypeID]],$A39),":","__"),"")</f>
        <v/>
      </c>
    </row>
    <row r="40" spans="1:2" hidden="1" x14ac:dyDescent="0.25">
      <c r="A40" s="1">
        <v>272</v>
      </c>
      <c r="B40" t="str" cm="1">
        <f t="array" ref="B40">IFERROR(SUBSTITUTE(INDEX(TechType[[#All],[TechTypeID]],$A40),":","__"),"")</f>
        <v/>
      </c>
    </row>
    <row r="41" spans="1:2" hidden="1" x14ac:dyDescent="0.25">
      <c r="A41" s="1">
        <v>273</v>
      </c>
      <c r="B41" t="str" cm="1">
        <f t="array" ref="B41">IFERROR(SUBSTITUTE(INDEX(TechType[[#All],[TechTypeID]],$A41),":","__"),"")</f>
        <v/>
      </c>
    </row>
    <row r="42" spans="1:2" hidden="1" x14ac:dyDescent="0.25">
      <c r="A42" s="1">
        <v>274</v>
      </c>
      <c r="B42" t="str" cm="1">
        <f t="array" ref="B42">IFERROR(SUBSTITUTE(INDEX(TechType[[#All],[TechTypeID]],$A42),":","__"),"")</f>
        <v/>
      </c>
    </row>
    <row r="43" spans="1:2" hidden="1" x14ac:dyDescent="0.25">
      <c r="A43" s="1">
        <v>275</v>
      </c>
      <c r="B43" t="str" cm="1">
        <f t="array" ref="B43">IFERROR(SUBSTITUTE(INDEX(TechType[[#All],[TechTypeID]],$A43),":","__"),"")</f>
        <v/>
      </c>
    </row>
    <row r="44" spans="1:2" hidden="1" x14ac:dyDescent="0.25">
      <c r="A44" s="1">
        <v>276</v>
      </c>
      <c r="B44" t="str" cm="1">
        <f t="array" ref="B44">IFERROR(SUBSTITUTE(INDEX(TechType[[#All],[TechTypeID]],$A44),":","__"),"")</f>
        <v/>
      </c>
    </row>
    <row r="45" spans="1:2" hidden="1" x14ac:dyDescent="0.25">
      <c r="A45" s="1">
        <v>277</v>
      </c>
      <c r="B45" t="str" cm="1">
        <f t="array" ref="B45">IFERROR(SUBSTITUTE(INDEX(TechType[[#All],[TechTypeID]],$A45),":","__"),"")</f>
        <v/>
      </c>
    </row>
    <row r="46" spans="1:2" hidden="1" x14ac:dyDescent="0.25">
      <c r="A46" s="1">
        <v>278</v>
      </c>
      <c r="B46" t="str" cm="1">
        <f t="array" ref="B46">IFERROR(SUBSTITUTE(INDEX(TechType[[#All],[TechTypeID]],$A46),":","__"),"")</f>
        <v/>
      </c>
    </row>
    <row r="47" spans="1:2" hidden="1" x14ac:dyDescent="0.25">
      <c r="A47" s="1">
        <v>279</v>
      </c>
      <c r="B47" t="str" cm="1">
        <f t="array" ref="B47">IFERROR(SUBSTITUTE(INDEX(TechType[[#All],[TechTypeID]],$A47),":","__"),"")</f>
        <v/>
      </c>
    </row>
    <row r="48" spans="1:2" hidden="1" x14ac:dyDescent="0.25">
      <c r="A48" s="1">
        <v>280</v>
      </c>
      <c r="B48" t="str" cm="1">
        <f t="array" ref="B48">IFERROR(SUBSTITUTE(INDEX(TechType[[#All],[TechTypeID]],$A48),":","__"),"")</f>
        <v/>
      </c>
    </row>
    <row r="49" spans="1:2" hidden="1" x14ac:dyDescent="0.25">
      <c r="A49" s="1">
        <v>281</v>
      </c>
      <c r="B49" t="str" cm="1">
        <f t="array" ref="B49">IFERROR(SUBSTITUTE(INDEX(TechType[[#All],[TechTypeID]],$A49),":","__"),"")</f>
        <v/>
      </c>
    </row>
    <row r="50" spans="1:2" hidden="1" x14ac:dyDescent="0.25">
      <c r="A50" s="1">
        <v>282</v>
      </c>
      <c r="B50" t="str" cm="1">
        <f t="array" ref="B50">IFERROR(SUBSTITUTE(INDEX(TechType[[#All],[TechTypeID]],$A50),":","__"),"")</f>
        <v/>
      </c>
    </row>
    <row r="51" spans="1:2" hidden="1" x14ac:dyDescent="0.25">
      <c r="A51" s="1">
        <v>283</v>
      </c>
      <c r="B51" t="str" cm="1">
        <f t="array" ref="B51">IFERROR(SUBSTITUTE(INDEX(TechType[[#All],[TechTypeID]],$A51),":","__"),"")</f>
        <v/>
      </c>
    </row>
    <row r="52" spans="1:2" hidden="1" x14ac:dyDescent="0.25">
      <c r="A52" s="1">
        <v>284</v>
      </c>
      <c r="B52" t="str" cm="1">
        <f t="array" ref="B52">IFERROR(SUBSTITUTE(INDEX(TechType[[#All],[TechTypeID]],$A52),":","__"),"")</f>
        <v/>
      </c>
    </row>
    <row r="53" spans="1:2" hidden="1" x14ac:dyDescent="0.25">
      <c r="A53" s="1">
        <v>285</v>
      </c>
      <c r="B53" t="str" cm="1">
        <f t="array" ref="B53">IFERROR(SUBSTITUTE(INDEX(TechType[[#All],[TechTypeID]],$A53),":","__"),"")</f>
        <v/>
      </c>
    </row>
    <row r="54" spans="1:2" hidden="1" x14ac:dyDescent="0.25">
      <c r="A54" s="1">
        <v>286</v>
      </c>
      <c r="B54" t="str" cm="1">
        <f t="array" ref="B54">IFERROR(SUBSTITUTE(INDEX(TechType[[#All],[TechTypeID]],$A54),":","__"),"")</f>
        <v/>
      </c>
    </row>
    <row r="55" spans="1:2" hidden="1" x14ac:dyDescent="0.25">
      <c r="A55" s="1">
        <v>287</v>
      </c>
      <c r="B55" t="str" cm="1">
        <f t="array" ref="B55">IFERROR(SUBSTITUTE(INDEX(TechType[[#All],[TechTypeID]],$A55),":","__"),"")</f>
        <v/>
      </c>
    </row>
    <row r="56" spans="1:2" hidden="1" x14ac:dyDescent="0.25">
      <c r="A56" s="1">
        <v>288</v>
      </c>
      <c r="B56" t="str" cm="1">
        <f t="array" ref="B56">IFERROR(SUBSTITUTE(INDEX(TechType[[#All],[TechTypeID]],$A56),":","__"),"")</f>
        <v/>
      </c>
    </row>
    <row r="57" spans="1:2" hidden="1" x14ac:dyDescent="0.25">
      <c r="A57" s="1">
        <v>289</v>
      </c>
      <c r="B57" t="str" cm="1">
        <f t="array" ref="B57">IFERROR(SUBSTITUTE(INDEX(TechType[[#All],[TechTypeID]],$A57),":","__"),"")</f>
        <v/>
      </c>
    </row>
    <row r="58" spans="1:2" hidden="1" x14ac:dyDescent="0.25">
      <c r="A58" s="1">
        <v>290</v>
      </c>
      <c r="B58" t="str" cm="1">
        <f t="array" ref="B58">IFERROR(SUBSTITUTE(INDEX(TechType[[#All],[TechTypeID]],$A58),":","__"),"")</f>
        <v/>
      </c>
    </row>
    <row r="59" spans="1:2" hidden="1" x14ac:dyDescent="0.25">
      <c r="A59" s="1">
        <v>291</v>
      </c>
      <c r="B59" t="str" cm="1">
        <f t="array" ref="B59">IFERROR(SUBSTITUTE(INDEX(TechType[[#All],[TechTypeID]],$A59),":","__"),"")</f>
        <v/>
      </c>
    </row>
    <row r="60" spans="1:2" hidden="1" x14ac:dyDescent="0.25">
      <c r="A60" s="1">
        <v>292</v>
      </c>
      <c r="B60" t="str" cm="1">
        <f t="array" ref="B60">IFERROR(SUBSTITUTE(INDEX(TechType[[#All],[TechTypeID]],$A60),":","__"),"")</f>
        <v/>
      </c>
    </row>
    <row r="61" spans="1:2" hidden="1" x14ac:dyDescent="0.25">
      <c r="A61" s="1">
        <v>293</v>
      </c>
      <c r="B61" t="str" cm="1">
        <f t="array" ref="B61">IFERROR(SUBSTITUTE(INDEX(TechType[[#All],[TechTypeID]],$A61),":","__"),"")</f>
        <v/>
      </c>
    </row>
    <row r="62" spans="1:2" hidden="1" x14ac:dyDescent="0.25">
      <c r="A62" s="1">
        <v>294</v>
      </c>
      <c r="B62" t="str" cm="1">
        <f t="array" ref="B62">IFERROR(SUBSTITUTE(INDEX(TechType[[#All],[TechTypeID]],$A62),":","__"),"")</f>
        <v/>
      </c>
    </row>
    <row r="63" spans="1:2" hidden="1" x14ac:dyDescent="0.25">
      <c r="A63" s="1">
        <v>295</v>
      </c>
      <c r="B63" t="str" cm="1">
        <f t="array" ref="B63">IFERROR(SUBSTITUTE(INDEX(TechType[[#All],[TechTypeID]],$A63),":","__"),"")</f>
        <v/>
      </c>
    </row>
    <row r="64" spans="1:2" hidden="1" x14ac:dyDescent="0.25">
      <c r="A64" s="1">
        <v>296</v>
      </c>
      <c r="B64" t="str" cm="1">
        <f t="array" ref="B64">IFERROR(SUBSTITUTE(INDEX(TechType[[#All],[TechTypeID]],$A64),":","__"),"")</f>
        <v/>
      </c>
    </row>
    <row r="65" spans="1:2" hidden="1" x14ac:dyDescent="0.25">
      <c r="A65" s="1">
        <v>297</v>
      </c>
      <c r="B65" t="str" cm="1">
        <f t="array" ref="B65">IFERROR(SUBSTITUTE(INDEX(TechType[[#All],[TechTypeID]],$A65),":","__"),"")</f>
        <v/>
      </c>
    </row>
    <row r="66" spans="1:2" hidden="1" x14ac:dyDescent="0.25">
      <c r="A66" s="1">
        <v>298</v>
      </c>
      <c r="B66" t="str" cm="1">
        <f t="array" ref="B66">IFERROR(SUBSTITUTE(INDEX(TechType[[#All],[TechTypeID]],$A66),":","__"),"")</f>
        <v/>
      </c>
    </row>
    <row r="67" spans="1:2" hidden="1" x14ac:dyDescent="0.25">
      <c r="A67" s="1">
        <v>299</v>
      </c>
      <c r="B67" t="str" cm="1">
        <f t="array" ref="B67">IFERROR(SUBSTITUTE(INDEX(TechType[[#All],[TechTypeID]],$A67),":","__"),"")</f>
        <v/>
      </c>
    </row>
    <row r="68" spans="1:2" hidden="1" x14ac:dyDescent="0.25">
      <c r="A68" s="1">
        <v>300</v>
      </c>
      <c r="B68" t="str" cm="1">
        <f t="array" ref="B68">IFERROR(SUBSTITUTE(INDEX(TechType[[#All],[TechTypeID]],$A68),":","__"),"")</f>
        <v/>
      </c>
    </row>
    <row r="69" spans="1:2" hidden="1" x14ac:dyDescent="0.25">
      <c r="A69" s="1">
        <v>301</v>
      </c>
      <c r="B69" t="str" cm="1">
        <f t="array" ref="B69">IFERROR(SUBSTITUTE(INDEX(TechType[[#All],[TechTypeID]],$A69),":","__"),"")</f>
        <v/>
      </c>
    </row>
    <row r="70" spans="1:2" hidden="1" x14ac:dyDescent="0.25">
      <c r="A70" s="1">
        <v>302</v>
      </c>
      <c r="B70" t="str" cm="1">
        <f t="array" ref="B70">IFERROR(SUBSTITUTE(INDEX(TechType[[#All],[TechTypeID]],$A70),":","__"),"")</f>
        <v/>
      </c>
    </row>
    <row r="71" spans="1:2" hidden="1" x14ac:dyDescent="0.25">
      <c r="A71" s="1">
        <v>303</v>
      </c>
      <c r="B71" t="str" cm="1">
        <f t="array" ref="B71">IFERROR(SUBSTITUTE(INDEX(TechType[[#All],[TechTypeID]],$A71),":","__"),"")</f>
        <v/>
      </c>
    </row>
    <row r="72" spans="1:2" hidden="1" x14ac:dyDescent="0.25">
      <c r="A72" s="1">
        <v>304</v>
      </c>
      <c r="B72" t="str" cm="1">
        <f t="array" ref="B72">IFERROR(SUBSTITUTE(INDEX(TechType[[#All],[TechTypeID]],$A72),":","__"),"")</f>
        <v/>
      </c>
    </row>
    <row r="73" spans="1:2" hidden="1" x14ac:dyDescent="0.25">
      <c r="A73" s="1">
        <v>305</v>
      </c>
      <c r="B73" t="str" cm="1">
        <f t="array" ref="B73">IFERROR(SUBSTITUTE(INDEX(TechType[[#All],[TechTypeID]],$A73),":","__"),"")</f>
        <v/>
      </c>
    </row>
    <row r="74" spans="1:2" hidden="1" x14ac:dyDescent="0.25">
      <c r="A74" s="1">
        <v>306</v>
      </c>
      <c r="B74" t="str" cm="1">
        <f t="array" ref="B74">IFERROR(SUBSTITUTE(INDEX(TechType[[#All],[TechTypeID]],$A74),":","__"),"")</f>
        <v/>
      </c>
    </row>
    <row r="75" spans="1:2" hidden="1" x14ac:dyDescent="0.25">
      <c r="A75" s="1">
        <v>307</v>
      </c>
      <c r="B75" t="str" cm="1">
        <f t="array" ref="B75">IFERROR(SUBSTITUTE(INDEX(TechType[[#All],[TechTypeID]],$A75),":","__"),"")</f>
        <v/>
      </c>
    </row>
    <row r="76" spans="1:2" hidden="1" x14ac:dyDescent="0.25">
      <c r="A76" s="1">
        <v>308</v>
      </c>
      <c r="B76" t="str" cm="1">
        <f t="array" ref="B76">IFERROR(SUBSTITUTE(INDEX(TechType[[#All],[TechTypeID]],$A76),":","__"),"")</f>
        <v/>
      </c>
    </row>
    <row r="77" spans="1:2" hidden="1" x14ac:dyDescent="0.25">
      <c r="A77" s="1">
        <v>309</v>
      </c>
      <c r="B77" t="str" cm="1">
        <f t="array" ref="B77">IFERROR(SUBSTITUTE(INDEX(TechType[[#All],[TechTypeID]],$A77),":","__"),"")</f>
        <v/>
      </c>
    </row>
    <row r="78" spans="1:2" hidden="1" x14ac:dyDescent="0.25">
      <c r="A78" s="1">
        <v>310</v>
      </c>
      <c r="B78" t="str" cm="1">
        <f t="array" ref="B78">IFERROR(SUBSTITUTE(INDEX(TechType[[#All],[TechTypeID]],$A78),":","__"),"")</f>
        <v/>
      </c>
    </row>
    <row r="79" spans="1:2" hidden="1" x14ac:dyDescent="0.25">
      <c r="A79" s="1">
        <v>311</v>
      </c>
      <c r="B79" t="str" cm="1">
        <f t="array" ref="B79">IFERROR(SUBSTITUTE(INDEX(TechType[[#All],[TechTypeID]],$A79),":","__"),"")</f>
        <v/>
      </c>
    </row>
    <row r="80" spans="1:2" hidden="1" x14ac:dyDescent="0.25">
      <c r="A80" s="1">
        <v>312</v>
      </c>
      <c r="B80" t="str" cm="1">
        <f t="array" ref="B80">IFERROR(SUBSTITUTE(INDEX(TechType[[#All],[TechTypeID]],$A80),":","__"),"")</f>
        <v/>
      </c>
    </row>
    <row r="81" spans="1:2" hidden="1" x14ac:dyDescent="0.25">
      <c r="A81" s="1">
        <v>313</v>
      </c>
      <c r="B81" t="str" cm="1">
        <f t="array" ref="B81">IFERROR(SUBSTITUTE(INDEX(TechType[[#All],[TechTypeID]],$A81),":","__"),"")</f>
        <v/>
      </c>
    </row>
    <row r="82" spans="1:2" hidden="1" x14ac:dyDescent="0.25">
      <c r="A82" s="1">
        <v>314</v>
      </c>
      <c r="B82" t="str" cm="1">
        <f t="array" ref="B82">IFERROR(SUBSTITUTE(INDEX(TechType[[#All],[TechTypeID]],$A82),":","__"),"")</f>
        <v/>
      </c>
    </row>
    <row r="83" spans="1:2" hidden="1" x14ac:dyDescent="0.25">
      <c r="A83" s="1">
        <v>315</v>
      </c>
      <c r="B83" t="str" cm="1">
        <f t="array" ref="B83">IFERROR(SUBSTITUTE(INDEX(TechType[[#All],[TechTypeID]],$A83),":","__"),"")</f>
        <v/>
      </c>
    </row>
    <row r="84" spans="1:2" hidden="1" x14ac:dyDescent="0.25">
      <c r="A84" s="1">
        <v>316</v>
      </c>
      <c r="B84" t="str" cm="1">
        <f t="array" ref="B84">IFERROR(SUBSTITUTE(INDEX(TechType[[#All],[TechTypeID]],$A84),":","__"),"")</f>
        <v/>
      </c>
    </row>
    <row r="85" spans="1:2" hidden="1" x14ac:dyDescent="0.25">
      <c r="A85" s="1">
        <v>317</v>
      </c>
      <c r="B85" t="str" cm="1">
        <f t="array" ref="B85">IFERROR(SUBSTITUTE(INDEX(TechType[[#All],[TechTypeID]],$A85),":","__"),"")</f>
        <v/>
      </c>
    </row>
    <row r="86" spans="1:2" hidden="1" x14ac:dyDescent="0.25">
      <c r="A86" s="1">
        <v>318</v>
      </c>
      <c r="B86" t="str" cm="1">
        <f t="array" ref="B86">IFERROR(SUBSTITUTE(INDEX(TechType[[#All],[TechTypeID]],$A86),":","__"),"")</f>
        <v/>
      </c>
    </row>
    <row r="87" spans="1:2" hidden="1" x14ac:dyDescent="0.25">
      <c r="A87" s="1">
        <v>319</v>
      </c>
      <c r="B87" t="str" cm="1">
        <f t="array" ref="B87">IFERROR(SUBSTITUTE(INDEX(TechType[[#All],[TechTypeID]],$A87),":","__"),"")</f>
        <v/>
      </c>
    </row>
    <row r="88" spans="1:2" hidden="1" x14ac:dyDescent="0.25">
      <c r="A88" s="1">
        <v>320</v>
      </c>
      <c r="B88" t="str" cm="1">
        <f t="array" ref="B88">IFERROR(SUBSTITUTE(INDEX(TechType[[#All],[TechTypeID]],$A88),":","__"),"")</f>
        <v/>
      </c>
    </row>
    <row r="89" spans="1:2" hidden="1" x14ac:dyDescent="0.25">
      <c r="A89" s="1">
        <v>321</v>
      </c>
      <c r="B89" t="str" cm="1">
        <f t="array" ref="B89">IFERROR(SUBSTITUTE(INDEX(TechType[[#All],[TechTypeID]],$A89),":","__"),"")</f>
        <v/>
      </c>
    </row>
    <row r="90" spans="1:2" hidden="1" x14ac:dyDescent="0.25">
      <c r="A90" s="1">
        <v>322</v>
      </c>
      <c r="B90" t="str" cm="1">
        <f t="array" ref="B90">IFERROR(SUBSTITUTE(INDEX(TechType[[#All],[TechTypeID]],$A90),":","__"),"")</f>
        <v/>
      </c>
    </row>
    <row r="91" spans="1:2" hidden="1" x14ac:dyDescent="0.25">
      <c r="A91" s="1">
        <v>323</v>
      </c>
      <c r="B91" t="str" cm="1">
        <f t="array" ref="B91">IFERROR(SUBSTITUTE(INDEX(TechType[[#All],[TechTypeID]],$A91),":","__"),"")</f>
        <v/>
      </c>
    </row>
    <row r="92" spans="1:2" hidden="1" x14ac:dyDescent="0.25">
      <c r="A92" s="1">
        <v>324</v>
      </c>
      <c r="B92" t="str" cm="1">
        <f t="array" ref="B92">IFERROR(SUBSTITUTE(INDEX(TechType[[#All],[TechTypeID]],$A92),":","__"),"")</f>
        <v/>
      </c>
    </row>
    <row r="93" spans="1:2" hidden="1" x14ac:dyDescent="0.25">
      <c r="A93" s="1">
        <v>325</v>
      </c>
      <c r="B93" t="str" cm="1">
        <f t="array" ref="B93">IFERROR(SUBSTITUTE(INDEX(TechType[[#All],[TechTypeID]],$A93),":","__"),"")</f>
        <v/>
      </c>
    </row>
    <row r="94" spans="1:2" hidden="1" x14ac:dyDescent="0.25">
      <c r="A94" s="1">
        <v>326</v>
      </c>
      <c r="B94" t="str" cm="1">
        <f t="array" ref="B94">IFERROR(SUBSTITUTE(INDEX(TechType[[#All],[TechTypeID]],$A94),":","__"),"")</f>
        <v/>
      </c>
    </row>
    <row r="95" spans="1:2" hidden="1" x14ac:dyDescent="0.25">
      <c r="A95" s="1">
        <v>327</v>
      </c>
      <c r="B95" t="str" cm="1">
        <f t="array" ref="B95">IFERROR(SUBSTITUTE(INDEX(TechType[[#All],[TechTypeID]],$A95),":","__"),"")</f>
        <v/>
      </c>
    </row>
    <row r="96" spans="1:2" hidden="1" x14ac:dyDescent="0.25">
      <c r="A96" s="1">
        <v>328</v>
      </c>
      <c r="B96" t="str" cm="1">
        <f t="array" ref="B96">IFERROR(SUBSTITUTE(INDEX(TechType[[#All],[TechTypeID]],$A96),":","__"),"")</f>
        <v/>
      </c>
    </row>
    <row r="97" spans="1:2" hidden="1" x14ac:dyDescent="0.25">
      <c r="A97" s="1">
        <v>329</v>
      </c>
      <c r="B97" t="str" cm="1">
        <f t="array" ref="B97">IFERROR(SUBSTITUTE(INDEX(TechType[[#All],[TechTypeID]],$A97),":","__"),"")</f>
        <v/>
      </c>
    </row>
    <row r="98" spans="1:2" hidden="1" x14ac:dyDescent="0.25">
      <c r="A98" s="1">
        <v>330</v>
      </c>
      <c r="B98" t="str" cm="1">
        <f t="array" ref="B98">IFERROR(SUBSTITUTE(INDEX(TechType[[#All],[TechTypeID]],$A98),":","__"),"")</f>
        <v/>
      </c>
    </row>
    <row r="99" spans="1:2" hidden="1" x14ac:dyDescent="0.25">
      <c r="A99" s="1">
        <v>331</v>
      </c>
      <c r="B99" t="str" cm="1">
        <f t="array" ref="B99">IFERROR(SUBSTITUTE(INDEX(TechType[[#All],[TechTypeID]],$A99),":","__"),"")</f>
        <v/>
      </c>
    </row>
    <row r="100" spans="1:2" hidden="1" x14ac:dyDescent="0.25">
      <c r="A100" s="1">
        <v>332</v>
      </c>
      <c r="B100" t="str" cm="1">
        <f t="array" ref="B100">IFERROR(SUBSTITUTE(INDEX(TechType[[#All],[TechTypeID]],$A100),":","__"),"")</f>
        <v/>
      </c>
    </row>
    <row r="101" spans="1:2" hidden="1" x14ac:dyDescent="0.25">
      <c r="A101" s="1">
        <v>333</v>
      </c>
      <c r="B101" t="str" cm="1">
        <f t="array" ref="B101">IFERROR(SUBSTITUTE(INDEX(TechType[[#All],[TechTypeID]],$A101),":","__"),"")</f>
        <v/>
      </c>
    </row>
    <row r="102" spans="1:2" hidden="1" x14ac:dyDescent="0.25">
      <c r="A102" s="1">
        <v>334</v>
      </c>
      <c r="B102" t="str" cm="1">
        <f t="array" ref="B102">IFERROR(SUBSTITUTE(INDEX(TechType[[#All],[TechTypeID]],$A102),":","__"),"")</f>
        <v/>
      </c>
    </row>
    <row r="103" spans="1:2" hidden="1" x14ac:dyDescent="0.25">
      <c r="A103" s="1">
        <v>335</v>
      </c>
      <c r="B103" t="str" cm="1">
        <f t="array" ref="B103">IFERROR(SUBSTITUTE(INDEX(TechType[[#All],[TechTypeID]],$A103),":","__"),"")</f>
        <v/>
      </c>
    </row>
    <row r="104" spans="1:2" hidden="1" x14ac:dyDescent="0.25">
      <c r="A104" s="1">
        <v>336</v>
      </c>
      <c r="B104" t="str" cm="1">
        <f t="array" ref="B104">IFERROR(SUBSTITUTE(INDEX(TechType[[#All],[TechTypeID]],$A104),":","__"),"")</f>
        <v/>
      </c>
    </row>
    <row r="105" spans="1:2" hidden="1" x14ac:dyDescent="0.25">
      <c r="A105" s="1">
        <v>337</v>
      </c>
      <c r="B105" t="str" cm="1">
        <f t="array" ref="B105">IFERROR(SUBSTITUTE(INDEX(TechType[[#All],[TechTypeID]],$A105),":","__"),"")</f>
        <v/>
      </c>
    </row>
    <row r="106" spans="1:2" hidden="1" x14ac:dyDescent="0.25">
      <c r="A106" s="1">
        <v>338</v>
      </c>
      <c r="B106" t="str" cm="1">
        <f t="array" ref="B106">IFERROR(SUBSTITUTE(INDEX(TechType[[#All],[TechTypeID]],$A106),":","__"),"")</f>
        <v/>
      </c>
    </row>
    <row r="107" spans="1:2" hidden="1" x14ac:dyDescent="0.25">
      <c r="A107" s="1">
        <v>339</v>
      </c>
      <c r="B107" t="str" cm="1">
        <f t="array" ref="B107">IFERROR(SUBSTITUTE(INDEX(TechType[[#All],[TechTypeID]],$A107),":","__"),"")</f>
        <v/>
      </c>
    </row>
    <row r="108" spans="1:2" hidden="1" x14ac:dyDescent="0.25">
      <c r="A108" s="1">
        <v>340</v>
      </c>
      <c r="B108" t="str" cm="1">
        <f t="array" ref="B108">IFERROR(SUBSTITUTE(INDEX(TechType[[#All],[TechTypeID]],$A108),":","__"),"")</f>
        <v/>
      </c>
    </row>
    <row r="109" spans="1:2" hidden="1" x14ac:dyDescent="0.25">
      <c r="A109" s="1">
        <v>341</v>
      </c>
      <c r="B109" t="str" cm="1">
        <f t="array" ref="B109">IFERROR(SUBSTITUTE(INDEX(TechType[[#All],[TechTypeID]],$A109),":","__"),"")</f>
        <v/>
      </c>
    </row>
    <row r="110" spans="1:2" hidden="1" x14ac:dyDescent="0.25">
      <c r="A110" s="1">
        <v>342</v>
      </c>
      <c r="B110" t="str" cm="1">
        <f t="array" ref="B110">IFERROR(SUBSTITUTE(INDEX(TechType[[#All],[TechTypeID]],$A110),":","__"),"")</f>
        <v/>
      </c>
    </row>
    <row r="111" spans="1:2" hidden="1" x14ac:dyDescent="0.25">
      <c r="A111" s="1">
        <v>343</v>
      </c>
      <c r="B111" t="str" cm="1">
        <f t="array" ref="B111">IFERROR(SUBSTITUTE(INDEX(TechType[[#All],[TechTypeID]],$A111),":","__"),"")</f>
        <v/>
      </c>
    </row>
    <row r="112" spans="1:2" hidden="1" x14ac:dyDescent="0.25">
      <c r="A112" s="1">
        <v>344</v>
      </c>
      <c r="B112" t="str" cm="1">
        <f t="array" ref="B112">IFERROR(SUBSTITUTE(INDEX(TechType[[#All],[TechTypeID]],$A112),":","__"),"")</f>
        <v/>
      </c>
    </row>
    <row r="113" spans="1:2" hidden="1" x14ac:dyDescent="0.25">
      <c r="A113" s="1">
        <v>345</v>
      </c>
      <c r="B113" t="str" cm="1">
        <f t="array" ref="B113">IFERROR(SUBSTITUTE(INDEX(TechType[[#All],[TechTypeID]],$A113),":","__"),"")</f>
        <v/>
      </c>
    </row>
    <row r="114" spans="1:2" hidden="1" x14ac:dyDescent="0.25">
      <c r="A114" s="1">
        <v>346</v>
      </c>
      <c r="B114" t="str" cm="1">
        <f t="array" ref="B114">IFERROR(SUBSTITUTE(INDEX(TechType[[#All],[TechTypeID]],$A114),":","__"),"")</f>
        <v/>
      </c>
    </row>
    <row r="115" spans="1:2" hidden="1" x14ac:dyDescent="0.25">
      <c r="A115" s="1">
        <v>347</v>
      </c>
      <c r="B115" t="str" cm="1">
        <f t="array" ref="B115">IFERROR(SUBSTITUTE(INDEX(TechType[[#All],[TechTypeID]],$A115),":","__"),"")</f>
        <v/>
      </c>
    </row>
    <row r="116" spans="1:2" hidden="1" x14ac:dyDescent="0.25">
      <c r="A116" s="1">
        <v>348</v>
      </c>
      <c r="B116" t="str" cm="1">
        <f t="array" ref="B116">IFERROR(SUBSTITUTE(INDEX(TechType[[#All],[TechTypeID]],$A116),":","__"),"")</f>
        <v/>
      </c>
    </row>
    <row r="117" spans="1:2" hidden="1" x14ac:dyDescent="0.25">
      <c r="A117" s="1">
        <v>349</v>
      </c>
      <c r="B117" t="str" cm="1">
        <f t="array" ref="B117">IFERROR(SUBSTITUTE(INDEX(TechType[[#All],[TechTypeID]],$A117),":","__"),"")</f>
        <v/>
      </c>
    </row>
    <row r="118" spans="1:2" hidden="1" x14ac:dyDescent="0.25">
      <c r="A118" s="1">
        <v>350</v>
      </c>
      <c r="B118" t="str" cm="1">
        <f t="array" ref="B118">IFERROR(SUBSTITUTE(INDEX(TechType[[#All],[TechTypeID]],$A118),":","__"),"")</f>
        <v/>
      </c>
    </row>
    <row r="119" spans="1:2" hidden="1" x14ac:dyDescent="0.25">
      <c r="A119" s="1">
        <v>351</v>
      </c>
      <c r="B119" t="str" cm="1">
        <f t="array" ref="B119">IFERROR(SUBSTITUTE(INDEX(TechType[[#All],[TechTypeID]],$A119),":","__"),"")</f>
        <v/>
      </c>
    </row>
    <row r="120" spans="1:2" hidden="1" x14ac:dyDescent="0.25">
      <c r="A120" s="1">
        <v>352</v>
      </c>
      <c r="B120" t="str" cm="1">
        <f t="array" ref="B120">IFERROR(SUBSTITUTE(INDEX(TechType[[#All],[TechTypeID]],$A120),":","__"),"")</f>
        <v/>
      </c>
    </row>
    <row r="121" spans="1:2" hidden="1" x14ac:dyDescent="0.25">
      <c r="A121" s="1">
        <v>353</v>
      </c>
      <c r="B121" t="str" cm="1">
        <f t="array" ref="B121">IFERROR(SUBSTITUTE(INDEX(TechType[[#All],[TechTypeID]],$A121),":","__"),"")</f>
        <v/>
      </c>
    </row>
    <row r="122" spans="1:2" hidden="1" x14ac:dyDescent="0.25">
      <c r="A122" s="1">
        <v>354</v>
      </c>
      <c r="B122" t="str" cm="1">
        <f t="array" ref="B122">IFERROR(SUBSTITUTE(INDEX(TechType[[#All],[TechTypeID]],$A122),":","__"),"")</f>
        <v/>
      </c>
    </row>
    <row r="123" spans="1:2" hidden="1" x14ac:dyDescent="0.25">
      <c r="A123" s="1">
        <v>355</v>
      </c>
      <c r="B123" t="str" cm="1">
        <f t="array" ref="B123">IFERROR(SUBSTITUTE(INDEX(TechType[[#All],[TechTypeID]],$A123),":","__"),"")</f>
        <v/>
      </c>
    </row>
    <row r="124" spans="1:2" hidden="1" x14ac:dyDescent="0.25">
      <c r="A124" s="1">
        <v>356</v>
      </c>
      <c r="B124" t="str" cm="1">
        <f t="array" ref="B124">IFERROR(SUBSTITUTE(INDEX(TechType[[#All],[TechTypeID]],$A124),":","__"),"")</f>
        <v/>
      </c>
    </row>
    <row r="125" spans="1:2" hidden="1" x14ac:dyDescent="0.25">
      <c r="A125" s="1">
        <v>357</v>
      </c>
      <c r="B125" t="str" cm="1">
        <f t="array" ref="B125">IFERROR(SUBSTITUTE(INDEX(TechType[[#All],[TechTypeID]],$A125),":","__"),"")</f>
        <v/>
      </c>
    </row>
    <row r="126" spans="1:2" hidden="1" x14ac:dyDescent="0.25">
      <c r="A126" s="1">
        <v>358</v>
      </c>
      <c r="B126" t="str" cm="1">
        <f t="array" ref="B126">IFERROR(SUBSTITUTE(INDEX(TechType[[#All],[TechTypeID]],$A126),":","__"),"")</f>
        <v/>
      </c>
    </row>
    <row r="127" spans="1:2" hidden="1" x14ac:dyDescent="0.25">
      <c r="A127" s="1">
        <v>359</v>
      </c>
      <c r="B127" t="str" cm="1">
        <f t="array" ref="B127">IFERROR(SUBSTITUTE(INDEX(TechType[[#All],[TechTypeID]],$A127),":","__"),"")</f>
        <v/>
      </c>
    </row>
    <row r="128" spans="1:2" hidden="1" x14ac:dyDescent="0.25">
      <c r="A128" s="1">
        <v>360</v>
      </c>
      <c r="B128" t="str" cm="1">
        <f t="array" ref="B128">IFERROR(SUBSTITUTE(INDEX(TechType[[#All],[TechTypeID]],$A128),":","__"),"")</f>
        <v/>
      </c>
    </row>
    <row r="129" spans="1:2" hidden="1" x14ac:dyDescent="0.25">
      <c r="A129" s="1">
        <v>361</v>
      </c>
      <c r="B129" t="str" cm="1">
        <f t="array" ref="B129">IFERROR(SUBSTITUTE(INDEX(TechType[[#All],[TechTypeID]],$A129),":","__"),"")</f>
        <v/>
      </c>
    </row>
    <row r="130" spans="1:2" hidden="1" x14ac:dyDescent="0.25">
      <c r="A130" s="1">
        <v>362</v>
      </c>
      <c r="B130" t="str" cm="1">
        <f t="array" ref="B130">IFERROR(SUBSTITUTE(INDEX(TechType[[#All],[TechTypeID]],$A130),":","__"),"")</f>
        <v/>
      </c>
    </row>
    <row r="131" spans="1:2" hidden="1" x14ac:dyDescent="0.25">
      <c r="A131" s="1">
        <v>363</v>
      </c>
      <c r="B131" t="str" cm="1">
        <f t="array" ref="B131">IFERROR(SUBSTITUTE(INDEX(TechType[[#All],[TechTypeID]],$A131),":","__"),"")</f>
        <v/>
      </c>
    </row>
    <row r="132" spans="1:2" hidden="1" x14ac:dyDescent="0.25">
      <c r="A132" s="1">
        <v>364</v>
      </c>
      <c r="B132" t="str" cm="1">
        <f t="array" ref="B132">IFERROR(SUBSTITUTE(INDEX(TechType[[#All],[TechTypeID]],$A132),":","__"),"")</f>
        <v/>
      </c>
    </row>
    <row r="133" spans="1:2" hidden="1" x14ac:dyDescent="0.25">
      <c r="A133" s="1">
        <v>365</v>
      </c>
      <c r="B133" t="str" cm="1">
        <f t="array" ref="B133">IFERROR(SUBSTITUTE(INDEX(TechType[[#All],[TechTypeID]],$A133),":","__"),"")</f>
        <v/>
      </c>
    </row>
    <row r="134" spans="1:2" hidden="1" x14ac:dyDescent="0.25">
      <c r="A134" s="1">
        <v>366</v>
      </c>
      <c r="B134" t="str" cm="1">
        <f t="array" ref="B134">IFERROR(SUBSTITUTE(INDEX(TechType[[#All],[TechTypeID]],$A134),":","__"),"")</f>
        <v/>
      </c>
    </row>
    <row r="135" spans="1:2" hidden="1" x14ac:dyDescent="0.25">
      <c r="A135" s="1">
        <v>367</v>
      </c>
      <c r="B135" t="str" cm="1">
        <f t="array" ref="B135">IFERROR(SUBSTITUTE(INDEX(TechType[[#All],[TechTypeID]],$A135),":","__"),"")</f>
        <v/>
      </c>
    </row>
    <row r="136" spans="1:2" hidden="1" x14ac:dyDescent="0.25">
      <c r="A136" s="1">
        <v>368</v>
      </c>
      <c r="B136" t="str" cm="1">
        <f t="array" ref="B136">IFERROR(SUBSTITUTE(INDEX(TechType[[#All],[TechTypeID]],$A136),":","__"),"")</f>
        <v/>
      </c>
    </row>
    <row r="137" spans="1:2" hidden="1" x14ac:dyDescent="0.25">
      <c r="A137" s="1">
        <v>369</v>
      </c>
      <c r="B137" t="str" cm="1">
        <f t="array" ref="B137">IFERROR(SUBSTITUTE(INDEX(TechType[[#All],[TechTypeID]],$A137),":","__"),"")</f>
        <v/>
      </c>
    </row>
    <row r="138" spans="1:2" hidden="1" x14ac:dyDescent="0.25">
      <c r="A138" s="1">
        <v>370</v>
      </c>
      <c r="B138" t="str" cm="1">
        <f t="array" ref="B138">IFERROR(SUBSTITUTE(INDEX(TechType[[#All],[TechTypeID]],$A138),":","__"),"")</f>
        <v/>
      </c>
    </row>
    <row r="139" spans="1:2" hidden="1" x14ac:dyDescent="0.25">
      <c r="A139" s="1">
        <v>371</v>
      </c>
      <c r="B139" t="str" cm="1">
        <f t="array" ref="B139">IFERROR(SUBSTITUTE(INDEX(TechType[[#All],[TechTypeID]],$A139),":","__"),"")</f>
        <v/>
      </c>
    </row>
    <row r="140" spans="1:2" hidden="1" x14ac:dyDescent="0.25">
      <c r="A140" s="1">
        <v>372</v>
      </c>
      <c r="B140" t="str" cm="1">
        <f t="array" ref="B140">IFERROR(SUBSTITUTE(INDEX(TechType[[#All],[TechTypeID]],$A140),":","__"),"")</f>
        <v/>
      </c>
    </row>
    <row r="141" spans="1:2" hidden="1" x14ac:dyDescent="0.25">
      <c r="A141" s="1">
        <v>373</v>
      </c>
      <c r="B141" t="str" cm="1">
        <f t="array" ref="B141">IFERROR(SUBSTITUTE(INDEX(TechType[[#All],[TechTypeID]],$A141),":","__"),"")</f>
        <v/>
      </c>
    </row>
    <row r="142" spans="1:2" hidden="1" x14ac:dyDescent="0.25">
      <c r="A142" s="1">
        <v>374</v>
      </c>
      <c r="B142" t="str" cm="1">
        <f t="array" ref="B142">IFERROR(SUBSTITUTE(INDEX(TechType[[#All],[TechTypeID]],$A142),":","__"),"")</f>
        <v/>
      </c>
    </row>
    <row r="143" spans="1:2" hidden="1" x14ac:dyDescent="0.25">
      <c r="A143" s="1">
        <v>375</v>
      </c>
      <c r="B143" t="str" cm="1">
        <f t="array" ref="B143">IFERROR(SUBSTITUTE(INDEX(TechType[[#All],[TechTypeID]],$A143),":","__"),"")</f>
        <v/>
      </c>
    </row>
    <row r="144" spans="1:2" hidden="1" x14ac:dyDescent="0.25">
      <c r="A144" s="1">
        <v>376</v>
      </c>
      <c r="B144" t="str" cm="1">
        <f t="array" ref="B144">IFERROR(SUBSTITUTE(INDEX(TechType[[#All],[TechTypeID]],$A144),":","__"),"")</f>
        <v/>
      </c>
    </row>
    <row r="145" spans="1:2" hidden="1" x14ac:dyDescent="0.25">
      <c r="A145" s="1">
        <v>377</v>
      </c>
      <c r="B145" t="str" cm="1">
        <f t="array" ref="B145">IFERROR(SUBSTITUTE(INDEX(TechType[[#All],[TechTypeID]],$A145),":","__"),"")</f>
        <v/>
      </c>
    </row>
    <row r="146" spans="1:2" hidden="1" x14ac:dyDescent="0.25">
      <c r="A146" s="1">
        <v>378</v>
      </c>
      <c r="B146" t="str" cm="1">
        <f t="array" ref="B146">IFERROR(SUBSTITUTE(INDEX(TechType[[#All],[TechTypeID]],$A146),":","__"),"")</f>
        <v/>
      </c>
    </row>
    <row r="147" spans="1:2" hidden="1" x14ac:dyDescent="0.25">
      <c r="A147" s="1">
        <v>379</v>
      </c>
      <c r="B147" t="str" cm="1">
        <f t="array" ref="B147">IFERROR(SUBSTITUTE(INDEX(TechType[[#All],[TechTypeID]],$A147),":","__"),"")</f>
        <v/>
      </c>
    </row>
    <row r="148" spans="1:2" hidden="1" x14ac:dyDescent="0.25">
      <c r="A148" s="1">
        <v>380</v>
      </c>
      <c r="B148" t="str" cm="1">
        <f t="array" ref="B148">IFERROR(SUBSTITUTE(INDEX(TechType[[#All],[TechTypeID]],$A148),":","__"),"")</f>
        <v/>
      </c>
    </row>
    <row r="149" spans="1:2" hidden="1" x14ac:dyDescent="0.25">
      <c r="A149" s="1">
        <v>381</v>
      </c>
      <c r="B149" t="str" cm="1">
        <f t="array" ref="B149">IFERROR(SUBSTITUTE(INDEX(TechType[[#All],[TechTypeID]],$A149),":","__"),"")</f>
        <v/>
      </c>
    </row>
    <row r="150" spans="1:2" hidden="1" x14ac:dyDescent="0.25">
      <c r="A150" s="1">
        <v>382</v>
      </c>
      <c r="B150" t="str" cm="1">
        <f t="array" ref="B150">IFERROR(SUBSTITUTE(INDEX(TechType[[#All],[TechTypeID]],$A150),":","__"),"")</f>
        <v/>
      </c>
    </row>
    <row r="151" spans="1:2" hidden="1" x14ac:dyDescent="0.25">
      <c r="A151" s="1">
        <v>383</v>
      </c>
      <c r="B151" t="str" cm="1">
        <f t="array" ref="B151">IFERROR(SUBSTITUTE(INDEX(TechType[[#All],[TechTypeID]],$A151),":","__"),"")</f>
        <v/>
      </c>
    </row>
    <row r="152" spans="1:2" hidden="1" x14ac:dyDescent="0.25">
      <c r="A152" s="1">
        <v>384</v>
      </c>
      <c r="B152" t="str" cm="1">
        <f t="array" ref="B152">IFERROR(SUBSTITUTE(INDEX(TechType[[#All],[TechTypeID]],$A152),":","__"),"")</f>
        <v/>
      </c>
    </row>
    <row r="153" spans="1:2" hidden="1" x14ac:dyDescent="0.25">
      <c r="A153" s="1">
        <v>385</v>
      </c>
      <c r="B153" t="str" cm="1">
        <f t="array" ref="B153">IFERROR(SUBSTITUTE(INDEX(TechType[[#All],[TechTypeID]],$A153),":","__"),"")</f>
        <v/>
      </c>
    </row>
    <row r="154" spans="1:2" hidden="1" x14ac:dyDescent="0.25">
      <c r="A154" s="1">
        <v>386</v>
      </c>
      <c r="B154" t="str" cm="1">
        <f t="array" ref="B154">IFERROR(SUBSTITUTE(INDEX(TechType[[#All],[TechTypeID]],$A154),":","__"),"")</f>
        <v/>
      </c>
    </row>
    <row r="155" spans="1:2" hidden="1" x14ac:dyDescent="0.25">
      <c r="A155" s="1">
        <v>387</v>
      </c>
      <c r="B155" t="str" cm="1">
        <f t="array" ref="B155">IFERROR(SUBSTITUTE(INDEX(TechType[[#All],[TechTypeID]],$A155),":","__"),"")</f>
        <v/>
      </c>
    </row>
    <row r="156" spans="1:2" hidden="1" x14ac:dyDescent="0.25">
      <c r="A156" s="1">
        <v>388</v>
      </c>
      <c r="B156" t="str" cm="1">
        <f t="array" ref="B156">IFERROR(SUBSTITUTE(INDEX(TechType[[#All],[TechTypeID]],$A156),":","__"),"")</f>
        <v/>
      </c>
    </row>
    <row r="157" spans="1:2" hidden="1" x14ac:dyDescent="0.25">
      <c r="A157" s="1">
        <v>389</v>
      </c>
      <c r="B157" t="str" cm="1">
        <f t="array" ref="B157">IFERROR(SUBSTITUTE(INDEX(TechType[[#All],[TechTypeID]],$A157),":","__"),"")</f>
        <v/>
      </c>
    </row>
    <row r="158" spans="1:2" hidden="1" x14ac:dyDescent="0.25">
      <c r="A158" s="1">
        <v>390</v>
      </c>
      <c r="B158" t="str" cm="1">
        <f t="array" ref="B158">IFERROR(SUBSTITUTE(INDEX(TechType[[#All],[TechTypeID]],$A158),":","__"),"")</f>
        <v/>
      </c>
    </row>
    <row r="159" spans="1:2" hidden="1" x14ac:dyDescent="0.25">
      <c r="A159" s="1">
        <v>391</v>
      </c>
      <c r="B159" t="str" cm="1">
        <f t="array" ref="B159">IFERROR(SUBSTITUTE(INDEX(TechType[[#All],[TechTypeID]],$A159),":","__"),"")</f>
        <v/>
      </c>
    </row>
    <row r="160" spans="1:2" hidden="1" x14ac:dyDescent="0.25">
      <c r="A160" s="1">
        <v>392</v>
      </c>
      <c r="B160" t="str" cm="1">
        <f t="array" ref="B160">IFERROR(SUBSTITUTE(INDEX(TechType[[#All],[TechTypeID]],$A160),":","__"),"")</f>
        <v/>
      </c>
    </row>
    <row r="161" spans="1:2" hidden="1" x14ac:dyDescent="0.25">
      <c r="A161" s="1">
        <v>393</v>
      </c>
      <c r="B161" t="str" cm="1">
        <f t="array" ref="B161">IFERROR(SUBSTITUTE(INDEX(TechType[[#All],[TechTypeID]],$A161),":","__"),"")</f>
        <v/>
      </c>
    </row>
    <row r="162" spans="1:2" hidden="1" x14ac:dyDescent="0.25">
      <c r="A162" s="1">
        <v>394</v>
      </c>
      <c r="B162" t="str" cm="1">
        <f t="array" ref="B162">IFERROR(SUBSTITUTE(INDEX(TechType[[#All],[TechTypeID]],$A162),":","__"),"")</f>
        <v/>
      </c>
    </row>
    <row r="163" spans="1:2" hidden="1" x14ac:dyDescent="0.25">
      <c r="A163" s="1">
        <v>395</v>
      </c>
      <c r="B163" t="str" cm="1">
        <f t="array" ref="B163">IFERROR(SUBSTITUTE(INDEX(TechType[[#All],[TechTypeID]],$A163),":","__"),"")</f>
        <v/>
      </c>
    </row>
    <row r="164" spans="1:2" hidden="1" x14ac:dyDescent="0.25">
      <c r="A164" s="1">
        <v>396</v>
      </c>
      <c r="B164" t="str" cm="1">
        <f t="array" ref="B164">IFERROR(SUBSTITUTE(INDEX(TechType[[#All],[TechTypeID]],$A164),":","__"),"")</f>
        <v/>
      </c>
    </row>
    <row r="165" spans="1:2" hidden="1" x14ac:dyDescent="0.25">
      <c r="A165" s="1">
        <v>397</v>
      </c>
      <c r="B165" t="str" cm="1">
        <f t="array" ref="B165">IFERROR(SUBSTITUTE(INDEX(TechType[[#All],[TechTypeID]],$A165),":","__"),"")</f>
        <v/>
      </c>
    </row>
    <row r="166" spans="1:2" hidden="1" x14ac:dyDescent="0.25">
      <c r="A166" s="1">
        <v>398</v>
      </c>
      <c r="B166" t="str" cm="1">
        <f t="array" ref="B166">IFERROR(SUBSTITUTE(INDEX(TechType[[#All],[TechTypeID]],$A166),":","__"),"")</f>
        <v/>
      </c>
    </row>
    <row r="167" spans="1:2" hidden="1" x14ac:dyDescent="0.25">
      <c r="A167" s="1">
        <v>399</v>
      </c>
      <c r="B167" t="str" cm="1">
        <f t="array" ref="B167">IFERROR(SUBSTITUTE(INDEX(TechType[[#All],[TechTypeID]],$A167),":","__"),"")</f>
        <v/>
      </c>
    </row>
    <row r="168" spans="1:2" hidden="1" x14ac:dyDescent="0.25">
      <c r="A168" s="1">
        <v>400</v>
      </c>
      <c r="B168" t="str" cm="1">
        <f t="array" ref="B168">IFERROR(SUBSTITUTE(INDEX(TechType[[#All],[TechTypeID]],$A168),":","__"),"")</f>
        <v/>
      </c>
    </row>
    <row r="169" spans="1:2" hidden="1" x14ac:dyDescent="0.25">
      <c r="A169" s="1">
        <v>401</v>
      </c>
      <c r="B169" t="str" cm="1">
        <f t="array" ref="B169">IFERROR(SUBSTITUTE(INDEX(TechType[[#All],[TechTypeID]],$A169),":","__"),"")</f>
        <v/>
      </c>
    </row>
    <row r="170" spans="1:2" hidden="1" x14ac:dyDescent="0.25">
      <c r="A170" s="1">
        <v>402</v>
      </c>
      <c r="B170" t="str" cm="1">
        <f t="array" ref="B170">IFERROR(SUBSTITUTE(INDEX(TechType[[#All],[TechTypeID]],$A170),":","__"),"")</f>
        <v/>
      </c>
    </row>
    <row r="171" spans="1:2" hidden="1" x14ac:dyDescent="0.25">
      <c r="A171" s="1">
        <v>403</v>
      </c>
      <c r="B171" t="str" cm="1">
        <f t="array" ref="B171">IFERROR(SUBSTITUTE(INDEX(TechType[[#All],[TechTypeID]],$A171),":","__"),"")</f>
        <v/>
      </c>
    </row>
    <row r="172" spans="1:2" hidden="1" x14ac:dyDescent="0.25">
      <c r="A172" s="1">
        <v>404</v>
      </c>
      <c r="B172" t="str" cm="1">
        <f t="array" ref="B172">IFERROR(SUBSTITUTE(INDEX(TechType[[#All],[TechTypeID]],$A172),":","__"),"")</f>
        <v/>
      </c>
    </row>
    <row r="173" spans="1:2" hidden="1" x14ac:dyDescent="0.25">
      <c r="A173" s="1">
        <v>405</v>
      </c>
      <c r="B173" t="str" cm="1">
        <f t="array" ref="B173">IFERROR(SUBSTITUTE(INDEX(TechType[[#All],[TechTypeID]],$A173),":","__"),"")</f>
        <v/>
      </c>
    </row>
    <row r="174" spans="1:2" hidden="1" x14ac:dyDescent="0.25">
      <c r="A174" s="1">
        <v>406</v>
      </c>
      <c r="B174" t="str" cm="1">
        <f t="array" ref="B174">IFERROR(SUBSTITUTE(INDEX(TechType[[#All],[TechTypeID]],$A174),":","__"),"")</f>
        <v/>
      </c>
    </row>
    <row r="175" spans="1:2" hidden="1" x14ac:dyDescent="0.25">
      <c r="A175" s="1">
        <v>407</v>
      </c>
      <c r="B175" t="str" cm="1">
        <f t="array" ref="B175">IFERROR(SUBSTITUTE(INDEX(TechType[[#All],[TechTypeID]],$A175),":","__"),"")</f>
        <v/>
      </c>
    </row>
    <row r="176" spans="1:2" hidden="1" x14ac:dyDescent="0.25">
      <c r="A176" s="1">
        <v>408</v>
      </c>
      <c r="B176" t="str" cm="1">
        <f t="array" ref="B176">IFERROR(SUBSTITUTE(INDEX(TechType[[#All],[TechTypeID]],$A176),":","__"),"")</f>
        <v/>
      </c>
    </row>
    <row r="177" spans="1:2" hidden="1" x14ac:dyDescent="0.25">
      <c r="A177" s="1">
        <v>409</v>
      </c>
      <c r="B177" t="str" cm="1">
        <f t="array" ref="B177">IFERROR(SUBSTITUTE(INDEX(TechType[[#All],[TechTypeID]],$A177),":","__"),"")</f>
        <v/>
      </c>
    </row>
    <row r="178" spans="1:2" hidden="1" x14ac:dyDescent="0.25">
      <c r="A178" s="1">
        <v>410</v>
      </c>
      <c r="B178" t="str" cm="1">
        <f t="array" ref="B178">IFERROR(SUBSTITUTE(INDEX(TechType[[#All],[TechTypeID]],$A178),":","__"),"")</f>
        <v/>
      </c>
    </row>
    <row r="179" spans="1:2" hidden="1" x14ac:dyDescent="0.25">
      <c r="A179" s="1">
        <v>411</v>
      </c>
      <c r="B179" t="str" cm="1">
        <f t="array" ref="B179">IFERROR(SUBSTITUTE(INDEX(TechType[[#All],[TechTypeID]],$A179),":","__"),"")</f>
        <v/>
      </c>
    </row>
    <row r="180" spans="1:2" hidden="1" x14ac:dyDescent="0.25">
      <c r="A180" s="1">
        <v>412</v>
      </c>
      <c r="B180" t="str" cm="1">
        <f t="array" ref="B180">IFERROR(SUBSTITUTE(INDEX(TechType[[#All],[TechTypeID]],$A180),":","__"),"")</f>
        <v/>
      </c>
    </row>
    <row r="181" spans="1:2" hidden="1" x14ac:dyDescent="0.25">
      <c r="A181" s="1">
        <v>413</v>
      </c>
      <c r="B181" t="str" cm="1">
        <f t="array" ref="B181">IFERROR(SUBSTITUTE(INDEX(TechType[[#All],[TechTypeID]],$A181),":","__"),"")</f>
        <v/>
      </c>
    </row>
    <row r="182" spans="1:2" hidden="1" x14ac:dyDescent="0.25">
      <c r="A182" s="1">
        <v>414</v>
      </c>
      <c r="B182" t="str" cm="1">
        <f t="array" ref="B182">IFERROR(SUBSTITUTE(INDEX(TechType[[#All],[TechTypeID]],$A182),":","__"),"")</f>
        <v/>
      </c>
    </row>
    <row r="183" spans="1:2" hidden="1" x14ac:dyDescent="0.25">
      <c r="A183" s="1">
        <v>415</v>
      </c>
      <c r="B183" t="str" cm="1">
        <f t="array" ref="B183">IFERROR(SUBSTITUTE(INDEX(TechType[[#All],[TechTypeID]],$A183),":","__"),"")</f>
        <v/>
      </c>
    </row>
    <row r="184" spans="1:2" hidden="1" x14ac:dyDescent="0.25">
      <c r="A184" s="1">
        <v>416</v>
      </c>
      <c r="B184" t="str" cm="1">
        <f t="array" ref="B184">IFERROR(SUBSTITUTE(INDEX(TechType[[#All],[TechTypeID]],$A184),":","__"),"")</f>
        <v/>
      </c>
    </row>
    <row r="185" spans="1:2" hidden="1" x14ac:dyDescent="0.25">
      <c r="A185" s="1">
        <v>417</v>
      </c>
      <c r="B185" t="str" cm="1">
        <f t="array" ref="B185">IFERROR(SUBSTITUTE(INDEX(TechType[[#All],[TechTypeID]],$A185),":","__"),"")</f>
        <v/>
      </c>
    </row>
    <row r="186" spans="1:2" hidden="1" x14ac:dyDescent="0.25">
      <c r="A186" s="1">
        <v>418</v>
      </c>
      <c r="B186" t="str" cm="1">
        <f t="array" ref="B186">IFERROR(SUBSTITUTE(INDEX(TechType[[#All],[TechTypeID]],$A186),":","__"),"")</f>
        <v/>
      </c>
    </row>
    <row r="187" spans="1:2" hidden="1" x14ac:dyDescent="0.25">
      <c r="A187" s="1">
        <v>419</v>
      </c>
      <c r="B187" t="str" cm="1">
        <f t="array" ref="B187">IFERROR(SUBSTITUTE(INDEX(TechType[[#All],[TechTypeID]],$A187),":","__"),"")</f>
        <v/>
      </c>
    </row>
    <row r="188" spans="1:2" hidden="1" x14ac:dyDescent="0.25">
      <c r="A188" s="1">
        <v>420</v>
      </c>
      <c r="B188" t="str" cm="1">
        <f t="array" ref="B188">IFERROR(SUBSTITUTE(INDEX(TechType[[#All],[TechTypeID]],$A188),":","__"),"")</f>
        <v/>
      </c>
    </row>
    <row r="189" spans="1:2" hidden="1" x14ac:dyDescent="0.25">
      <c r="A189" s="1">
        <v>421</v>
      </c>
      <c r="B189" t="str" cm="1">
        <f t="array" ref="B189">IFERROR(SUBSTITUTE(INDEX(TechType[[#All],[TechTypeID]],$A189),":","__"),"")</f>
        <v/>
      </c>
    </row>
    <row r="190" spans="1:2" hidden="1" x14ac:dyDescent="0.25">
      <c r="A190" s="1">
        <v>422</v>
      </c>
      <c r="B190" t="str" cm="1">
        <f t="array" ref="B190">IFERROR(SUBSTITUTE(INDEX(TechType[[#All],[TechTypeID]],$A190),":","__"),"")</f>
        <v/>
      </c>
    </row>
    <row r="191" spans="1:2" hidden="1" x14ac:dyDescent="0.25">
      <c r="A191" s="1">
        <v>423</v>
      </c>
      <c r="B191" t="str" cm="1">
        <f t="array" ref="B191">IFERROR(SUBSTITUTE(INDEX(TechType[[#All],[TechTypeID]],$A191),":","__"),"")</f>
        <v/>
      </c>
    </row>
    <row r="192" spans="1:2" hidden="1" x14ac:dyDescent="0.25">
      <c r="A192" s="1">
        <v>424</v>
      </c>
      <c r="B192" t="str" cm="1">
        <f t="array" ref="B192">IFERROR(SUBSTITUTE(INDEX(TechType[[#All],[TechTypeID]],$A192),":","__"),"")</f>
        <v/>
      </c>
    </row>
    <row r="193" spans="1:2" hidden="1" x14ac:dyDescent="0.25">
      <c r="A193" s="1">
        <v>425</v>
      </c>
      <c r="B193" t="str" cm="1">
        <f t="array" ref="B193">IFERROR(SUBSTITUTE(INDEX(TechType[[#All],[TechTypeID]],$A193),":","__"),"")</f>
        <v/>
      </c>
    </row>
    <row r="194" spans="1:2" hidden="1" x14ac:dyDescent="0.25">
      <c r="A194" s="1">
        <v>426</v>
      </c>
      <c r="B194" t="str" cm="1">
        <f t="array" ref="B194">IFERROR(SUBSTITUTE(INDEX(TechType[[#All],[TechTypeID]],$A194),":","__"),"")</f>
        <v/>
      </c>
    </row>
    <row r="195" spans="1:2" hidden="1" x14ac:dyDescent="0.25">
      <c r="A195" s="1">
        <v>427</v>
      </c>
      <c r="B195" t="str" cm="1">
        <f t="array" ref="B195">IFERROR(SUBSTITUTE(INDEX(TechType[[#All],[TechTypeID]],$A195),":","__"),"")</f>
        <v/>
      </c>
    </row>
    <row r="196" spans="1:2" hidden="1" x14ac:dyDescent="0.25">
      <c r="A196" s="1">
        <v>428</v>
      </c>
      <c r="B196" t="str" cm="1">
        <f t="array" ref="B196">IFERROR(SUBSTITUTE(INDEX(TechType[[#All],[TechTypeID]],$A196),":","__"),"")</f>
        <v/>
      </c>
    </row>
    <row r="197" spans="1:2" hidden="1" x14ac:dyDescent="0.25">
      <c r="A197" s="1">
        <v>429</v>
      </c>
      <c r="B197" t="str" cm="1">
        <f t="array" ref="B197">IFERROR(SUBSTITUTE(INDEX(TechType[[#All],[TechTypeID]],$A197),":","__"),"")</f>
        <v/>
      </c>
    </row>
    <row r="198" spans="1:2" hidden="1" x14ac:dyDescent="0.25">
      <c r="A198" s="1">
        <v>430</v>
      </c>
      <c r="B198" t="str" cm="1">
        <f t="array" ref="B198">IFERROR(SUBSTITUTE(INDEX(TechType[[#All],[TechTypeID]],$A198),":","__"),"")</f>
        <v/>
      </c>
    </row>
    <row r="199" spans="1:2" hidden="1" x14ac:dyDescent="0.25">
      <c r="A199" s="1">
        <v>431</v>
      </c>
      <c r="B199" t="str" cm="1">
        <f t="array" ref="B199">IFERROR(SUBSTITUTE(INDEX(TechType[[#All],[TechTypeID]],$A199),":","__"),"")</f>
        <v/>
      </c>
    </row>
    <row r="200" spans="1:2" hidden="1" x14ac:dyDescent="0.25">
      <c r="A200" s="1">
        <v>432</v>
      </c>
      <c r="B200" t="str" cm="1">
        <f t="array" ref="B200">IFERROR(SUBSTITUTE(INDEX(TechType[[#All],[TechTypeID]],$A200),":","__"),"")</f>
        <v/>
      </c>
    </row>
    <row r="201" spans="1:2" hidden="1" x14ac:dyDescent="0.25">
      <c r="A201" s="1">
        <v>433</v>
      </c>
      <c r="B201" t="str" cm="1">
        <f t="array" ref="B201">IFERROR(SUBSTITUTE(INDEX(TechType[[#All],[TechTypeID]],$A201),":","__"),"")</f>
        <v/>
      </c>
    </row>
    <row r="202" spans="1:2" hidden="1" x14ac:dyDescent="0.25">
      <c r="A202" s="1">
        <v>434</v>
      </c>
      <c r="B202" t="str" cm="1">
        <f t="array" ref="B202">IFERROR(SUBSTITUTE(INDEX(TechType[[#All],[TechTypeID]],$A202),":","__"),"")</f>
        <v/>
      </c>
    </row>
    <row r="203" spans="1:2" hidden="1" x14ac:dyDescent="0.25">
      <c r="A203" s="1">
        <v>435</v>
      </c>
      <c r="B203" t="str" cm="1">
        <f t="array" ref="B203">IFERROR(SUBSTITUTE(INDEX(TechType[[#All],[TechTypeID]],$A203),":","__"),"")</f>
        <v/>
      </c>
    </row>
    <row r="204" spans="1:2" hidden="1" x14ac:dyDescent="0.25">
      <c r="A204" s="1">
        <v>436</v>
      </c>
      <c r="B204" t="str" cm="1">
        <f t="array" ref="B204">IFERROR(SUBSTITUTE(INDEX(TechType[[#All],[TechTypeID]],$A204),":","__"),"")</f>
        <v/>
      </c>
    </row>
    <row r="205" spans="1:2" hidden="1" x14ac:dyDescent="0.25">
      <c r="A205" s="1">
        <v>437</v>
      </c>
      <c r="B205" t="str" cm="1">
        <f t="array" ref="B205">IFERROR(SUBSTITUTE(INDEX(TechType[[#All],[TechTypeID]],$A205),":","__"),"")</f>
        <v/>
      </c>
    </row>
    <row r="206" spans="1:2" hidden="1" x14ac:dyDescent="0.25">
      <c r="A206" s="1">
        <v>438</v>
      </c>
      <c r="B206" t="str" cm="1">
        <f t="array" ref="B206">IFERROR(SUBSTITUTE(INDEX(TechType[[#All],[TechTypeID]],$A206),":","__"),"")</f>
        <v/>
      </c>
    </row>
    <row r="207" spans="1:2" hidden="1" x14ac:dyDescent="0.25">
      <c r="A207" s="1">
        <v>439</v>
      </c>
      <c r="B207" t="str" cm="1">
        <f t="array" ref="B207">IFERROR(SUBSTITUTE(INDEX(TechType[[#All],[TechTypeID]],$A207),":","__"),"")</f>
        <v/>
      </c>
    </row>
    <row r="208" spans="1:2" hidden="1" x14ac:dyDescent="0.25">
      <c r="A208" s="1">
        <v>440</v>
      </c>
      <c r="B208" t="str" cm="1">
        <f t="array" ref="B208">IFERROR(SUBSTITUTE(INDEX(TechType[[#All],[TechTypeID]],$A208),":","__"),"")</f>
        <v/>
      </c>
    </row>
    <row r="209" spans="1:2" hidden="1" x14ac:dyDescent="0.25">
      <c r="A209" s="1">
        <v>441</v>
      </c>
      <c r="B209" t="str" cm="1">
        <f t="array" ref="B209">IFERROR(SUBSTITUTE(INDEX(TechType[[#All],[TechTypeID]],$A209),":","__"),"")</f>
        <v/>
      </c>
    </row>
    <row r="210" spans="1:2" hidden="1" x14ac:dyDescent="0.25">
      <c r="A210" s="1">
        <v>442</v>
      </c>
      <c r="B210" t="str" cm="1">
        <f t="array" ref="B210">IFERROR(SUBSTITUTE(INDEX(TechType[[#All],[TechTypeID]],$A210),":","__"),"")</f>
        <v/>
      </c>
    </row>
    <row r="211" spans="1:2" hidden="1" x14ac:dyDescent="0.25">
      <c r="A211" s="1">
        <v>443</v>
      </c>
      <c r="B211" t="str" cm="1">
        <f t="array" ref="B211">IFERROR(SUBSTITUTE(INDEX(TechType[[#All],[TechTypeID]],$A211),":","__"),"")</f>
        <v/>
      </c>
    </row>
    <row r="212" spans="1:2" hidden="1" x14ac:dyDescent="0.25">
      <c r="A212" s="1">
        <v>444</v>
      </c>
      <c r="B212" t="str" cm="1">
        <f t="array" ref="B212">IFERROR(SUBSTITUTE(INDEX(TechType[[#All],[TechTypeID]],$A212),":","__"),"")</f>
        <v/>
      </c>
    </row>
    <row r="213" spans="1:2" hidden="1" x14ac:dyDescent="0.25">
      <c r="A213" s="1">
        <v>445</v>
      </c>
      <c r="B213" t="str" cm="1">
        <f t="array" ref="B213">IFERROR(SUBSTITUTE(INDEX(TechType[[#All],[TechTypeID]],$A213),":","__"),"")</f>
        <v/>
      </c>
    </row>
    <row r="214" spans="1:2" hidden="1" x14ac:dyDescent="0.25">
      <c r="A214" s="1">
        <v>446</v>
      </c>
      <c r="B214" t="str" cm="1">
        <f t="array" ref="B214">IFERROR(SUBSTITUTE(INDEX(TechType[[#All],[TechTypeID]],$A214),":","__"),"")</f>
        <v/>
      </c>
    </row>
    <row r="215" spans="1:2" hidden="1" x14ac:dyDescent="0.25">
      <c r="A215" s="1">
        <v>447</v>
      </c>
      <c r="B215" t="str" cm="1">
        <f t="array" ref="B215">IFERROR(SUBSTITUTE(INDEX(TechType[[#All],[TechTypeID]],$A215),":","__"),"")</f>
        <v/>
      </c>
    </row>
    <row r="216" spans="1:2" hidden="1" x14ac:dyDescent="0.25">
      <c r="A216" s="1">
        <v>448</v>
      </c>
      <c r="B216" t="str" cm="1">
        <f t="array" ref="B216">IFERROR(SUBSTITUTE(INDEX(TechType[[#All],[TechTypeID]],$A216),":","__"),"")</f>
        <v/>
      </c>
    </row>
    <row r="217" spans="1:2" hidden="1" x14ac:dyDescent="0.25">
      <c r="A217" s="1">
        <v>449</v>
      </c>
      <c r="B217" t="str" cm="1">
        <f t="array" ref="B217">IFERROR(SUBSTITUTE(INDEX(TechType[[#All],[TechTypeID]],$A217),":","__"),"")</f>
        <v/>
      </c>
    </row>
    <row r="218" spans="1:2" hidden="1" x14ac:dyDescent="0.25">
      <c r="A218" s="1">
        <v>450</v>
      </c>
      <c r="B218" t="str" cm="1">
        <f t="array" ref="B218">IFERROR(SUBSTITUTE(INDEX(TechType[[#All],[TechTypeID]],$A218),":","__"),"")</f>
        <v/>
      </c>
    </row>
    <row r="219" spans="1:2" hidden="1" x14ac:dyDescent="0.25">
      <c r="A219" s="1">
        <v>451</v>
      </c>
      <c r="B219" t="str" cm="1">
        <f t="array" ref="B219">IFERROR(SUBSTITUTE(INDEX(TechType[[#All],[TechTypeID]],$A219),":","__"),"")</f>
        <v/>
      </c>
    </row>
    <row r="220" spans="1:2" hidden="1" x14ac:dyDescent="0.25">
      <c r="A220" s="1">
        <v>452</v>
      </c>
      <c r="B220" t="str" cm="1">
        <f t="array" ref="B220">IFERROR(SUBSTITUTE(INDEX(TechType[[#All],[TechTypeID]],$A220),":","__"),"")</f>
        <v/>
      </c>
    </row>
    <row r="221" spans="1:2" hidden="1" x14ac:dyDescent="0.25">
      <c r="A221" s="1">
        <v>453</v>
      </c>
      <c r="B221" t="str" cm="1">
        <f t="array" ref="B221">IFERROR(SUBSTITUTE(INDEX(TechType[[#All],[TechTypeID]],$A221),":","__"),"")</f>
        <v/>
      </c>
    </row>
    <row r="222" spans="1:2" hidden="1" x14ac:dyDescent="0.25">
      <c r="A222" s="1">
        <v>454</v>
      </c>
      <c r="B222" t="str" cm="1">
        <f t="array" ref="B222">IFERROR(SUBSTITUTE(INDEX(TechType[[#All],[TechTypeID]],$A222),":","__"),"")</f>
        <v/>
      </c>
    </row>
    <row r="223" spans="1:2" hidden="1" x14ac:dyDescent="0.25">
      <c r="A223" s="1">
        <v>455</v>
      </c>
      <c r="B223" t="str" cm="1">
        <f t="array" ref="B223">IFERROR(SUBSTITUTE(INDEX(TechType[[#All],[TechTypeID]],$A223),":","__"),"")</f>
        <v/>
      </c>
    </row>
    <row r="224" spans="1:2" hidden="1" x14ac:dyDescent="0.25">
      <c r="A224" s="1">
        <v>456</v>
      </c>
      <c r="B224" t="str" cm="1">
        <f t="array" ref="B224">IFERROR(SUBSTITUTE(INDEX(TechType[[#All],[TechTypeID]],$A224),":","__"),"")</f>
        <v/>
      </c>
    </row>
    <row r="225" spans="1:2" hidden="1" x14ac:dyDescent="0.25">
      <c r="A225" s="1">
        <v>457</v>
      </c>
      <c r="B225" t="str" cm="1">
        <f t="array" ref="B225">IFERROR(SUBSTITUTE(INDEX(TechType[[#All],[TechTypeID]],$A225),":","__"),"")</f>
        <v/>
      </c>
    </row>
    <row r="226" spans="1:2" hidden="1" x14ac:dyDescent="0.25">
      <c r="A226" s="1">
        <v>458</v>
      </c>
      <c r="B226" t="str" cm="1">
        <f t="array" ref="B226">IFERROR(SUBSTITUTE(INDEX(TechType[[#All],[TechTypeID]],$A226),":","__"),"")</f>
        <v/>
      </c>
    </row>
    <row r="227" spans="1:2" hidden="1" x14ac:dyDescent="0.25">
      <c r="A227" s="1">
        <v>459</v>
      </c>
      <c r="B227" t="str" cm="1">
        <f t="array" ref="B227">IFERROR(SUBSTITUTE(INDEX(TechType[[#All],[TechTypeID]],$A227),":","__"),"")</f>
        <v/>
      </c>
    </row>
    <row r="228" spans="1:2" hidden="1" x14ac:dyDescent="0.25">
      <c r="A228" s="1">
        <v>460</v>
      </c>
      <c r="B228" t="str" cm="1">
        <f t="array" ref="B228">IFERROR(SUBSTITUTE(INDEX(TechType[[#All],[TechTypeID]],$A228),":","__"),"")</f>
        <v/>
      </c>
    </row>
    <row r="229" spans="1:2" hidden="1" x14ac:dyDescent="0.25">
      <c r="A229" s="1">
        <v>461</v>
      </c>
      <c r="B229" t="str" cm="1">
        <f t="array" ref="B229">IFERROR(SUBSTITUTE(INDEX(TechType[[#All],[TechTypeID]],$A229),":","__"),"")</f>
        <v/>
      </c>
    </row>
    <row r="230" spans="1:2" hidden="1" x14ac:dyDescent="0.25">
      <c r="A230" s="1">
        <v>462</v>
      </c>
      <c r="B230" t="str" cm="1">
        <f t="array" ref="B230">IFERROR(SUBSTITUTE(INDEX(TechType[[#All],[TechTypeID]],$A230),":","__"),"")</f>
        <v/>
      </c>
    </row>
    <row r="231" spans="1:2" hidden="1" x14ac:dyDescent="0.25">
      <c r="A231" s="1">
        <v>463</v>
      </c>
      <c r="B231" t="str" cm="1">
        <f t="array" ref="B231">IFERROR(SUBSTITUTE(INDEX(TechType[[#All],[TechTypeID]],$A231),":","__"),"")</f>
        <v/>
      </c>
    </row>
    <row r="232" spans="1:2" hidden="1" x14ac:dyDescent="0.25">
      <c r="A232" s="1">
        <v>464</v>
      </c>
      <c r="B232" t="str" cm="1">
        <f t="array" ref="B232">IFERROR(SUBSTITUTE(INDEX(TechType[[#All],[TechTypeID]],$A232),":","__"),"")</f>
        <v/>
      </c>
    </row>
    <row r="233" spans="1:2" hidden="1" x14ac:dyDescent="0.25">
      <c r="A233" s="1">
        <v>465</v>
      </c>
      <c r="B233" t="str" cm="1">
        <f t="array" ref="B233">IFERROR(SUBSTITUTE(INDEX(TechType[[#All],[TechTypeID]],$A233),":","__"),"")</f>
        <v/>
      </c>
    </row>
    <row r="234" spans="1:2" hidden="1" x14ac:dyDescent="0.25">
      <c r="A234" s="1">
        <v>466</v>
      </c>
      <c r="B234" t="str" cm="1">
        <f t="array" ref="B234">IFERROR(SUBSTITUTE(INDEX(TechType[[#All],[TechTypeID]],$A234),":","__"),"")</f>
        <v/>
      </c>
    </row>
    <row r="235" spans="1:2" hidden="1" x14ac:dyDescent="0.25">
      <c r="A235" s="1">
        <v>467</v>
      </c>
      <c r="B235" t="str" cm="1">
        <f t="array" ref="B235">IFERROR(SUBSTITUTE(INDEX(TechType[[#All],[TechTypeID]],$A235),":","__"),"")</f>
        <v/>
      </c>
    </row>
    <row r="236" spans="1:2" hidden="1" x14ac:dyDescent="0.25">
      <c r="A236" s="1">
        <v>468</v>
      </c>
      <c r="B236" t="str" cm="1">
        <f t="array" ref="B236">IFERROR(SUBSTITUTE(INDEX(TechType[[#All],[TechTypeID]],$A236),":","__"),"")</f>
        <v/>
      </c>
    </row>
    <row r="237" spans="1:2" hidden="1" x14ac:dyDescent="0.25">
      <c r="A237" s="1">
        <v>469</v>
      </c>
      <c r="B237" t="str" cm="1">
        <f t="array" ref="B237">IFERROR(SUBSTITUTE(INDEX(TechType[[#All],[TechTypeID]],$A237),":","__"),"")</f>
        <v/>
      </c>
    </row>
    <row r="238" spans="1:2" hidden="1" x14ac:dyDescent="0.25">
      <c r="A238" s="1">
        <v>470</v>
      </c>
      <c r="B238" t="str" cm="1">
        <f t="array" ref="B238">IFERROR(SUBSTITUTE(INDEX(TechType[[#All],[TechTypeID]],$A238),":","__"),"")</f>
        <v/>
      </c>
    </row>
    <row r="239" spans="1:2" hidden="1" x14ac:dyDescent="0.25">
      <c r="A239" s="1">
        <v>471</v>
      </c>
      <c r="B239" t="str" cm="1">
        <f t="array" ref="B239">IFERROR(SUBSTITUTE(INDEX(TechType[[#All],[TechTypeID]],$A239),":","__"),"")</f>
        <v/>
      </c>
    </row>
    <row r="240" spans="1:2" hidden="1" x14ac:dyDescent="0.25">
      <c r="A240" s="1">
        <v>472</v>
      </c>
      <c r="B240" t="str" cm="1">
        <f t="array" ref="B240">IFERROR(SUBSTITUTE(INDEX(TechType[[#All],[TechTypeID]],$A240),":","__"),"")</f>
        <v/>
      </c>
    </row>
    <row r="241" spans="1:2" hidden="1" x14ac:dyDescent="0.25">
      <c r="A241" s="1">
        <v>473</v>
      </c>
      <c r="B241" t="str" cm="1">
        <f t="array" ref="B241">IFERROR(SUBSTITUTE(INDEX(TechType[[#All],[TechTypeID]],$A241),":","__"),"")</f>
        <v/>
      </c>
    </row>
    <row r="242" spans="1:2" hidden="1" x14ac:dyDescent="0.25">
      <c r="A242" s="1">
        <v>474</v>
      </c>
      <c r="B242" t="str" cm="1">
        <f t="array" ref="B242">IFERROR(SUBSTITUTE(INDEX(TechType[[#All],[TechTypeID]],$A242),":","__"),"")</f>
        <v/>
      </c>
    </row>
    <row r="243" spans="1:2" hidden="1" x14ac:dyDescent="0.25">
      <c r="A243" s="1">
        <v>475</v>
      </c>
      <c r="B243" t="str" cm="1">
        <f t="array" ref="B243">IFERROR(SUBSTITUTE(INDEX(TechType[[#All],[TechTypeID]],$A243),":","__"),"")</f>
        <v/>
      </c>
    </row>
    <row r="244" spans="1:2" hidden="1" x14ac:dyDescent="0.25">
      <c r="A244" s="1">
        <v>476</v>
      </c>
      <c r="B244" t="str" cm="1">
        <f t="array" ref="B244">IFERROR(SUBSTITUTE(INDEX(TechType[[#All],[TechTypeID]],$A244),":","__"),"")</f>
        <v/>
      </c>
    </row>
    <row r="245" spans="1:2" hidden="1" x14ac:dyDescent="0.25">
      <c r="A245" s="1">
        <v>477</v>
      </c>
      <c r="B245" t="str" cm="1">
        <f t="array" ref="B245">IFERROR(SUBSTITUTE(INDEX(TechType[[#All],[TechTypeID]],$A245),":","__"),"")</f>
        <v/>
      </c>
    </row>
    <row r="246" spans="1:2" hidden="1" x14ac:dyDescent="0.25">
      <c r="A246" s="1">
        <v>478</v>
      </c>
      <c r="B246" t="str" cm="1">
        <f t="array" ref="B246">IFERROR(SUBSTITUTE(INDEX(TechType[[#All],[TechTypeID]],$A246),":","__"),"")</f>
        <v/>
      </c>
    </row>
    <row r="247" spans="1:2" hidden="1" x14ac:dyDescent="0.25">
      <c r="A247" s="1">
        <v>479</v>
      </c>
      <c r="B247" t="str" cm="1">
        <f t="array" ref="B247">IFERROR(SUBSTITUTE(INDEX(TechType[[#All],[TechTypeID]],$A247),":","__"),"")</f>
        <v/>
      </c>
    </row>
    <row r="248" spans="1:2" hidden="1" x14ac:dyDescent="0.25">
      <c r="A248" s="1">
        <v>480</v>
      </c>
      <c r="B248" t="str" cm="1">
        <f t="array" ref="B248">IFERROR(SUBSTITUTE(INDEX(TechType[[#All],[TechTypeID]],$A248),":","__"),"")</f>
        <v/>
      </c>
    </row>
    <row r="249" spans="1:2" hidden="1" x14ac:dyDescent="0.25">
      <c r="A249" s="1">
        <v>481</v>
      </c>
      <c r="B249" t="str" cm="1">
        <f t="array" ref="B249">IFERROR(SUBSTITUTE(INDEX(TechType[[#All],[TechTypeID]],$A249),":","__"),"")</f>
        <v/>
      </c>
    </row>
    <row r="250" spans="1:2" hidden="1" x14ac:dyDescent="0.25">
      <c r="A250" s="1">
        <v>482</v>
      </c>
      <c r="B250" t="str" cm="1">
        <f t="array" ref="B250">IFERROR(SUBSTITUTE(INDEX(TechType[[#All],[TechTypeID]],$A250),":","__"),"")</f>
        <v/>
      </c>
    </row>
    <row r="251" spans="1:2" hidden="1" x14ac:dyDescent="0.25">
      <c r="A251" s="1">
        <v>483</v>
      </c>
      <c r="B251" t="str" cm="1">
        <f t="array" ref="B251">IFERROR(SUBSTITUTE(INDEX(TechType[[#All],[TechTypeID]],$A251),":","__"),"")</f>
        <v/>
      </c>
    </row>
    <row r="252" spans="1:2" hidden="1" x14ac:dyDescent="0.25">
      <c r="A252" s="1">
        <v>484</v>
      </c>
      <c r="B252" t="str" cm="1">
        <f t="array" ref="B252">IFERROR(SUBSTITUTE(INDEX(TechType[[#All],[TechTypeID]],$A252),":","__"),"")</f>
        <v/>
      </c>
    </row>
    <row r="253" spans="1:2" hidden="1" x14ac:dyDescent="0.25">
      <c r="A253" s="1">
        <v>485</v>
      </c>
      <c r="B253" t="str" cm="1">
        <f t="array" ref="B253">IFERROR(SUBSTITUTE(INDEX(TechType[[#All],[TechTypeID]],$A253),":","__"),"")</f>
        <v/>
      </c>
    </row>
    <row r="254" spans="1:2" hidden="1" x14ac:dyDescent="0.25">
      <c r="A254" s="1">
        <v>486</v>
      </c>
      <c r="B254" t="str" cm="1">
        <f t="array" ref="B254">IFERROR(SUBSTITUTE(INDEX(TechType[[#All],[TechTypeID]],$A254),":","__"),"")</f>
        <v/>
      </c>
    </row>
    <row r="255" spans="1:2" hidden="1" x14ac:dyDescent="0.25">
      <c r="A255" s="1">
        <v>487</v>
      </c>
      <c r="B255" t="str" cm="1">
        <f t="array" ref="B255">IFERROR(SUBSTITUTE(INDEX(TechType[[#All],[TechTypeID]],$A255),":","__"),"")</f>
        <v/>
      </c>
    </row>
    <row r="256" spans="1:2" hidden="1" x14ac:dyDescent="0.25">
      <c r="A256" s="1">
        <v>488</v>
      </c>
      <c r="B256" t="str" cm="1">
        <f t="array" ref="B256">IFERROR(SUBSTITUTE(INDEX(TechType[[#All],[TechTypeID]],$A256),":","__"),"")</f>
        <v/>
      </c>
    </row>
    <row r="257" spans="1:2" hidden="1" x14ac:dyDescent="0.25">
      <c r="A257" s="1">
        <v>489</v>
      </c>
      <c r="B257" t="str" cm="1">
        <f t="array" ref="B257">IFERROR(SUBSTITUTE(INDEX(TechType[[#All],[TechTypeID]],$A257),":","__"),"")</f>
        <v/>
      </c>
    </row>
    <row r="258" spans="1:2" hidden="1" x14ac:dyDescent="0.25">
      <c r="A258" s="1">
        <v>490</v>
      </c>
      <c r="B258" t="str" cm="1">
        <f t="array" ref="B258">IFERROR(SUBSTITUTE(INDEX(TechType[[#All],[TechTypeID]],$A258),":","__"),"")</f>
        <v/>
      </c>
    </row>
    <row r="259" spans="1:2" hidden="1" x14ac:dyDescent="0.25">
      <c r="A259" s="1">
        <v>491</v>
      </c>
      <c r="B259" t="str" cm="1">
        <f t="array" ref="B259">IFERROR(SUBSTITUTE(INDEX(TechType[[#All],[TechTypeID]],$A259),":","__"),"")</f>
        <v/>
      </c>
    </row>
    <row r="260" spans="1:2" hidden="1" x14ac:dyDescent="0.25">
      <c r="A260" s="1">
        <v>492</v>
      </c>
      <c r="B260" t="str" cm="1">
        <f t="array" ref="B260">IFERROR(SUBSTITUTE(INDEX(TechType[[#All],[TechTypeID]],$A260),":","__"),"")</f>
        <v/>
      </c>
    </row>
    <row r="261" spans="1:2" hidden="1" x14ac:dyDescent="0.25">
      <c r="A261" s="1">
        <v>493</v>
      </c>
      <c r="B261" t="str" cm="1">
        <f t="array" ref="B261">IFERROR(SUBSTITUTE(INDEX(TechType[[#All],[TechTypeID]],$A261),":","__"),"")</f>
        <v/>
      </c>
    </row>
    <row r="262" spans="1:2" hidden="1" x14ac:dyDescent="0.25">
      <c r="A262" s="1">
        <v>494</v>
      </c>
      <c r="B262" t="str" cm="1">
        <f t="array" ref="B262">IFERROR(SUBSTITUTE(INDEX(TechType[[#All],[TechTypeID]],$A262),":","__"),"")</f>
        <v/>
      </c>
    </row>
    <row r="263" spans="1:2" hidden="1" x14ac:dyDescent="0.25">
      <c r="A263" s="1">
        <v>495</v>
      </c>
      <c r="B263" t="str" cm="1">
        <f t="array" ref="B263">IFERROR(SUBSTITUTE(INDEX(TechType[[#All],[TechTypeID]],$A263),":","__"),"")</f>
        <v/>
      </c>
    </row>
    <row r="264" spans="1:2" hidden="1" x14ac:dyDescent="0.25">
      <c r="A264" s="1">
        <v>496</v>
      </c>
      <c r="B264" t="str" cm="1">
        <f t="array" ref="B264">IFERROR(SUBSTITUTE(INDEX(TechType[[#All],[TechTypeID]],$A264),":","__"),"")</f>
        <v/>
      </c>
    </row>
    <row r="265" spans="1:2" hidden="1" x14ac:dyDescent="0.25">
      <c r="A265" s="1">
        <v>497</v>
      </c>
      <c r="B265" t="str" cm="1">
        <f t="array" ref="B265">IFERROR(SUBSTITUTE(INDEX(TechType[[#All],[TechTypeID]],$A265),":","__"),"")</f>
        <v/>
      </c>
    </row>
    <row r="266" spans="1:2" hidden="1" x14ac:dyDescent="0.25">
      <c r="A266" s="1">
        <v>498</v>
      </c>
      <c r="B266" t="str" cm="1">
        <f t="array" ref="B266">IFERROR(SUBSTITUTE(INDEX(TechType[[#All],[TechTypeID]],$A266),":","__"),"")</f>
        <v/>
      </c>
    </row>
    <row r="267" spans="1:2" hidden="1" x14ac:dyDescent="0.25">
      <c r="A267" s="1">
        <v>499</v>
      </c>
      <c r="B267" t="str" cm="1">
        <f t="array" ref="B267">IFERROR(SUBSTITUTE(INDEX(TechType[[#All],[TechTypeID]],$A267),":","__"),"")</f>
        <v/>
      </c>
    </row>
    <row r="268" spans="1:2" hidden="1" x14ac:dyDescent="0.25">
      <c r="A268" s="1">
        <v>500</v>
      </c>
      <c r="B268" t="str" cm="1">
        <f t="array" ref="B268">IFERROR(SUBSTITUTE(INDEX(TechType[[#All],[TechTypeID]],$A268),":","__"),"")</f>
        <v/>
      </c>
    </row>
    <row r="269" spans="1:2" hidden="1" x14ac:dyDescent="0.25">
      <c r="A269" s="1">
        <v>501</v>
      </c>
      <c r="B269" t="str" cm="1">
        <f t="array" ref="B269">IFERROR(SUBSTITUTE(INDEX(TechType[[#All],[TechTypeID]],$A269),":","__"),"")</f>
        <v/>
      </c>
    </row>
    <row r="270" spans="1:2" hidden="1" x14ac:dyDescent="0.25">
      <c r="A270" s="1">
        <v>502</v>
      </c>
      <c r="B270" t="str" cm="1">
        <f t="array" ref="B270">IFERROR(SUBSTITUTE(INDEX(TechType[[#All],[TechTypeID]],$A270),":","__"),"")</f>
        <v/>
      </c>
    </row>
    <row r="271" spans="1:2" hidden="1" x14ac:dyDescent="0.25">
      <c r="A271" s="1">
        <v>503</v>
      </c>
      <c r="B271" t="str" cm="1">
        <f t="array" ref="B271">IFERROR(SUBSTITUTE(INDEX(TechType[[#All],[TechTypeID]],$A271),":","__"),"")</f>
        <v/>
      </c>
    </row>
    <row r="272" spans="1:2" hidden="1" x14ac:dyDescent="0.25">
      <c r="A272" s="1">
        <v>504</v>
      </c>
      <c r="B272" t="str" cm="1">
        <f t="array" ref="B272">IFERROR(SUBSTITUTE(INDEX(TechType[[#All],[TechTypeID]],$A272),":","__"),"")</f>
        <v/>
      </c>
    </row>
    <row r="273" spans="1:2" hidden="1" x14ac:dyDescent="0.25">
      <c r="A273" s="1">
        <v>505</v>
      </c>
      <c r="B273" t="str" cm="1">
        <f t="array" ref="B273">IFERROR(SUBSTITUTE(INDEX(TechType[[#All],[TechTypeID]],$A273),":","__"),"")</f>
        <v/>
      </c>
    </row>
    <row r="274" spans="1:2" hidden="1" x14ac:dyDescent="0.25">
      <c r="A274" s="1">
        <v>506</v>
      </c>
      <c r="B274" t="str" cm="1">
        <f t="array" ref="B274">IFERROR(SUBSTITUTE(INDEX(TechType[[#All],[TechTypeID]],$A274),":","__"),"")</f>
        <v/>
      </c>
    </row>
    <row r="275" spans="1:2" hidden="1" x14ac:dyDescent="0.25">
      <c r="A275" s="1">
        <v>507</v>
      </c>
      <c r="B275" t="str" cm="1">
        <f t="array" ref="B275">IFERROR(SUBSTITUTE(INDEX(TechType[[#All],[TechTypeID]],$A275),":","__"),"")</f>
        <v/>
      </c>
    </row>
    <row r="276" spans="1:2" hidden="1" x14ac:dyDescent="0.25">
      <c r="A276" s="1">
        <v>508</v>
      </c>
      <c r="B276" t="str" cm="1">
        <f t="array" ref="B276">IFERROR(SUBSTITUTE(INDEX(TechType[[#All],[TechTypeID]],$A276),":","__"),"")</f>
        <v/>
      </c>
    </row>
    <row r="277" spans="1:2" hidden="1" x14ac:dyDescent="0.25">
      <c r="A277" s="1">
        <v>509</v>
      </c>
      <c r="B277" t="str" cm="1">
        <f t="array" ref="B277">IFERROR(SUBSTITUTE(INDEX(TechType[[#All],[TechTypeID]],$A277),":","__"),"")</f>
        <v/>
      </c>
    </row>
    <row r="278" spans="1:2" hidden="1" x14ac:dyDescent="0.25">
      <c r="A278" s="1">
        <v>510</v>
      </c>
      <c r="B278" t="str" cm="1">
        <f t="array" ref="B278">IFERROR(SUBSTITUTE(INDEX(TechType[[#All],[TechTypeID]],$A278),":","__"),"")</f>
        <v/>
      </c>
    </row>
    <row r="279" spans="1:2" hidden="1" x14ac:dyDescent="0.25">
      <c r="A279" s="1">
        <v>511</v>
      </c>
      <c r="B279" t="str" cm="1">
        <f t="array" ref="B279">IFERROR(SUBSTITUTE(INDEX(TechType[[#All],[TechTypeID]],$A279),":","__"),"")</f>
        <v/>
      </c>
    </row>
    <row r="280" spans="1:2" hidden="1" x14ac:dyDescent="0.25">
      <c r="A280" s="1">
        <v>512</v>
      </c>
      <c r="B280" t="str" cm="1">
        <f t="array" ref="B280">IFERROR(SUBSTITUTE(INDEX(TechType[[#All],[TechTypeID]],$A280),":","__"),"")</f>
        <v/>
      </c>
    </row>
    <row r="281" spans="1:2" hidden="1" x14ac:dyDescent="0.25">
      <c r="A281" s="1">
        <v>513</v>
      </c>
      <c r="B281" t="str" cm="1">
        <f t="array" ref="B281">IFERROR(SUBSTITUTE(INDEX(TechType[[#All],[TechTypeID]],$A281),":","__"),"")</f>
        <v/>
      </c>
    </row>
    <row r="282" spans="1:2" hidden="1" x14ac:dyDescent="0.25">
      <c r="A282" s="1">
        <v>514</v>
      </c>
      <c r="B282" t="str" cm="1">
        <f t="array" ref="B282">IFERROR(SUBSTITUTE(INDEX(TechType[[#All],[TechTypeID]],$A282),":","__"),"")</f>
        <v/>
      </c>
    </row>
    <row r="283" spans="1:2" hidden="1" x14ac:dyDescent="0.25">
      <c r="A283" s="1">
        <v>515</v>
      </c>
      <c r="B283" t="str" cm="1">
        <f t="array" ref="B283">IFERROR(SUBSTITUTE(INDEX(TechType[[#All],[TechTypeID]],$A283),":","__"),"")</f>
        <v/>
      </c>
    </row>
    <row r="284" spans="1:2" hidden="1" x14ac:dyDescent="0.25">
      <c r="A284" s="1">
        <v>516</v>
      </c>
      <c r="B284" t="str" cm="1">
        <f t="array" ref="B284">IFERROR(SUBSTITUTE(INDEX(TechType[[#All],[TechTypeID]],$A284),":","__"),"")</f>
        <v/>
      </c>
    </row>
    <row r="285" spans="1:2" hidden="1" x14ac:dyDescent="0.25">
      <c r="A285" s="1">
        <v>517</v>
      </c>
      <c r="B285" t="str" cm="1">
        <f t="array" ref="B285">IFERROR(SUBSTITUTE(INDEX(TechType[[#All],[TechTypeID]],$A285),":","__"),"")</f>
        <v/>
      </c>
    </row>
    <row r="286" spans="1:2" hidden="1" x14ac:dyDescent="0.25">
      <c r="A286" s="1">
        <v>518</v>
      </c>
      <c r="B286" t="str" cm="1">
        <f t="array" ref="B286">IFERROR(SUBSTITUTE(INDEX(TechType[[#All],[TechTypeID]],$A286),":","__"),"")</f>
        <v/>
      </c>
    </row>
    <row r="287" spans="1:2" hidden="1" x14ac:dyDescent="0.25">
      <c r="A287" s="1">
        <v>519</v>
      </c>
      <c r="B287" t="str" cm="1">
        <f t="array" ref="B287">IFERROR(SUBSTITUTE(INDEX(TechType[[#All],[TechTypeID]],$A287),":","__"),"")</f>
        <v/>
      </c>
    </row>
    <row r="288" spans="1:2" hidden="1" x14ac:dyDescent="0.25">
      <c r="A288" s="1">
        <v>520</v>
      </c>
      <c r="B288" t="str" cm="1">
        <f t="array" ref="B288">IFERROR(SUBSTITUTE(INDEX(TechType[[#All],[TechTypeID]],$A288),":","__"),"")</f>
        <v/>
      </c>
    </row>
    <row r="289" spans="1:2" hidden="1" x14ac:dyDescent="0.25">
      <c r="A289" s="1">
        <v>521</v>
      </c>
      <c r="B289" t="str" cm="1">
        <f t="array" ref="B289">IFERROR(SUBSTITUTE(INDEX(TechType[[#All],[TechTypeID]],$A289),":","__"),"")</f>
        <v/>
      </c>
    </row>
    <row r="290" spans="1:2" hidden="1" x14ac:dyDescent="0.25">
      <c r="A290" s="1">
        <v>522</v>
      </c>
      <c r="B290" t="str" cm="1">
        <f t="array" ref="B290">IFERROR(SUBSTITUTE(INDEX(TechType[[#All],[TechTypeID]],$A290),":","__"),"")</f>
        <v/>
      </c>
    </row>
    <row r="291" spans="1:2" hidden="1" x14ac:dyDescent="0.25">
      <c r="A291" s="1">
        <v>523</v>
      </c>
      <c r="B291" t="str" cm="1">
        <f t="array" ref="B291">IFERROR(SUBSTITUTE(INDEX(TechType[[#All],[TechTypeID]],$A291),":","__"),"")</f>
        <v/>
      </c>
    </row>
    <row r="292" spans="1:2" hidden="1" x14ac:dyDescent="0.25">
      <c r="A292" s="1">
        <v>524</v>
      </c>
      <c r="B292" t="str" cm="1">
        <f t="array" ref="B292">IFERROR(SUBSTITUTE(INDEX(TechType[[#All],[TechTypeID]],$A292),":","__"),"")</f>
        <v/>
      </c>
    </row>
    <row r="293" spans="1:2" hidden="1" x14ac:dyDescent="0.25">
      <c r="A293" s="1">
        <v>525</v>
      </c>
      <c r="B293" t="str" cm="1">
        <f t="array" ref="B293">IFERROR(SUBSTITUTE(INDEX(TechType[[#All],[TechTypeID]],$A293),":","__"),"")</f>
        <v/>
      </c>
    </row>
    <row r="294" spans="1:2" hidden="1" x14ac:dyDescent="0.25">
      <c r="A294" s="1">
        <v>526</v>
      </c>
      <c r="B294" t="str" cm="1">
        <f t="array" ref="B294">IFERROR(SUBSTITUTE(INDEX(TechType[[#All],[TechTypeID]],$A294),":","__"),"")</f>
        <v/>
      </c>
    </row>
    <row r="295" spans="1:2" hidden="1" x14ac:dyDescent="0.25">
      <c r="A295" s="1">
        <v>527</v>
      </c>
      <c r="B295" t="str" cm="1">
        <f t="array" ref="B295">IFERROR(SUBSTITUTE(INDEX(TechType[[#All],[TechTypeID]],$A295),":","__"),"")</f>
        <v/>
      </c>
    </row>
    <row r="296" spans="1:2" hidden="1" x14ac:dyDescent="0.25">
      <c r="A296" s="1">
        <v>528</v>
      </c>
      <c r="B296" t="str" cm="1">
        <f t="array" ref="B296">IFERROR(SUBSTITUTE(INDEX(TechType[[#All],[TechTypeID]],$A296),":","__"),"")</f>
        <v/>
      </c>
    </row>
    <row r="297" spans="1:2" hidden="1" x14ac:dyDescent="0.25">
      <c r="A297" s="1">
        <v>529</v>
      </c>
      <c r="B297" t="str" cm="1">
        <f t="array" ref="B297">IFERROR(SUBSTITUTE(INDEX(TechType[[#All],[TechTypeID]],$A297),":","__"),"")</f>
        <v/>
      </c>
    </row>
    <row r="298" spans="1:2" hidden="1" x14ac:dyDescent="0.25">
      <c r="A298" s="1">
        <v>530</v>
      </c>
      <c r="B298" t="str" cm="1">
        <f t="array" ref="B298">IFERROR(SUBSTITUTE(INDEX(TechType[[#All],[TechTypeID]],$A298),":","__"),"")</f>
        <v/>
      </c>
    </row>
    <row r="299" spans="1:2" hidden="1" x14ac:dyDescent="0.25">
      <c r="A299" s="1">
        <v>531</v>
      </c>
      <c r="B299" t="str" cm="1">
        <f t="array" ref="B299">IFERROR(SUBSTITUTE(INDEX(TechType[[#All],[TechTypeID]],$A299),":","__"),"")</f>
        <v/>
      </c>
    </row>
    <row r="300" spans="1:2" hidden="1" x14ac:dyDescent="0.25">
      <c r="A300" s="1">
        <v>532</v>
      </c>
      <c r="B300" t="str" cm="1">
        <f t="array" ref="B300">IFERROR(SUBSTITUTE(INDEX(TechType[[#All],[TechTypeID]],$A300),":","__"),"")</f>
        <v/>
      </c>
    </row>
    <row r="301" spans="1:2" hidden="1" x14ac:dyDescent="0.25">
      <c r="A301" s="1">
        <v>533</v>
      </c>
      <c r="B301" t="str" cm="1">
        <f t="array" ref="B301">IFERROR(SUBSTITUTE(INDEX(TechType[[#All],[TechTypeID]],$A301),":","__"),"")</f>
        <v/>
      </c>
    </row>
    <row r="302" spans="1:2" hidden="1" x14ac:dyDescent="0.25">
      <c r="A302" s="1">
        <v>534</v>
      </c>
      <c r="B302" t="str" cm="1">
        <f t="array" ref="B302">IFERROR(SUBSTITUTE(INDEX(TechType[[#All],[TechTypeID]],$A302),":","__"),"")</f>
        <v/>
      </c>
    </row>
    <row r="303" spans="1:2" hidden="1" x14ac:dyDescent="0.25">
      <c r="A303" s="1">
        <v>535</v>
      </c>
      <c r="B303" t="str" cm="1">
        <f t="array" ref="B303">IFERROR(SUBSTITUTE(INDEX(TechType[[#All],[TechTypeID]],$A303),":","__"),"")</f>
        <v/>
      </c>
    </row>
    <row r="304" spans="1:2" hidden="1" x14ac:dyDescent="0.25">
      <c r="A304" s="1">
        <v>536</v>
      </c>
      <c r="B304" t="str" cm="1">
        <f t="array" ref="B304">IFERROR(SUBSTITUTE(INDEX(TechType[[#All],[TechTypeID]],$A304),":","__"),"")</f>
        <v/>
      </c>
    </row>
    <row r="305" spans="1:2" hidden="1" x14ac:dyDescent="0.25">
      <c r="A305" s="1">
        <v>537</v>
      </c>
      <c r="B305" t="str" cm="1">
        <f t="array" ref="B305">IFERROR(SUBSTITUTE(INDEX(TechType[[#All],[TechTypeID]],$A305),":","__"),"")</f>
        <v/>
      </c>
    </row>
    <row r="306" spans="1:2" hidden="1" x14ac:dyDescent="0.25">
      <c r="A306" s="1">
        <v>538</v>
      </c>
      <c r="B306" t="str" cm="1">
        <f t="array" ref="B306">IFERROR(SUBSTITUTE(INDEX(TechType[[#All],[TechTypeID]],$A306),":","__"),"")</f>
        <v/>
      </c>
    </row>
    <row r="307" spans="1:2" hidden="1" x14ac:dyDescent="0.25">
      <c r="A307" s="1">
        <v>539</v>
      </c>
      <c r="B307" t="str" cm="1">
        <f t="array" ref="B307">IFERROR(SUBSTITUTE(INDEX(TechType[[#All],[TechTypeID]],$A307),":","__"),"")</f>
        <v/>
      </c>
    </row>
    <row r="308" spans="1:2" hidden="1" x14ac:dyDescent="0.25">
      <c r="A308" s="1">
        <v>540</v>
      </c>
      <c r="B308" t="str" cm="1">
        <f t="array" ref="B308">IFERROR(SUBSTITUTE(INDEX(TechType[[#All],[TechTypeID]],$A308),":","__"),"")</f>
        <v/>
      </c>
    </row>
    <row r="309" spans="1:2" hidden="1" x14ac:dyDescent="0.25">
      <c r="A309" s="1">
        <v>541</v>
      </c>
      <c r="B309" t="str" cm="1">
        <f t="array" ref="B309">IFERROR(SUBSTITUTE(INDEX(TechType[[#All],[TechTypeID]],$A309),":","__"),"")</f>
        <v/>
      </c>
    </row>
    <row r="310" spans="1:2" hidden="1" x14ac:dyDescent="0.25">
      <c r="A310" s="1">
        <v>542</v>
      </c>
      <c r="B310" t="str" cm="1">
        <f t="array" ref="B310">IFERROR(SUBSTITUTE(INDEX(TechType[[#All],[TechTypeID]],$A310),":","__"),"")</f>
        <v/>
      </c>
    </row>
    <row r="311" spans="1:2" hidden="1" x14ac:dyDescent="0.25">
      <c r="A311" s="1">
        <v>543</v>
      </c>
      <c r="B311" t="str" cm="1">
        <f t="array" ref="B311">IFERROR(SUBSTITUTE(INDEX(TechType[[#All],[TechTypeID]],$A311),":","__"),"")</f>
        <v/>
      </c>
    </row>
    <row r="312" spans="1:2" hidden="1" x14ac:dyDescent="0.25">
      <c r="A312" s="1">
        <v>544</v>
      </c>
      <c r="B312" t="str" cm="1">
        <f t="array" ref="B312">IFERROR(SUBSTITUTE(INDEX(TechType[[#All],[TechTypeID]],$A312),":","__"),"")</f>
        <v/>
      </c>
    </row>
    <row r="313" spans="1:2" hidden="1" x14ac:dyDescent="0.25">
      <c r="A313" s="1">
        <v>545</v>
      </c>
      <c r="B313" t="str" cm="1">
        <f t="array" ref="B313">IFERROR(SUBSTITUTE(INDEX(TechType[[#All],[TechTypeID]],$A313),":","__"),"")</f>
        <v/>
      </c>
    </row>
    <row r="314" spans="1:2" hidden="1" x14ac:dyDescent="0.25">
      <c r="A314" s="1">
        <v>546</v>
      </c>
      <c r="B314" t="str" cm="1">
        <f t="array" ref="B314">IFERROR(SUBSTITUTE(INDEX(TechType[[#All],[TechTypeID]],$A314),":","__"),"")</f>
        <v/>
      </c>
    </row>
    <row r="315" spans="1:2" hidden="1" x14ac:dyDescent="0.25">
      <c r="A315" s="1">
        <v>547</v>
      </c>
      <c r="B315" t="str" cm="1">
        <f t="array" ref="B315">IFERROR(SUBSTITUTE(INDEX(TechType[[#All],[TechTypeID]],$A315),":","__"),"")</f>
        <v/>
      </c>
    </row>
    <row r="316" spans="1:2" hidden="1" x14ac:dyDescent="0.25">
      <c r="A316" s="1">
        <v>548</v>
      </c>
      <c r="B316" t="str" cm="1">
        <f t="array" ref="B316">IFERROR(SUBSTITUTE(INDEX(TechType[[#All],[TechTypeID]],$A316),":","__"),"")</f>
        <v/>
      </c>
    </row>
    <row r="317" spans="1:2" hidden="1" x14ac:dyDescent="0.25">
      <c r="A317" s="1">
        <v>549</v>
      </c>
      <c r="B317" t="str" cm="1">
        <f t="array" ref="B317">IFERROR(SUBSTITUTE(INDEX(TechType[[#All],[TechTypeID]],$A317),":","__"),"")</f>
        <v/>
      </c>
    </row>
    <row r="318" spans="1:2" hidden="1" x14ac:dyDescent="0.25">
      <c r="A318" s="1">
        <v>550</v>
      </c>
      <c r="B318" t="str" cm="1">
        <f t="array" ref="B318">IFERROR(SUBSTITUTE(INDEX(TechType[[#All],[TechTypeID]],$A318),":","__"),"")</f>
        <v/>
      </c>
    </row>
    <row r="319" spans="1:2" hidden="1" x14ac:dyDescent="0.25">
      <c r="A319" s="1">
        <v>551</v>
      </c>
      <c r="B319" t="str" cm="1">
        <f t="array" ref="B319">IFERROR(SUBSTITUTE(INDEX(TechType[[#All],[TechTypeID]],$A319),":","__"),"")</f>
        <v/>
      </c>
    </row>
    <row r="320" spans="1:2" hidden="1" x14ac:dyDescent="0.25">
      <c r="A320" s="1">
        <v>552</v>
      </c>
      <c r="B320" t="str" cm="1">
        <f t="array" ref="B320">IFERROR(SUBSTITUTE(INDEX(TechType[[#All],[TechTypeID]],$A320),":","__"),"")</f>
        <v/>
      </c>
    </row>
    <row r="321" spans="1:2" hidden="1" x14ac:dyDescent="0.25">
      <c r="A321" s="1">
        <v>553</v>
      </c>
      <c r="B321" t="str" cm="1">
        <f t="array" ref="B321">IFERROR(SUBSTITUTE(INDEX(TechType[[#All],[TechTypeID]],$A321),":","__"),"")</f>
        <v/>
      </c>
    </row>
    <row r="322" spans="1:2" hidden="1" x14ac:dyDescent="0.25">
      <c r="A322" s="1">
        <v>554</v>
      </c>
      <c r="B322" t="str" cm="1">
        <f t="array" ref="B322">IFERROR(SUBSTITUTE(INDEX(TechType[[#All],[TechTypeID]],$A322),":","__"),"")</f>
        <v/>
      </c>
    </row>
    <row r="323" spans="1:2" hidden="1" x14ac:dyDescent="0.25">
      <c r="A323" s="1">
        <v>555</v>
      </c>
      <c r="B323" t="str" cm="1">
        <f t="array" ref="B323">IFERROR(SUBSTITUTE(INDEX(TechType[[#All],[TechTypeID]],$A323),":","__"),"")</f>
        <v/>
      </c>
    </row>
    <row r="324" spans="1:2" hidden="1" x14ac:dyDescent="0.25">
      <c r="A324" s="1">
        <v>556</v>
      </c>
      <c r="B324" t="str" cm="1">
        <f t="array" ref="B324">IFERROR(SUBSTITUTE(INDEX(TechType[[#All],[TechTypeID]],$A324),":","__"),"")</f>
        <v/>
      </c>
    </row>
    <row r="325" spans="1:2" hidden="1" x14ac:dyDescent="0.25">
      <c r="A325" s="1">
        <v>557</v>
      </c>
      <c r="B325" t="str" cm="1">
        <f t="array" ref="B325">IFERROR(SUBSTITUTE(INDEX(TechType[[#All],[TechTypeID]],$A325),":","__"),"")</f>
        <v/>
      </c>
    </row>
    <row r="326" spans="1:2" hidden="1" x14ac:dyDescent="0.25">
      <c r="A326" s="1">
        <v>558</v>
      </c>
      <c r="B326" t="str" cm="1">
        <f t="array" ref="B326">IFERROR(SUBSTITUTE(INDEX(TechType[[#All],[TechTypeID]],$A326),":","__"),"")</f>
        <v/>
      </c>
    </row>
    <row r="327" spans="1:2" hidden="1" x14ac:dyDescent="0.25">
      <c r="A327" s="1">
        <v>559</v>
      </c>
      <c r="B327" t="str" cm="1">
        <f t="array" ref="B327">IFERROR(SUBSTITUTE(INDEX(TechType[[#All],[TechTypeID]],$A327),":","__"),"")</f>
        <v/>
      </c>
    </row>
    <row r="328" spans="1:2" hidden="1" x14ac:dyDescent="0.25">
      <c r="A328" s="1">
        <v>560</v>
      </c>
      <c r="B328" t="str" cm="1">
        <f t="array" ref="B328">IFERROR(SUBSTITUTE(INDEX(TechType[[#All],[TechTypeID]],$A328),":","__"),"")</f>
        <v/>
      </c>
    </row>
    <row r="329" spans="1:2" hidden="1" x14ac:dyDescent="0.25">
      <c r="A329" s="1">
        <v>561</v>
      </c>
      <c r="B329" t="str" cm="1">
        <f t="array" ref="B329">IFERROR(SUBSTITUTE(INDEX(TechType[[#All],[TechTypeID]],$A329),":","__"),"")</f>
        <v/>
      </c>
    </row>
    <row r="330" spans="1:2" hidden="1" x14ac:dyDescent="0.25">
      <c r="A330" s="1">
        <v>562</v>
      </c>
      <c r="B330" t="str" cm="1">
        <f t="array" ref="B330">IFERROR(SUBSTITUTE(INDEX(TechType[[#All],[TechTypeID]],$A330),":","__"),"")</f>
        <v/>
      </c>
    </row>
    <row r="331" spans="1:2" hidden="1" x14ac:dyDescent="0.25">
      <c r="A331" s="1">
        <v>563</v>
      </c>
      <c r="B331" t="str" cm="1">
        <f t="array" ref="B331">IFERROR(SUBSTITUTE(INDEX(TechType[[#All],[TechTypeID]],$A331),":","__"),"")</f>
        <v/>
      </c>
    </row>
    <row r="332" spans="1:2" hidden="1" x14ac:dyDescent="0.25">
      <c r="A332" s="1">
        <v>564</v>
      </c>
      <c r="B332" t="str" cm="1">
        <f t="array" ref="B332">IFERROR(SUBSTITUTE(INDEX(TechType[[#All],[TechTypeID]],$A332),":","__"),"")</f>
        <v/>
      </c>
    </row>
    <row r="333" spans="1:2" hidden="1" x14ac:dyDescent="0.25">
      <c r="A333" s="1">
        <v>565</v>
      </c>
      <c r="B333" t="str" cm="1">
        <f t="array" ref="B333">IFERROR(SUBSTITUTE(INDEX(TechType[[#All],[TechTypeID]],$A333),":","__"),"")</f>
        <v/>
      </c>
    </row>
    <row r="334" spans="1:2" hidden="1" x14ac:dyDescent="0.25">
      <c r="A334" s="1">
        <v>566</v>
      </c>
      <c r="B334" t="str" cm="1">
        <f t="array" ref="B334">IFERROR(SUBSTITUTE(INDEX(TechType[[#All],[TechTypeID]],$A334),":","__"),"")</f>
        <v/>
      </c>
    </row>
    <row r="335" spans="1:2" hidden="1" x14ac:dyDescent="0.25">
      <c r="A335" s="1">
        <v>567</v>
      </c>
      <c r="B335" t="str" cm="1">
        <f t="array" ref="B335">IFERROR(SUBSTITUTE(INDEX(TechType[[#All],[TechTypeID]],$A335),":","__"),"")</f>
        <v/>
      </c>
    </row>
    <row r="336" spans="1:2" hidden="1" x14ac:dyDescent="0.25">
      <c r="A336" s="1">
        <v>568</v>
      </c>
      <c r="B336" t="str" cm="1">
        <f t="array" ref="B336">IFERROR(SUBSTITUTE(INDEX(TechType[[#All],[TechTypeID]],$A336),":","__"),"")</f>
        <v/>
      </c>
    </row>
    <row r="337" spans="1:2" hidden="1" x14ac:dyDescent="0.25">
      <c r="A337" s="1">
        <v>569</v>
      </c>
      <c r="B337" t="str" cm="1">
        <f t="array" ref="B337">IFERROR(SUBSTITUTE(INDEX(TechType[[#All],[TechTypeID]],$A337),":","__"),"")</f>
        <v/>
      </c>
    </row>
    <row r="338" spans="1:2" hidden="1" x14ac:dyDescent="0.25">
      <c r="A338" s="1">
        <v>570</v>
      </c>
      <c r="B338" t="str" cm="1">
        <f t="array" ref="B338">IFERROR(SUBSTITUTE(INDEX(TechType[[#All],[TechTypeID]],$A338),":","__"),"")</f>
        <v/>
      </c>
    </row>
    <row r="339" spans="1:2" hidden="1" x14ac:dyDescent="0.25">
      <c r="A339" s="1">
        <v>571</v>
      </c>
      <c r="B339" t="str" cm="1">
        <f t="array" ref="B339">IFERROR(SUBSTITUTE(INDEX(TechType[[#All],[TechTypeID]],$A339),":","__"),"")</f>
        <v/>
      </c>
    </row>
    <row r="340" spans="1:2" hidden="1" x14ac:dyDescent="0.25">
      <c r="A340" s="1">
        <v>572</v>
      </c>
      <c r="B340" t="str" cm="1">
        <f t="array" ref="B340">IFERROR(SUBSTITUTE(INDEX(TechType[[#All],[TechTypeID]],$A340),":","__"),"")</f>
        <v/>
      </c>
    </row>
    <row r="341" spans="1:2" hidden="1" x14ac:dyDescent="0.25">
      <c r="A341" s="1">
        <v>573</v>
      </c>
      <c r="B341" t="str" cm="1">
        <f t="array" ref="B341">IFERROR(SUBSTITUTE(INDEX(TechType[[#All],[TechTypeID]],$A341),":","__"),"")</f>
        <v/>
      </c>
    </row>
    <row r="342" spans="1:2" hidden="1" x14ac:dyDescent="0.25">
      <c r="A342" s="1">
        <v>574</v>
      </c>
      <c r="B342" t="str" cm="1">
        <f t="array" ref="B342">IFERROR(SUBSTITUTE(INDEX(TechType[[#All],[TechTypeID]],$A342),":","__"),"")</f>
        <v/>
      </c>
    </row>
    <row r="343" spans="1:2" hidden="1" x14ac:dyDescent="0.25">
      <c r="A343" s="1">
        <v>575</v>
      </c>
      <c r="B343" t="str" cm="1">
        <f t="array" ref="B343">IFERROR(SUBSTITUTE(INDEX(TechType[[#All],[TechTypeID]],$A343),":","__"),"")</f>
        <v/>
      </c>
    </row>
    <row r="344" spans="1:2" hidden="1" x14ac:dyDescent="0.25">
      <c r="A344" s="1">
        <v>576</v>
      </c>
      <c r="B344" t="str" cm="1">
        <f t="array" ref="B344">IFERROR(SUBSTITUTE(INDEX(TechType[[#All],[TechTypeID]],$A344),":","__"),"")</f>
        <v/>
      </c>
    </row>
    <row r="345" spans="1:2" hidden="1" x14ac:dyDescent="0.25">
      <c r="A345" s="1">
        <v>577</v>
      </c>
      <c r="B345" t="str" cm="1">
        <f t="array" ref="B345">IFERROR(SUBSTITUTE(INDEX(TechType[[#All],[TechTypeID]],$A345),":","__"),"")</f>
        <v/>
      </c>
    </row>
    <row r="346" spans="1:2" hidden="1" x14ac:dyDescent="0.25">
      <c r="A346" s="1">
        <v>578</v>
      </c>
      <c r="B346" t="str" cm="1">
        <f t="array" ref="B346">IFERROR(SUBSTITUTE(INDEX(TechType[[#All],[TechTypeID]],$A346),":","__"),"")</f>
        <v/>
      </c>
    </row>
    <row r="347" spans="1:2" hidden="1" x14ac:dyDescent="0.25">
      <c r="A347" s="1">
        <v>579</v>
      </c>
      <c r="B347" t="str" cm="1">
        <f t="array" ref="B347">IFERROR(SUBSTITUTE(INDEX(TechType[[#All],[TechTypeID]],$A347),":","__"),"")</f>
        <v/>
      </c>
    </row>
    <row r="348" spans="1:2" hidden="1" x14ac:dyDescent="0.25">
      <c r="A348" s="1">
        <v>580</v>
      </c>
      <c r="B348" t="str" cm="1">
        <f t="array" ref="B348">IFERROR(SUBSTITUTE(INDEX(TechType[[#All],[TechTypeID]],$A348),":","__"),"")</f>
        <v/>
      </c>
    </row>
    <row r="349" spans="1:2" hidden="1" x14ac:dyDescent="0.25">
      <c r="A349" s="1">
        <v>581</v>
      </c>
      <c r="B349" t="str" cm="1">
        <f t="array" ref="B349">IFERROR(SUBSTITUTE(INDEX(TechType[[#All],[TechTypeID]],$A349),":","__"),"")</f>
        <v/>
      </c>
    </row>
    <row r="350" spans="1:2" hidden="1" x14ac:dyDescent="0.25">
      <c r="A350" s="1">
        <v>582</v>
      </c>
      <c r="B350" t="str" cm="1">
        <f t="array" ref="B350">IFERROR(SUBSTITUTE(INDEX(TechType[[#All],[TechTypeID]],$A350),":","__"),"")</f>
        <v/>
      </c>
    </row>
    <row r="351" spans="1:2" hidden="1" x14ac:dyDescent="0.25">
      <c r="A351" s="1">
        <v>583</v>
      </c>
      <c r="B351" t="str" cm="1">
        <f t="array" ref="B351">IFERROR(SUBSTITUTE(INDEX(TechType[[#All],[TechTypeID]],$A351),":","__"),"")</f>
        <v/>
      </c>
    </row>
    <row r="352" spans="1:2" hidden="1" x14ac:dyDescent="0.25">
      <c r="A352" s="1">
        <v>584</v>
      </c>
      <c r="B352" t="str" cm="1">
        <f t="array" ref="B352">IFERROR(SUBSTITUTE(INDEX(TechType[[#All],[TechTypeID]],$A352),":","__"),"")</f>
        <v/>
      </c>
    </row>
    <row r="353" spans="1:2" hidden="1" x14ac:dyDescent="0.25">
      <c r="A353" s="1">
        <v>585</v>
      </c>
      <c r="B353" t="str" cm="1">
        <f t="array" ref="B353">IFERROR(SUBSTITUTE(INDEX(TechType[[#All],[TechTypeID]],$A353),":","__"),"")</f>
        <v/>
      </c>
    </row>
    <row r="354" spans="1:2" hidden="1" x14ac:dyDescent="0.25">
      <c r="A354" s="1">
        <v>586</v>
      </c>
      <c r="B354" t="str" cm="1">
        <f t="array" ref="B354">IFERROR(SUBSTITUTE(INDEX(TechType[[#All],[TechTypeID]],$A354),":","__"),"")</f>
        <v/>
      </c>
    </row>
    <row r="355" spans="1:2" hidden="1" x14ac:dyDescent="0.25">
      <c r="A355" s="1">
        <v>587</v>
      </c>
      <c r="B355" t="str" cm="1">
        <f t="array" ref="B355">IFERROR(SUBSTITUTE(INDEX(TechType[[#All],[TechTypeID]],$A355),":","__"),"")</f>
        <v/>
      </c>
    </row>
    <row r="356" spans="1:2" hidden="1" x14ac:dyDescent="0.25">
      <c r="A356" s="1">
        <v>588</v>
      </c>
      <c r="B356" t="str" cm="1">
        <f t="array" ref="B356">IFERROR(SUBSTITUTE(INDEX(TechType[[#All],[TechTypeID]],$A356),":","__"),"")</f>
        <v/>
      </c>
    </row>
    <row r="357" spans="1:2" hidden="1" x14ac:dyDescent="0.25">
      <c r="A357" s="1">
        <v>589</v>
      </c>
      <c r="B357" t="str" cm="1">
        <f t="array" ref="B357">IFERROR(SUBSTITUTE(INDEX(TechType[[#All],[TechTypeID]],$A357),":","__"),"")</f>
        <v/>
      </c>
    </row>
    <row r="358" spans="1:2" hidden="1" x14ac:dyDescent="0.25">
      <c r="A358" s="1">
        <v>590</v>
      </c>
      <c r="B358" t="str" cm="1">
        <f t="array" ref="B358">IFERROR(SUBSTITUTE(INDEX(TechType[[#All],[TechTypeID]],$A358),":","__"),"")</f>
        <v/>
      </c>
    </row>
    <row r="359" spans="1:2" hidden="1" x14ac:dyDescent="0.25">
      <c r="A359" s="1">
        <v>591</v>
      </c>
      <c r="B359" t="str" cm="1">
        <f t="array" ref="B359">IFERROR(SUBSTITUTE(INDEX(TechType[[#All],[TechTypeID]],$A359),":","__"),"")</f>
        <v/>
      </c>
    </row>
    <row r="360" spans="1:2" hidden="1" x14ac:dyDescent="0.25">
      <c r="A360" s="1">
        <v>592</v>
      </c>
      <c r="B360" t="str" cm="1">
        <f t="array" ref="B360">IFERROR(SUBSTITUTE(INDEX(TechType[[#All],[TechTypeID]],$A360),":","__"),"")</f>
        <v/>
      </c>
    </row>
    <row r="361" spans="1:2" hidden="1" x14ac:dyDescent="0.25">
      <c r="A361" s="1">
        <v>593</v>
      </c>
      <c r="B361" t="str" cm="1">
        <f t="array" ref="B361">IFERROR(SUBSTITUTE(INDEX(TechType[[#All],[TechTypeID]],$A361),":","__"),"")</f>
        <v/>
      </c>
    </row>
    <row r="362" spans="1:2" hidden="1" x14ac:dyDescent="0.25">
      <c r="A362" s="1">
        <v>594</v>
      </c>
      <c r="B362" t="str" cm="1">
        <f t="array" ref="B362">IFERROR(SUBSTITUTE(INDEX(TechType[[#All],[TechTypeID]],$A362),":","__"),"")</f>
        <v/>
      </c>
    </row>
    <row r="363" spans="1:2" hidden="1" x14ac:dyDescent="0.25">
      <c r="A363" s="1">
        <v>595</v>
      </c>
      <c r="B363" t="str" cm="1">
        <f t="array" ref="B363">IFERROR(SUBSTITUTE(INDEX(TechType[[#All],[TechTypeID]],$A363),":","__"),"")</f>
        <v/>
      </c>
    </row>
    <row r="364" spans="1:2" hidden="1" x14ac:dyDescent="0.25">
      <c r="A364" s="1">
        <v>596</v>
      </c>
      <c r="B364" t="str" cm="1">
        <f t="array" ref="B364">IFERROR(SUBSTITUTE(INDEX(TechType[[#All],[TechTypeID]],$A364),":","__"),"")</f>
        <v/>
      </c>
    </row>
    <row r="365" spans="1:2" hidden="1" x14ac:dyDescent="0.25">
      <c r="A365" s="1">
        <v>597</v>
      </c>
      <c r="B365" t="str" cm="1">
        <f t="array" ref="B365">IFERROR(SUBSTITUTE(INDEX(TechType[[#All],[TechTypeID]],$A365),":","__"),"")</f>
        <v/>
      </c>
    </row>
    <row r="366" spans="1:2" hidden="1" x14ac:dyDescent="0.25">
      <c r="A366" s="1">
        <v>598</v>
      </c>
      <c r="B366" t="str" cm="1">
        <f t="array" ref="B366">IFERROR(SUBSTITUTE(INDEX(TechType[[#All],[TechTypeID]],$A366),":","__"),"")</f>
        <v/>
      </c>
    </row>
    <row r="367" spans="1:2" hidden="1" x14ac:dyDescent="0.25">
      <c r="A367" s="1">
        <v>599</v>
      </c>
      <c r="B367" t="str" cm="1">
        <f t="array" ref="B367">IFERROR(SUBSTITUTE(INDEX(TechType[[#All],[TechTypeID]],$A367),":","__"),"")</f>
        <v/>
      </c>
    </row>
    <row r="368" spans="1:2" hidden="1" x14ac:dyDescent="0.25">
      <c r="A368" s="1">
        <v>600</v>
      </c>
      <c r="B368" t="str" cm="1">
        <f t="array" ref="B368">IFERROR(SUBSTITUTE(INDEX(TechType[[#All],[TechTypeID]],$A368),":","__"),"")</f>
        <v/>
      </c>
    </row>
    <row r="369" spans="1:2" hidden="1" x14ac:dyDescent="0.25">
      <c r="A369" s="1">
        <v>601</v>
      </c>
      <c r="B369" t="str" cm="1">
        <f t="array" ref="B369">IFERROR(SUBSTITUTE(INDEX(TechType[[#All],[TechTypeID]],$A369),":","__"),"")</f>
        <v/>
      </c>
    </row>
    <row r="370" spans="1:2" hidden="1" x14ac:dyDescent="0.25">
      <c r="A370" s="1">
        <v>602</v>
      </c>
      <c r="B370" t="str" cm="1">
        <f t="array" ref="B370">IFERROR(SUBSTITUTE(INDEX(TechType[[#All],[TechTypeID]],$A370),":","__"),"")</f>
        <v/>
      </c>
    </row>
    <row r="371" spans="1:2" hidden="1" x14ac:dyDescent="0.25">
      <c r="A371" s="1">
        <v>603</v>
      </c>
      <c r="B371" t="str" cm="1">
        <f t="array" ref="B371">IFERROR(SUBSTITUTE(INDEX(TechType[[#All],[TechTypeID]],$A371),":","__"),"")</f>
        <v/>
      </c>
    </row>
    <row r="372" spans="1:2" hidden="1" x14ac:dyDescent="0.25">
      <c r="A372" s="1">
        <v>604</v>
      </c>
      <c r="B372" t="str" cm="1">
        <f t="array" ref="B372">IFERROR(SUBSTITUTE(INDEX(TechType[[#All],[TechTypeID]],$A372),":","__"),"")</f>
        <v/>
      </c>
    </row>
    <row r="373" spans="1:2" hidden="1" x14ac:dyDescent="0.25">
      <c r="A373" s="1">
        <v>605</v>
      </c>
      <c r="B373" t="str" cm="1">
        <f t="array" ref="B373">IFERROR(SUBSTITUTE(INDEX(TechType[[#All],[TechTypeID]],$A373),":","__"),"")</f>
        <v/>
      </c>
    </row>
    <row r="374" spans="1:2" hidden="1" x14ac:dyDescent="0.25">
      <c r="A374" s="1">
        <v>606</v>
      </c>
      <c r="B374" t="str" cm="1">
        <f t="array" ref="B374">IFERROR(SUBSTITUTE(INDEX(TechType[[#All],[TechTypeID]],$A374),":","__"),"")</f>
        <v/>
      </c>
    </row>
    <row r="375" spans="1:2" hidden="1" x14ac:dyDescent="0.25">
      <c r="A375" s="1">
        <v>607</v>
      </c>
      <c r="B375" t="str" cm="1">
        <f t="array" ref="B375">IFERROR(SUBSTITUTE(INDEX(TechType[[#All],[TechTypeID]],$A375),":","__"),"")</f>
        <v/>
      </c>
    </row>
    <row r="376" spans="1:2" hidden="1" x14ac:dyDescent="0.25">
      <c r="A376" s="1">
        <v>608</v>
      </c>
      <c r="B376" t="str" cm="1">
        <f t="array" ref="B376">IFERROR(SUBSTITUTE(INDEX(TechType[[#All],[TechTypeID]],$A376),":","__"),"")</f>
        <v/>
      </c>
    </row>
    <row r="377" spans="1:2" hidden="1" x14ac:dyDescent="0.25">
      <c r="A377" s="1">
        <v>609</v>
      </c>
      <c r="B377" t="str" cm="1">
        <f t="array" ref="B377">IFERROR(SUBSTITUTE(INDEX(TechType[[#All],[TechTypeID]],$A377),":","__"),"")</f>
        <v/>
      </c>
    </row>
    <row r="378" spans="1:2" hidden="1" x14ac:dyDescent="0.25">
      <c r="A378" s="1">
        <v>610</v>
      </c>
      <c r="B378" t="str" cm="1">
        <f t="array" ref="B378">IFERROR(SUBSTITUTE(INDEX(TechType[[#All],[TechTypeID]],$A378),":","__"),"")</f>
        <v/>
      </c>
    </row>
    <row r="379" spans="1:2" hidden="1" x14ac:dyDescent="0.25">
      <c r="A379" s="1">
        <v>611</v>
      </c>
      <c r="B379" t="str" cm="1">
        <f t="array" ref="B379">IFERROR(SUBSTITUTE(INDEX(TechType[[#All],[TechTypeID]],$A379),":","__"),"")</f>
        <v/>
      </c>
    </row>
    <row r="380" spans="1:2" hidden="1" x14ac:dyDescent="0.25">
      <c r="A380" s="1">
        <v>612</v>
      </c>
      <c r="B380" t="str" cm="1">
        <f t="array" ref="B380">IFERROR(SUBSTITUTE(INDEX(TechType[[#All],[TechTypeID]],$A380),":","__"),"")</f>
        <v/>
      </c>
    </row>
    <row r="381" spans="1:2" hidden="1" x14ac:dyDescent="0.25">
      <c r="A381" s="1">
        <v>613</v>
      </c>
      <c r="B381" t="str" cm="1">
        <f t="array" ref="B381">IFERROR(SUBSTITUTE(INDEX(TechType[[#All],[TechTypeID]],$A381),":","__"),"")</f>
        <v/>
      </c>
    </row>
    <row r="382" spans="1:2" hidden="1" x14ac:dyDescent="0.25">
      <c r="A382" s="1">
        <v>614</v>
      </c>
      <c r="B382" t="str" cm="1">
        <f t="array" ref="B382">IFERROR(SUBSTITUTE(INDEX(TechType[[#All],[TechTypeID]],$A382),":","__"),"")</f>
        <v/>
      </c>
    </row>
    <row r="383" spans="1:2" hidden="1" x14ac:dyDescent="0.25">
      <c r="A383" s="1">
        <v>615</v>
      </c>
      <c r="B383" t="str" cm="1">
        <f t="array" ref="B383">IFERROR(SUBSTITUTE(INDEX(TechType[[#All],[TechTypeID]],$A383),":","__"),"")</f>
        <v/>
      </c>
    </row>
    <row r="384" spans="1:2" hidden="1" x14ac:dyDescent="0.25">
      <c r="A384" s="1">
        <v>616</v>
      </c>
      <c r="B384" t="str" cm="1">
        <f t="array" ref="B384">IFERROR(SUBSTITUTE(INDEX(TechType[[#All],[TechTypeID]],$A384),":","__"),"")</f>
        <v/>
      </c>
    </row>
    <row r="385" spans="1:2" hidden="1" x14ac:dyDescent="0.25">
      <c r="A385" s="1">
        <v>617</v>
      </c>
      <c r="B385" t="str" cm="1">
        <f t="array" ref="B385">IFERROR(SUBSTITUTE(INDEX(TechType[[#All],[TechTypeID]],$A385),":","__"),"")</f>
        <v/>
      </c>
    </row>
    <row r="386" spans="1:2" hidden="1" x14ac:dyDescent="0.25">
      <c r="A386" s="1">
        <v>618</v>
      </c>
      <c r="B386" t="str" cm="1">
        <f t="array" ref="B386">IFERROR(SUBSTITUTE(INDEX(TechType[[#All],[TechTypeID]],$A386),":","__"),"")</f>
        <v/>
      </c>
    </row>
    <row r="387" spans="1:2" hidden="1" x14ac:dyDescent="0.25">
      <c r="A387" s="1">
        <v>619</v>
      </c>
      <c r="B387" t="str" cm="1">
        <f t="array" ref="B387">IFERROR(SUBSTITUTE(INDEX(TechType[[#All],[TechTypeID]],$A387),":","__"),"")</f>
        <v/>
      </c>
    </row>
    <row r="388" spans="1:2" hidden="1" x14ac:dyDescent="0.25">
      <c r="A388" s="1">
        <v>620</v>
      </c>
      <c r="B388" t="str" cm="1">
        <f t="array" ref="B388">IFERROR(SUBSTITUTE(INDEX(TechType[[#All],[TechTypeID]],$A388),":","__"),"")</f>
        <v/>
      </c>
    </row>
    <row r="389" spans="1:2" hidden="1" x14ac:dyDescent="0.25">
      <c r="A389" s="1">
        <v>621</v>
      </c>
      <c r="B389" t="str" cm="1">
        <f t="array" ref="B389">IFERROR(SUBSTITUTE(INDEX(TechType[[#All],[TechTypeID]],$A389),":","__"),"")</f>
        <v/>
      </c>
    </row>
    <row r="390" spans="1:2" hidden="1" x14ac:dyDescent="0.25">
      <c r="A390" s="1">
        <v>622</v>
      </c>
      <c r="B390" t="str" cm="1">
        <f t="array" ref="B390">IFERROR(SUBSTITUTE(INDEX(TechType[[#All],[TechTypeID]],$A390),":","__"),"")</f>
        <v/>
      </c>
    </row>
    <row r="391" spans="1:2" hidden="1" x14ac:dyDescent="0.25">
      <c r="A391" s="1">
        <v>623</v>
      </c>
      <c r="B391" t="str" cm="1">
        <f t="array" ref="B391">IFERROR(SUBSTITUTE(INDEX(TechType[[#All],[TechTypeID]],$A391),":","__"),"")</f>
        <v/>
      </c>
    </row>
    <row r="392" spans="1:2" hidden="1" x14ac:dyDescent="0.25">
      <c r="A392" s="1">
        <v>624</v>
      </c>
      <c r="B392" t="str" cm="1">
        <f t="array" ref="B392">IFERROR(SUBSTITUTE(INDEX(TechType[[#All],[TechTypeID]],$A392),":","__"),"")</f>
        <v/>
      </c>
    </row>
    <row r="393" spans="1:2" hidden="1" x14ac:dyDescent="0.25">
      <c r="A393" s="1">
        <v>625</v>
      </c>
      <c r="B393" t="str" cm="1">
        <f t="array" ref="B393">IFERROR(SUBSTITUTE(INDEX(TechType[[#All],[TechTypeID]],$A393),":","__"),"")</f>
        <v/>
      </c>
    </row>
    <row r="394" spans="1:2" hidden="1" x14ac:dyDescent="0.25">
      <c r="A394" s="1">
        <v>626</v>
      </c>
      <c r="B394" t="str" cm="1">
        <f t="array" ref="B394">IFERROR(SUBSTITUTE(INDEX(TechType[[#All],[TechTypeID]],$A394),":","__"),"")</f>
        <v/>
      </c>
    </row>
    <row r="395" spans="1:2" hidden="1" x14ac:dyDescent="0.25">
      <c r="A395" s="1">
        <v>627</v>
      </c>
      <c r="B395" t="str" cm="1">
        <f t="array" ref="B395">IFERROR(SUBSTITUTE(INDEX(TechType[[#All],[TechTypeID]],$A395),":","__"),"")</f>
        <v/>
      </c>
    </row>
    <row r="396" spans="1:2" hidden="1" x14ac:dyDescent="0.25">
      <c r="A396" s="1">
        <v>628</v>
      </c>
      <c r="B396" t="str" cm="1">
        <f t="array" ref="B396">IFERROR(SUBSTITUTE(INDEX(TechType[[#All],[TechTypeID]],$A396),":","__"),"")</f>
        <v/>
      </c>
    </row>
    <row r="397" spans="1:2" hidden="1" x14ac:dyDescent="0.25">
      <c r="A397" s="1">
        <v>629</v>
      </c>
      <c r="B397" t="str" cm="1">
        <f t="array" ref="B397">IFERROR(SUBSTITUTE(INDEX(TechType[[#All],[TechTypeID]],$A397),":","__"),"")</f>
        <v/>
      </c>
    </row>
    <row r="398" spans="1:2" hidden="1" x14ac:dyDescent="0.25">
      <c r="A398" s="1">
        <v>630</v>
      </c>
      <c r="B398" t="str" cm="1">
        <f t="array" ref="B398">IFERROR(SUBSTITUTE(INDEX(TechType[[#All],[TechTypeID]],$A398),":","__"),"")</f>
        <v/>
      </c>
    </row>
    <row r="399" spans="1:2" hidden="1" x14ac:dyDescent="0.25">
      <c r="A399" s="1">
        <v>631</v>
      </c>
      <c r="B399" t="str" cm="1">
        <f t="array" ref="B399">IFERROR(SUBSTITUTE(INDEX(TechType[[#All],[TechTypeID]],$A399),":","__"),"")</f>
        <v/>
      </c>
    </row>
    <row r="400" spans="1:2" hidden="1" x14ac:dyDescent="0.25">
      <c r="A400" s="1">
        <v>632</v>
      </c>
      <c r="B400" t="str" cm="1">
        <f t="array" ref="B400">IFERROR(SUBSTITUTE(INDEX(TechType[[#All],[TechTypeID]],$A400),":","__"),"")</f>
        <v/>
      </c>
    </row>
    <row r="401" spans="1:2" hidden="1" x14ac:dyDescent="0.25">
      <c r="A401" s="1">
        <v>633</v>
      </c>
      <c r="B401" t="str" cm="1">
        <f t="array" ref="B401">IFERROR(SUBSTITUTE(INDEX(TechType[[#All],[TechTypeID]],$A401),":","__"),"")</f>
        <v/>
      </c>
    </row>
    <row r="402" spans="1:2" hidden="1" x14ac:dyDescent="0.25">
      <c r="A402" s="1">
        <v>634</v>
      </c>
      <c r="B402" t="str" cm="1">
        <f t="array" ref="B402">IFERROR(SUBSTITUTE(INDEX(TechType[[#All],[TechTypeID]],$A402),":","__"),"")</f>
        <v/>
      </c>
    </row>
    <row r="403" spans="1:2" hidden="1" x14ac:dyDescent="0.25">
      <c r="A403" s="1">
        <v>635</v>
      </c>
      <c r="B403" t="str" cm="1">
        <f t="array" ref="B403">IFERROR(SUBSTITUTE(INDEX(TechType[[#All],[TechTypeID]],$A403),":","__"),"")</f>
        <v/>
      </c>
    </row>
    <row r="404" spans="1:2" hidden="1" x14ac:dyDescent="0.25">
      <c r="A404" s="1">
        <v>636</v>
      </c>
      <c r="B404" t="str" cm="1">
        <f t="array" ref="B404">IFERROR(SUBSTITUTE(INDEX(TechType[[#All],[TechTypeID]],$A404),":","__"),"")</f>
        <v/>
      </c>
    </row>
    <row r="405" spans="1:2" hidden="1" x14ac:dyDescent="0.25">
      <c r="A405" s="1">
        <v>637</v>
      </c>
      <c r="B405" t="str" cm="1">
        <f t="array" ref="B405">IFERROR(SUBSTITUTE(INDEX(TechType[[#All],[TechTypeID]],$A405),":","__"),"")</f>
        <v/>
      </c>
    </row>
    <row r="406" spans="1:2" hidden="1" x14ac:dyDescent="0.25">
      <c r="A406" s="1">
        <v>638</v>
      </c>
      <c r="B406" t="str" cm="1">
        <f t="array" ref="B406">IFERROR(SUBSTITUTE(INDEX(TechType[[#All],[TechTypeID]],$A406),":","__"),"")</f>
        <v/>
      </c>
    </row>
    <row r="407" spans="1:2" hidden="1" x14ac:dyDescent="0.25">
      <c r="A407" s="1">
        <v>639</v>
      </c>
      <c r="B407" t="str" cm="1">
        <f t="array" ref="B407">IFERROR(SUBSTITUTE(INDEX(TechType[[#All],[TechTypeID]],$A407),":","__"),"")</f>
        <v/>
      </c>
    </row>
    <row r="408" spans="1:2" hidden="1" x14ac:dyDescent="0.25">
      <c r="A408" s="1">
        <v>640</v>
      </c>
      <c r="B408" t="str" cm="1">
        <f t="array" ref="B408">IFERROR(SUBSTITUTE(INDEX(TechType[[#All],[TechTypeID]],$A408),":","__"),"")</f>
        <v/>
      </c>
    </row>
    <row r="409" spans="1:2" hidden="1" x14ac:dyDescent="0.25">
      <c r="A409" s="1">
        <v>641</v>
      </c>
      <c r="B409" t="str" cm="1">
        <f t="array" ref="B409">IFERROR(SUBSTITUTE(INDEX(TechType[[#All],[TechTypeID]],$A409),":","__"),"")</f>
        <v/>
      </c>
    </row>
    <row r="410" spans="1:2" hidden="1" x14ac:dyDescent="0.25">
      <c r="A410" s="1">
        <v>642</v>
      </c>
      <c r="B410" t="str" cm="1">
        <f t="array" ref="B410">IFERROR(SUBSTITUTE(INDEX(TechType[[#All],[TechTypeID]],$A410),":","__"),"")</f>
        <v/>
      </c>
    </row>
    <row r="411" spans="1:2" hidden="1" x14ac:dyDescent="0.25">
      <c r="A411" s="1">
        <v>643</v>
      </c>
      <c r="B411" t="str" cm="1">
        <f t="array" ref="B411">IFERROR(SUBSTITUTE(INDEX(TechType[[#All],[TechTypeID]],$A411),":","__"),"")</f>
        <v/>
      </c>
    </row>
    <row r="412" spans="1:2" hidden="1" x14ac:dyDescent="0.25">
      <c r="A412" s="1">
        <v>644</v>
      </c>
      <c r="B412" t="str" cm="1">
        <f t="array" ref="B412">IFERROR(SUBSTITUTE(INDEX(TechType[[#All],[TechTypeID]],$A412),":","__"),"")</f>
        <v/>
      </c>
    </row>
    <row r="413" spans="1:2" hidden="1" x14ac:dyDescent="0.25">
      <c r="A413" s="1">
        <v>645</v>
      </c>
      <c r="B413" t="str" cm="1">
        <f t="array" ref="B413">IFERROR(SUBSTITUTE(INDEX(TechType[[#All],[TechTypeID]],$A413),":","__"),"")</f>
        <v/>
      </c>
    </row>
    <row r="414" spans="1:2" hidden="1" x14ac:dyDescent="0.25">
      <c r="A414" s="1">
        <v>646</v>
      </c>
      <c r="B414" t="str" cm="1">
        <f t="array" ref="B414">IFERROR(SUBSTITUTE(INDEX(TechType[[#All],[TechTypeID]],$A414),":","__"),"")</f>
        <v/>
      </c>
    </row>
    <row r="415" spans="1:2" hidden="1" x14ac:dyDescent="0.25">
      <c r="A415" s="1">
        <v>647</v>
      </c>
      <c r="B415" t="str" cm="1">
        <f t="array" ref="B415">IFERROR(SUBSTITUTE(INDEX(TechType[[#All],[TechTypeID]],$A415),":","__"),"")</f>
        <v/>
      </c>
    </row>
    <row r="416" spans="1:2" hidden="1" x14ac:dyDescent="0.25">
      <c r="A416" s="1">
        <v>648</v>
      </c>
      <c r="B416" t="str" cm="1">
        <f t="array" ref="B416">IFERROR(SUBSTITUTE(INDEX(TechType[[#All],[TechTypeID]],$A416),":","__"),"")</f>
        <v/>
      </c>
    </row>
    <row r="417" spans="1:2" hidden="1" x14ac:dyDescent="0.25">
      <c r="A417" s="1">
        <v>649</v>
      </c>
      <c r="B417" t="str" cm="1">
        <f t="array" ref="B417">IFERROR(SUBSTITUTE(INDEX(TechType[[#All],[TechTypeID]],$A417),":","__"),"")</f>
        <v/>
      </c>
    </row>
    <row r="418" spans="1:2" hidden="1" x14ac:dyDescent="0.25">
      <c r="A418" s="1">
        <v>650</v>
      </c>
      <c r="B418" t="str" cm="1">
        <f t="array" ref="B418">IFERROR(SUBSTITUTE(INDEX(TechType[[#All],[TechTypeID]],$A418),":","__"),"")</f>
        <v/>
      </c>
    </row>
    <row r="419" spans="1:2" hidden="1" x14ac:dyDescent="0.25">
      <c r="A419" s="1">
        <v>651</v>
      </c>
      <c r="B419" t="str" cm="1">
        <f t="array" ref="B419">IFERROR(SUBSTITUTE(INDEX(TechType[[#All],[TechTypeID]],$A419),":","__"),"")</f>
        <v/>
      </c>
    </row>
    <row r="420" spans="1:2" hidden="1" x14ac:dyDescent="0.25">
      <c r="A420" s="1">
        <v>652</v>
      </c>
      <c r="B420" t="str" cm="1">
        <f t="array" ref="B420">IFERROR(SUBSTITUTE(INDEX(TechType[[#All],[TechTypeID]],$A420),":","__"),"")</f>
        <v/>
      </c>
    </row>
    <row r="421" spans="1:2" hidden="1" x14ac:dyDescent="0.25">
      <c r="A421" s="1">
        <v>653</v>
      </c>
      <c r="B421" t="str" cm="1">
        <f t="array" ref="B421">IFERROR(SUBSTITUTE(INDEX(TechType[[#All],[TechTypeID]],$A421),":","__"),"")</f>
        <v/>
      </c>
    </row>
    <row r="422" spans="1:2" hidden="1" x14ac:dyDescent="0.25">
      <c r="A422" s="1">
        <v>654</v>
      </c>
      <c r="B422" t="str" cm="1">
        <f t="array" ref="B422">IFERROR(SUBSTITUTE(INDEX(TechType[[#All],[TechTypeID]],$A422),":","__"),"")</f>
        <v/>
      </c>
    </row>
    <row r="423" spans="1:2" hidden="1" x14ac:dyDescent="0.25">
      <c r="A423" s="1">
        <v>655</v>
      </c>
      <c r="B423" t="str" cm="1">
        <f t="array" ref="B423">IFERROR(SUBSTITUTE(INDEX(TechType[[#All],[TechTypeID]],$A423),":","__"),"")</f>
        <v/>
      </c>
    </row>
    <row r="424" spans="1:2" hidden="1" x14ac:dyDescent="0.25">
      <c r="A424" s="1">
        <v>656</v>
      </c>
      <c r="B424" t="str" cm="1">
        <f t="array" ref="B424">IFERROR(SUBSTITUTE(INDEX(TechType[[#All],[TechTypeID]],$A424),":","__"),"")</f>
        <v/>
      </c>
    </row>
    <row r="425" spans="1:2" hidden="1" x14ac:dyDescent="0.25">
      <c r="A425" s="1">
        <v>657</v>
      </c>
      <c r="B425" t="str" cm="1">
        <f t="array" ref="B425">IFERROR(SUBSTITUTE(INDEX(TechType[[#All],[TechTypeID]],$A425),":","__"),"")</f>
        <v/>
      </c>
    </row>
    <row r="426" spans="1:2" hidden="1" x14ac:dyDescent="0.25">
      <c r="A426" s="1">
        <v>658</v>
      </c>
      <c r="B426" t="str" cm="1">
        <f t="array" ref="B426">IFERROR(SUBSTITUTE(INDEX(TechType[[#All],[TechTypeID]],$A426),":","__"),"")</f>
        <v/>
      </c>
    </row>
    <row r="427" spans="1:2" hidden="1" x14ac:dyDescent="0.25">
      <c r="A427" s="1">
        <v>659</v>
      </c>
      <c r="B427" t="str" cm="1">
        <f t="array" ref="B427">IFERROR(SUBSTITUTE(INDEX(TechType[[#All],[TechTypeID]],$A427),":","__"),"")</f>
        <v/>
      </c>
    </row>
    <row r="428" spans="1:2" hidden="1" x14ac:dyDescent="0.25">
      <c r="A428" s="1">
        <v>660</v>
      </c>
      <c r="B428" t="str" cm="1">
        <f t="array" ref="B428">IFERROR(SUBSTITUTE(INDEX(TechType[[#All],[TechTypeID]],$A428),":","__"),"")</f>
        <v/>
      </c>
    </row>
    <row r="429" spans="1:2" hidden="1" x14ac:dyDescent="0.25">
      <c r="A429" s="1">
        <v>661</v>
      </c>
      <c r="B429" t="str" cm="1">
        <f t="array" ref="B429">IFERROR(SUBSTITUTE(INDEX(TechType[[#All],[TechTypeID]],$A429),":","__"),"")</f>
        <v/>
      </c>
    </row>
    <row r="430" spans="1:2" hidden="1" x14ac:dyDescent="0.25">
      <c r="A430" s="1">
        <v>662</v>
      </c>
      <c r="B430" t="str" cm="1">
        <f t="array" ref="B430">IFERROR(SUBSTITUTE(INDEX(TechType[[#All],[TechTypeID]],$A430),":","__"),"")</f>
        <v/>
      </c>
    </row>
    <row r="431" spans="1:2" hidden="1" x14ac:dyDescent="0.25">
      <c r="A431" s="1">
        <v>663</v>
      </c>
      <c r="B431" t="str" cm="1">
        <f t="array" ref="B431">IFERROR(SUBSTITUTE(INDEX(TechType[[#All],[TechTypeID]],$A431),":","__"),"")</f>
        <v/>
      </c>
    </row>
    <row r="432" spans="1:2" hidden="1" x14ac:dyDescent="0.25">
      <c r="A432" s="1">
        <v>664</v>
      </c>
      <c r="B432" t="str" cm="1">
        <f t="array" ref="B432">IFERROR(SUBSTITUTE(INDEX(TechType[[#All],[TechTypeID]],$A432),":","__"),"")</f>
        <v/>
      </c>
    </row>
    <row r="433" spans="1:2" hidden="1" x14ac:dyDescent="0.25">
      <c r="A433" s="1">
        <v>665</v>
      </c>
      <c r="B433" t="str" cm="1">
        <f t="array" ref="B433">IFERROR(SUBSTITUTE(INDEX(TechType[[#All],[TechTypeID]],$A433),":","__"),"")</f>
        <v/>
      </c>
    </row>
    <row r="434" spans="1:2" hidden="1" x14ac:dyDescent="0.25">
      <c r="A434" s="1">
        <v>666</v>
      </c>
      <c r="B434" t="str" cm="1">
        <f t="array" ref="B434">IFERROR(SUBSTITUTE(INDEX(TechType[[#All],[TechTypeID]],$A434),":","__"),"")</f>
        <v/>
      </c>
    </row>
    <row r="435" spans="1:2" hidden="1" x14ac:dyDescent="0.25">
      <c r="A435" s="1">
        <v>667</v>
      </c>
      <c r="B435" t="str" cm="1">
        <f t="array" ref="B435">IFERROR(SUBSTITUTE(INDEX(TechType[[#All],[TechTypeID]],$A435),":","__"),"")</f>
        <v/>
      </c>
    </row>
    <row r="436" spans="1:2" hidden="1" x14ac:dyDescent="0.25">
      <c r="A436" s="1">
        <v>668</v>
      </c>
      <c r="B436" t="str" cm="1">
        <f t="array" ref="B436">IFERROR(SUBSTITUTE(INDEX(TechType[[#All],[TechTypeID]],$A436),":","__"),"")</f>
        <v/>
      </c>
    </row>
    <row r="437" spans="1:2" hidden="1" x14ac:dyDescent="0.25">
      <c r="A437" s="1">
        <v>669</v>
      </c>
      <c r="B437" t="str" cm="1">
        <f t="array" ref="B437">IFERROR(SUBSTITUTE(INDEX(TechType[[#All],[TechTypeID]],$A437),":","__"),"")</f>
        <v/>
      </c>
    </row>
    <row r="438" spans="1:2" hidden="1" x14ac:dyDescent="0.25">
      <c r="A438" s="1">
        <v>670</v>
      </c>
      <c r="B438" t="str" cm="1">
        <f t="array" ref="B438">IFERROR(SUBSTITUTE(INDEX(TechType[[#All],[TechTypeID]],$A438),":","__"),"")</f>
        <v/>
      </c>
    </row>
    <row r="439" spans="1:2" hidden="1" x14ac:dyDescent="0.25">
      <c r="A439" s="1">
        <v>671</v>
      </c>
      <c r="B439" t="str" cm="1">
        <f t="array" ref="B439">IFERROR(SUBSTITUTE(INDEX(TechType[[#All],[TechTypeID]],$A439),":","__"),"")</f>
        <v/>
      </c>
    </row>
    <row r="440" spans="1:2" hidden="1" x14ac:dyDescent="0.25">
      <c r="A440" s="1">
        <v>672</v>
      </c>
      <c r="B440" t="str" cm="1">
        <f t="array" ref="B440">IFERROR(SUBSTITUTE(INDEX(TechType[[#All],[TechTypeID]],$A440),":","__"),"")</f>
        <v/>
      </c>
    </row>
    <row r="441" spans="1:2" hidden="1" x14ac:dyDescent="0.25">
      <c r="A441" s="1">
        <v>673</v>
      </c>
      <c r="B441" t="str" cm="1">
        <f t="array" ref="B441">IFERROR(SUBSTITUTE(INDEX(TechType[[#All],[TechTypeID]],$A441),":","__"),"")</f>
        <v/>
      </c>
    </row>
    <row r="442" spans="1:2" hidden="1" x14ac:dyDescent="0.25">
      <c r="A442" s="1">
        <v>674</v>
      </c>
      <c r="B442" t="str" cm="1">
        <f t="array" ref="B442">IFERROR(SUBSTITUTE(INDEX(TechType[[#All],[TechTypeID]],$A442),":","__"),"")</f>
        <v/>
      </c>
    </row>
    <row r="443" spans="1:2" hidden="1" x14ac:dyDescent="0.25">
      <c r="A443" s="1">
        <v>675</v>
      </c>
      <c r="B443" t="str" cm="1">
        <f t="array" ref="B443">IFERROR(SUBSTITUTE(INDEX(TechType[[#All],[TechTypeID]],$A443),":","__"),"")</f>
        <v/>
      </c>
    </row>
    <row r="444" spans="1:2" hidden="1" x14ac:dyDescent="0.25">
      <c r="A444" s="1">
        <v>676</v>
      </c>
      <c r="B444" t="str" cm="1">
        <f t="array" ref="B444">IFERROR(SUBSTITUTE(INDEX(TechType[[#All],[TechTypeID]],$A444),":","__"),"")</f>
        <v/>
      </c>
    </row>
    <row r="445" spans="1:2" hidden="1" x14ac:dyDescent="0.25">
      <c r="A445" s="1">
        <v>677</v>
      </c>
      <c r="B445" t="str" cm="1">
        <f t="array" ref="B445">IFERROR(SUBSTITUTE(INDEX(TechType[[#All],[TechTypeID]],$A445),":","__"),"")</f>
        <v/>
      </c>
    </row>
    <row r="446" spans="1:2" hidden="1" x14ac:dyDescent="0.25">
      <c r="A446" s="1">
        <v>678</v>
      </c>
      <c r="B446" t="str" cm="1">
        <f t="array" ref="B446">IFERROR(SUBSTITUTE(INDEX(TechType[[#All],[TechTypeID]],$A446),":","__"),"")</f>
        <v/>
      </c>
    </row>
    <row r="447" spans="1:2" hidden="1" x14ac:dyDescent="0.25">
      <c r="A447" s="1">
        <v>679</v>
      </c>
      <c r="B447" t="str" cm="1">
        <f t="array" ref="B447">IFERROR(SUBSTITUTE(INDEX(TechType[[#All],[TechTypeID]],$A447),":","__"),"")</f>
        <v/>
      </c>
    </row>
    <row r="448" spans="1:2" hidden="1" x14ac:dyDescent="0.25">
      <c r="A448" s="1">
        <v>680</v>
      </c>
      <c r="B448" t="str" cm="1">
        <f t="array" ref="B448">IFERROR(SUBSTITUTE(INDEX(TechType[[#All],[TechTypeID]],$A448),":","__"),"")</f>
        <v/>
      </c>
    </row>
    <row r="449" spans="1:2" hidden="1" x14ac:dyDescent="0.25">
      <c r="A449" s="1">
        <v>681</v>
      </c>
      <c r="B449" t="str" cm="1">
        <f t="array" ref="B449">IFERROR(SUBSTITUTE(INDEX(TechType[[#All],[TechTypeID]],$A449),":","__"),"")</f>
        <v/>
      </c>
    </row>
    <row r="450" spans="1:2" hidden="1" x14ac:dyDescent="0.25">
      <c r="A450" s="1">
        <v>682</v>
      </c>
      <c r="B450" t="str" cm="1">
        <f t="array" ref="B450">IFERROR(SUBSTITUTE(INDEX(TechType[[#All],[TechTypeID]],$A450),":","__"),"")</f>
        <v/>
      </c>
    </row>
    <row r="451" spans="1:2" hidden="1" x14ac:dyDescent="0.25">
      <c r="A451" s="1">
        <v>683</v>
      </c>
      <c r="B451" t="str" cm="1">
        <f t="array" ref="B451">IFERROR(SUBSTITUTE(INDEX(TechType[[#All],[TechTypeID]],$A451),":","__"),"")</f>
        <v/>
      </c>
    </row>
    <row r="452" spans="1:2" hidden="1" x14ac:dyDescent="0.25">
      <c r="A452" s="1">
        <v>684</v>
      </c>
      <c r="B452" t="str" cm="1">
        <f t="array" ref="B452">IFERROR(SUBSTITUTE(INDEX(TechType[[#All],[TechTypeID]],$A452),":","__"),"")</f>
        <v/>
      </c>
    </row>
    <row r="453" spans="1:2" hidden="1" x14ac:dyDescent="0.25">
      <c r="A453" s="1">
        <v>685</v>
      </c>
      <c r="B453" t="str" cm="1">
        <f t="array" ref="B453">IFERROR(SUBSTITUTE(INDEX(TechType[[#All],[TechTypeID]],$A453),":","__"),"")</f>
        <v/>
      </c>
    </row>
    <row r="454" spans="1:2" hidden="1" x14ac:dyDescent="0.25">
      <c r="A454" s="1">
        <v>686</v>
      </c>
      <c r="B454" t="str" cm="1">
        <f t="array" ref="B454">IFERROR(SUBSTITUTE(INDEX(TechType[[#All],[TechTypeID]],$A454),":","__"),"")</f>
        <v/>
      </c>
    </row>
    <row r="455" spans="1:2" hidden="1" x14ac:dyDescent="0.25">
      <c r="A455" s="1">
        <v>687</v>
      </c>
      <c r="B455" t="str" cm="1">
        <f t="array" ref="B455">IFERROR(SUBSTITUTE(INDEX(TechType[[#All],[TechTypeID]],$A455),":","__"),"")</f>
        <v/>
      </c>
    </row>
    <row r="456" spans="1:2" hidden="1" x14ac:dyDescent="0.25">
      <c r="A456" s="1">
        <v>688</v>
      </c>
      <c r="B456" t="str" cm="1">
        <f t="array" ref="B456">IFERROR(SUBSTITUTE(INDEX(TechType[[#All],[TechTypeID]],$A456),":","__"),"")</f>
        <v/>
      </c>
    </row>
    <row r="457" spans="1:2" hidden="1" x14ac:dyDescent="0.25">
      <c r="A457" s="1">
        <v>689</v>
      </c>
      <c r="B457" t="str" cm="1">
        <f t="array" ref="B457">IFERROR(SUBSTITUTE(INDEX(TechType[[#All],[TechTypeID]],$A457),":","__"),"")</f>
        <v/>
      </c>
    </row>
    <row r="458" spans="1:2" hidden="1" x14ac:dyDescent="0.25">
      <c r="A458" s="1">
        <v>690</v>
      </c>
      <c r="B458" t="str" cm="1">
        <f t="array" ref="B458">IFERROR(SUBSTITUTE(INDEX(TechType[[#All],[TechTypeID]],$A458),":","__"),"")</f>
        <v/>
      </c>
    </row>
    <row r="459" spans="1:2" hidden="1" x14ac:dyDescent="0.25">
      <c r="A459" s="1">
        <v>691</v>
      </c>
      <c r="B459" t="str" cm="1">
        <f t="array" ref="B459">IFERROR(SUBSTITUTE(INDEX(TechType[[#All],[TechTypeID]],$A459),":","__"),"")</f>
        <v/>
      </c>
    </row>
    <row r="460" spans="1:2" hidden="1" x14ac:dyDescent="0.25">
      <c r="A460" s="1">
        <v>692</v>
      </c>
      <c r="B460" t="str" cm="1">
        <f t="array" ref="B460">IFERROR(SUBSTITUTE(INDEX(TechType[[#All],[TechTypeID]],$A460),":","__"),"")</f>
        <v/>
      </c>
    </row>
    <row r="461" spans="1:2" hidden="1" x14ac:dyDescent="0.25">
      <c r="A461" s="1">
        <v>693</v>
      </c>
      <c r="B461" t="str" cm="1">
        <f t="array" ref="B461">IFERROR(SUBSTITUTE(INDEX(TechType[[#All],[TechTypeID]],$A461),":","__"),"")</f>
        <v/>
      </c>
    </row>
    <row r="462" spans="1:2" hidden="1" x14ac:dyDescent="0.25">
      <c r="A462" s="1">
        <v>694</v>
      </c>
      <c r="B462" t="str" cm="1">
        <f t="array" ref="B462">IFERROR(SUBSTITUTE(INDEX(TechType[[#All],[TechTypeID]],$A462),":","__"),"")</f>
        <v/>
      </c>
    </row>
    <row r="463" spans="1:2" hidden="1" x14ac:dyDescent="0.25">
      <c r="A463" s="1">
        <v>695</v>
      </c>
      <c r="B463" t="str" cm="1">
        <f t="array" ref="B463">IFERROR(SUBSTITUTE(INDEX(TechType[[#All],[TechTypeID]],$A463),":","__"),"")</f>
        <v/>
      </c>
    </row>
    <row r="464" spans="1:2" hidden="1" x14ac:dyDescent="0.25">
      <c r="A464" s="1">
        <v>696</v>
      </c>
      <c r="B464" t="str" cm="1">
        <f t="array" ref="B464">IFERROR(SUBSTITUTE(INDEX(TechType[[#All],[TechTypeID]],$A464),":","__"),"")</f>
        <v/>
      </c>
    </row>
    <row r="465" spans="1:2" hidden="1" x14ac:dyDescent="0.25">
      <c r="A465" s="1">
        <v>697</v>
      </c>
      <c r="B465" t="str" cm="1">
        <f t="array" ref="B465">IFERROR(SUBSTITUTE(INDEX(TechType[[#All],[TechTypeID]],$A465),":","__"),"")</f>
        <v/>
      </c>
    </row>
    <row r="466" spans="1:2" hidden="1" x14ac:dyDescent="0.25">
      <c r="A466" s="1">
        <v>698</v>
      </c>
      <c r="B466" t="str" cm="1">
        <f t="array" ref="B466">IFERROR(SUBSTITUTE(INDEX(TechType[[#All],[TechTypeID]],$A466),":","__"),"")</f>
        <v/>
      </c>
    </row>
    <row r="467" spans="1:2" hidden="1" x14ac:dyDescent="0.25">
      <c r="A467" s="1">
        <v>699</v>
      </c>
      <c r="B467" t="str" cm="1">
        <f t="array" ref="B467">IFERROR(SUBSTITUTE(INDEX(TechType[[#All],[TechTypeID]],$A467),":","__"),"")</f>
        <v/>
      </c>
    </row>
    <row r="468" spans="1:2" hidden="1" x14ac:dyDescent="0.25">
      <c r="A468" s="1">
        <v>700</v>
      </c>
      <c r="B468" t="str" cm="1">
        <f t="array" ref="B468">IFERROR(SUBSTITUTE(INDEX(TechType[[#All],[TechTypeID]],$A468),":","__"),"")</f>
        <v/>
      </c>
    </row>
    <row r="469" spans="1:2" hidden="1" x14ac:dyDescent="0.25">
      <c r="A469" s="1">
        <v>701</v>
      </c>
      <c r="B469" t="str" cm="1">
        <f t="array" ref="B469">IFERROR(SUBSTITUTE(INDEX(TechType[[#All],[TechTypeID]],$A469),":","__"),"")</f>
        <v/>
      </c>
    </row>
    <row r="470" spans="1:2" hidden="1" x14ac:dyDescent="0.25">
      <c r="A470" s="1">
        <v>702</v>
      </c>
      <c r="B470" t="str" cm="1">
        <f t="array" ref="B470">IFERROR(SUBSTITUTE(INDEX(TechType[[#All],[TechTypeID]],$A470),":","__"),"")</f>
        <v/>
      </c>
    </row>
    <row r="471" spans="1:2" hidden="1" x14ac:dyDescent="0.25">
      <c r="A471" s="1">
        <v>703</v>
      </c>
      <c r="B471" t="str" cm="1">
        <f t="array" ref="B471">IFERROR(SUBSTITUTE(INDEX(TechType[[#All],[TechTypeID]],$A471),":","__"),"")</f>
        <v/>
      </c>
    </row>
    <row r="472" spans="1:2" hidden="1" x14ac:dyDescent="0.25">
      <c r="A472" s="1">
        <v>704</v>
      </c>
      <c r="B472" t="str" cm="1">
        <f t="array" ref="B472">IFERROR(SUBSTITUTE(INDEX(TechType[[#All],[TechTypeID]],$A472),":","__"),"")</f>
        <v/>
      </c>
    </row>
    <row r="473" spans="1:2" hidden="1" x14ac:dyDescent="0.25">
      <c r="A473" s="1">
        <v>705</v>
      </c>
      <c r="B473" t="str" cm="1">
        <f t="array" ref="B473">IFERROR(SUBSTITUTE(INDEX(TechType[[#All],[TechTypeID]],$A473),":","__"),"")</f>
        <v/>
      </c>
    </row>
    <row r="474" spans="1:2" hidden="1" x14ac:dyDescent="0.25">
      <c r="A474" s="1">
        <v>706</v>
      </c>
      <c r="B474" t="str" cm="1">
        <f t="array" ref="B474">IFERROR(SUBSTITUTE(INDEX(TechType[[#All],[TechTypeID]],$A474),":","__"),"")</f>
        <v/>
      </c>
    </row>
    <row r="475" spans="1:2" hidden="1" x14ac:dyDescent="0.25">
      <c r="A475" s="1">
        <v>707</v>
      </c>
      <c r="B475" t="str" cm="1">
        <f t="array" ref="B475">IFERROR(SUBSTITUTE(INDEX(TechType[[#All],[TechTypeID]],$A475),":","__"),"")</f>
        <v/>
      </c>
    </row>
    <row r="476" spans="1:2" hidden="1" x14ac:dyDescent="0.25">
      <c r="A476" s="1">
        <v>708</v>
      </c>
      <c r="B476" t="str" cm="1">
        <f t="array" ref="B476">IFERROR(SUBSTITUTE(INDEX(TechType[[#All],[TechTypeID]],$A476),":","__"),"")</f>
        <v/>
      </c>
    </row>
    <row r="477" spans="1:2" hidden="1" x14ac:dyDescent="0.25">
      <c r="A477" s="1">
        <v>709</v>
      </c>
      <c r="B477" t="str" cm="1">
        <f t="array" ref="B477">IFERROR(SUBSTITUTE(INDEX(TechType[[#All],[TechTypeID]],$A477),":","__"),"")</f>
        <v/>
      </c>
    </row>
    <row r="478" spans="1:2" hidden="1" x14ac:dyDescent="0.25">
      <c r="A478" s="1">
        <v>710</v>
      </c>
      <c r="B478" t="str" cm="1">
        <f t="array" ref="B478">IFERROR(SUBSTITUTE(INDEX(TechType[[#All],[TechTypeID]],$A478),":","__"),"")</f>
        <v/>
      </c>
    </row>
    <row r="479" spans="1:2" hidden="1" x14ac:dyDescent="0.25">
      <c r="A479" s="1">
        <v>711</v>
      </c>
      <c r="B479" t="str" cm="1">
        <f t="array" ref="B479">IFERROR(SUBSTITUTE(INDEX(TechType[[#All],[TechTypeID]],$A479),":","__"),"")</f>
        <v/>
      </c>
    </row>
    <row r="480" spans="1:2" hidden="1" x14ac:dyDescent="0.25">
      <c r="A480" s="1">
        <v>712</v>
      </c>
      <c r="B480" t="str" cm="1">
        <f t="array" ref="B480">IFERROR(SUBSTITUTE(INDEX(TechType[[#All],[TechTypeID]],$A480),":","__"),"")</f>
        <v/>
      </c>
    </row>
    <row r="481" spans="1:2" hidden="1" x14ac:dyDescent="0.25">
      <c r="A481" s="1">
        <v>713</v>
      </c>
      <c r="B481" t="str" cm="1">
        <f t="array" ref="B481">IFERROR(SUBSTITUTE(INDEX(TechType[[#All],[TechTypeID]],$A481),":","__"),"")</f>
        <v/>
      </c>
    </row>
    <row r="482" spans="1:2" hidden="1" x14ac:dyDescent="0.25">
      <c r="A482" s="1">
        <v>714</v>
      </c>
      <c r="B482" t="str" cm="1">
        <f t="array" ref="B482">IFERROR(SUBSTITUTE(INDEX(TechType[[#All],[TechTypeID]],$A482),":","__"),"")</f>
        <v/>
      </c>
    </row>
    <row r="483" spans="1:2" hidden="1" x14ac:dyDescent="0.25">
      <c r="A483" s="1">
        <v>715</v>
      </c>
      <c r="B483" t="str" cm="1">
        <f t="array" ref="B483">IFERROR(SUBSTITUTE(INDEX(TechType[[#All],[TechTypeID]],$A483),":","__"),"")</f>
        <v/>
      </c>
    </row>
    <row r="484" spans="1:2" hidden="1" x14ac:dyDescent="0.25">
      <c r="A484" s="1">
        <v>716</v>
      </c>
      <c r="B484" t="str" cm="1">
        <f t="array" ref="B484">IFERROR(SUBSTITUTE(INDEX(TechType[[#All],[TechTypeID]],$A484),":","__"),"")</f>
        <v/>
      </c>
    </row>
    <row r="485" spans="1:2" hidden="1" x14ac:dyDescent="0.25">
      <c r="A485" s="1">
        <v>717</v>
      </c>
      <c r="B485" t="str" cm="1">
        <f t="array" ref="B485">IFERROR(SUBSTITUTE(INDEX(TechType[[#All],[TechTypeID]],$A485),":","__"),"")</f>
        <v/>
      </c>
    </row>
    <row r="486" spans="1:2" hidden="1" x14ac:dyDescent="0.25">
      <c r="A486" s="1">
        <v>718</v>
      </c>
      <c r="B486" t="str" cm="1">
        <f t="array" ref="B486">IFERROR(SUBSTITUTE(INDEX(TechType[[#All],[TechTypeID]],$A486),":","__"),"")</f>
        <v/>
      </c>
    </row>
    <row r="487" spans="1:2" hidden="1" x14ac:dyDescent="0.25">
      <c r="A487" s="1">
        <v>719</v>
      </c>
      <c r="B487" t="str" cm="1">
        <f t="array" ref="B487">IFERROR(SUBSTITUTE(INDEX(TechType[[#All],[TechTypeID]],$A487),":","__"),"")</f>
        <v/>
      </c>
    </row>
    <row r="488" spans="1:2" hidden="1" x14ac:dyDescent="0.25">
      <c r="A488" s="1">
        <v>720</v>
      </c>
      <c r="B488" t="str" cm="1">
        <f t="array" ref="B488">IFERROR(SUBSTITUTE(INDEX(TechType[[#All],[TechTypeID]],$A488),":","__"),"")</f>
        <v/>
      </c>
    </row>
    <row r="489" spans="1:2" hidden="1" x14ac:dyDescent="0.25">
      <c r="A489" s="1">
        <v>721</v>
      </c>
      <c r="B489" t="str" cm="1">
        <f t="array" ref="B489">IFERROR(SUBSTITUTE(INDEX(TechType[[#All],[TechTypeID]],$A489),":","__"),"")</f>
        <v/>
      </c>
    </row>
    <row r="490" spans="1:2" hidden="1" x14ac:dyDescent="0.25">
      <c r="A490" s="1">
        <v>722</v>
      </c>
      <c r="B490" t="str" cm="1">
        <f t="array" ref="B490">IFERROR(SUBSTITUTE(INDEX(TechType[[#All],[TechTypeID]],$A490),":","__"),"")</f>
        <v/>
      </c>
    </row>
    <row r="491" spans="1:2" hidden="1" x14ac:dyDescent="0.25">
      <c r="A491" s="1">
        <v>723</v>
      </c>
      <c r="B491" t="str" cm="1">
        <f t="array" ref="B491">IFERROR(SUBSTITUTE(INDEX(TechType[[#All],[TechTypeID]],$A491),":","__"),"")</f>
        <v/>
      </c>
    </row>
    <row r="492" spans="1:2" hidden="1" x14ac:dyDescent="0.25">
      <c r="A492" s="1">
        <v>724</v>
      </c>
      <c r="B492" t="str" cm="1">
        <f t="array" ref="B492">IFERROR(SUBSTITUTE(INDEX(TechType[[#All],[TechTypeID]],$A492),":","__"),"")</f>
        <v/>
      </c>
    </row>
    <row r="493" spans="1:2" hidden="1" x14ac:dyDescent="0.25">
      <c r="A493" s="1">
        <v>725</v>
      </c>
      <c r="B493" t="str" cm="1">
        <f t="array" ref="B493">IFERROR(SUBSTITUTE(INDEX(TechType[[#All],[TechTypeID]],$A493),":","__"),"")</f>
        <v/>
      </c>
    </row>
    <row r="494" spans="1:2" hidden="1" x14ac:dyDescent="0.25">
      <c r="A494" s="1">
        <v>726</v>
      </c>
      <c r="B494" t="str" cm="1">
        <f t="array" ref="B494">IFERROR(SUBSTITUTE(INDEX(TechType[[#All],[TechTypeID]],$A494),":","__"),"")</f>
        <v/>
      </c>
    </row>
    <row r="495" spans="1:2" hidden="1" x14ac:dyDescent="0.25">
      <c r="A495" s="1">
        <v>727</v>
      </c>
      <c r="B495" t="str" cm="1">
        <f t="array" ref="B495">IFERROR(SUBSTITUTE(INDEX(TechType[[#All],[TechTypeID]],$A495),":","__"),"")</f>
        <v/>
      </c>
    </row>
    <row r="496" spans="1:2" hidden="1" x14ac:dyDescent="0.25">
      <c r="A496" s="1">
        <v>728</v>
      </c>
      <c r="B496" t="str" cm="1">
        <f t="array" ref="B496">IFERROR(SUBSTITUTE(INDEX(TechType[[#All],[TechTypeID]],$A496),":","__"),"")</f>
        <v/>
      </c>
    </row>
    <row r="497" spans="1:2" hidden="1" x14ac:dyDescent="0.25">
      <c r="A497" s="1">
        <v>729</v>
      </c>
      <c r="B497" t="str" cm="1">
        <f t="array" ref="B497">IFERROR(SUBSTITUTE(INDEX(TechType[[#All],[TechTypeID]],$A497),":","__"),"")</f>
        <v/>
      </c>
    </row>
    <row r="498" spans="1:2" hidden="1" x14ac:dyDescent="0.25">
      <c r="A498" s="1">
        <v>730</v>
      </c>
      <c r="B498" t="str" cm="1">
        <f t="array" ref="B498">IFERROR(SUBSTITUTE(INDEX(TechType[[#All],[TechTypeID]],$A498),":","__"),"")</f>
        <v/>
      </c>
    </row>
    <row r="499" spans="1:2" hidden="1" x14ac:dyDescent="0.25">
      <c r="A499" s="1">
        <v>731</v>
      </c>
      <c r="B499" t="str" cm="1">
        <f t="array" ref="B499">IFERROR(SUBSTITUTE(INDEX(TechType[[#All],[TechTypeID]],$A499),":","__"),"")</f>
        <v/>
      </c>
    </row>
    <row r="500" spans="1:2" hidden="1" x14ac:dyDescent="0.25">
      <c r="A500" s="1">
        <v>732</v>
      </c>
      <c r="B500" t="str" cm="1">
        <f t="array" ref="B500">IFERROR(SUBSTITUTE(INDEX(TechType[[#All],[TechTypeID]],$A500),":","__"),"")</f>
        <v/>
      </c>
    </row>
    <row r="501" spans="1:2" hidden="1" x14ac:dyDescent="0.25">
      <c r="A501" s="1">
        <v>733</v>
      </c>
      <c r="B501" t="str" cm="1">
        <f t="array" ref="B501">IFERROR(SUBSTITUTE(INDEX(TechType[[#All],[TechTypeID]],$A501),":","__"),"")</f>
        <v/>
      </c>
    </row>
    <row r="502" spans="1:2" hidden="1" x14ac:dyDescent="0.25">
      <c r="A502" s="1">
        <v>734</v>
      </c>
      <c r="B502" t="str" cm="1">
        <f t="array" ref="B502">IFERROR(SUBSTITUTE(INDEX(TechType[[#All],[TechTypeID]],$A502),":","__"),"")</f>
        <v/>
      </c>
    </row>
    <row r="503" spans="1:2" hidden="1" x14ac:dyDescent="0.25">
      <c r="A503" s="1">
        <v>735</v>
      </c>
      <c r="B503" t="str" cm="1">
        <f t="array" ref="B503">IFERROR(SUBSTITUTE(INDEX(TechType[[#All],[TechTypeID]],$A503),":","__"),"")</f>
        <v/>
      </c>
    </row>
    <row r="504" spans="1:2" hidden="1" x14ac:dyDescent="0.25">
      <c r="A504" s="1">
        <v>736</v>
      </c>
      <c r="B504" t="str" cm="1">
        <f t="array" ref="B504">IFERROR(SUBSTITUTE(INDEX(TechType[[#All],[TechTypeID]],$A504),":","__"),"")</f>
        <v/>
      </c>
    </row>
    <row r="505" spans="1:2" hidden="1" x14ac:dyDescent="0.25">
      <c r="A505" s="1">
        <v>737</v>
      </c>
      <c r="B505" t="str" cm="1">
        <f t="array" ref="B505">IFERROR(SUBSTITUTE(INDEX(TechType[[#All],[TechTypeID]],$A505),":","__"),"")</f>
        <v/>
      </c>
    </row>
    <row r="506" spans="1:2" hidden="1" x14ac:dyDescent="0.25">
      <c r="A506" s="1">
        <v>738</v>
      </c>
      <c r="B506" t="str" cm="1">
        <f t="array" ref="B506">IFERROR(SUBSTITUTE(INDEX(TechType[[#All],[TechTypeID]],$A506),":","__"),"")</f>
        <v/>
      </c>
    </row>
    <row r="507" spans="1:2" hidden="1" x14ac:dyDescent="0.25">
      <c r="A507" s="1">
        <v>739</v>
      </c>
      <c r="B507" t="str" cm="1">
        <f t="array" ref="B507">IFERROR(SUBSTITUTE(INDEX(TechType[[#All],[TechTypeID]],$A507),":","__"),"")</f>
        <v/>
      </c>
    </row>
    <row r="508" spans="1:2" hidden="1" x14ac:dyDescent="0.25">
      <c r="A508" s="1">
        <v>740</v>
      </c>
      <c r="B508" t="str" cm="1">
        <f t="array" ref="B508">IFERROR(SUBSTITUTE(INDEX(TechType[[#All],[TechTypeID]],$A508),":","__"),"")</f>
        <v/>
      </c>
    </row>
    <row r="509" spans="1:2" hidden="1" x14ac:dyDescent="0.25">
      <c r="A509" s="1">
        <v>741</v>
      </c>
      <c r="B509" t="str" cm="1">
        <f t="array" ref="B509">IFERROR(SUBSTITUTE(INDEX(TechType[[#All],[TechTypeID]],$A509),":","__"),"")</f>
        <v/>
      </c>
    </row>
    <row r="510" spans="1:2" hidden="1" x14ac:dyDescent="0.25">
      <c r="A510" s="1">
        <v>144</v>
      </c>
      <c r="B510" t="str" cm="1">
        <f t="array" ref="B510">IFERROR(SUBSTITUTE(INDEX(TechType[[#All],[TechTypeID]],$A510),":","__"),"")</f>
        <v>AirComp__Blower</v>
      </c>
    </row>
    <row r="511" spans="1:2" hidden="1" x14ac:dyDescent="0.25">
      <c r="A511" s="1">
        <v>145</v>
      </c>
      <c r="B511" t="str" cm="1">
        <f t="array" ref="B511">IFERROR(SUBSTITUTE(INDEX(TechType[[#All],[TechTypeID]],$A511),":","__"),"")</f>
        <v>AirComp__Centrif</v>
      </c>
    </row>
    <row r="512" spans="1:2" hidden="1" x14ac:dyDescent="0.25">
      <c r="A512" s="1">
        <v>38</v>
      </c>
      <c r="B512" t="str" cm="1">
        <f t="array" ref="B512">IFERROR(SUBSTITUTE(INDEX(TechType[[#All],[TechTypeID]],$A512),":","__"),"")</f>
        <v>AirComp__CycAirDryr</v>
      </c>
    </row>
    <row r="513" spans="1:2" hidden="1" x14ac:dyDescent="0.25">
      <c r="A513" s="1">
        <v>37</v>
      </c>
      <c r="B513" t="str" cm="1">
        <f t="array" ref="B513">IFERROR(SUBSTITUTE(INDEX(TechType[[#All],[TechTypeID]],$A513),":","__"),"")</f>
        <v>AirComp__NonCycAirDryr</v>
      </c>
    </row>
    <row r="514" spans="1:2" hidden="1" x14ac:dyDescent="0.25">
      <c r="A514" s="1">
        <v>147</v>
      </c>
      <c r="B514" t="str" cm="1">
        <f t="array" ref="B514">IFERROR(SUBSTITUTE(INDEX(TechType[[#All],[TechTypeID]],$A514),":","__"),"")</f>
        <v>AirComp__Recip</v>
      </c>
    </row>
    <row r="515" spans="1:2" hidden="1" x14ac:dyDescent="0.25">
      <c r="A515" s="1">
        <v>146</v>
      </c>
      <c r="B515" t="str" cm="1">
        <f t="array" ref="B515">IFERROR(SUBSTITUTE(INDEX(TechType[[#All],[TechTypeID]],$A515),":","__"),"")</f>
        <v>AirComp__Screw</v>
      </c>
    </row>
    <row r="516" spans="1:2" hidden="1" x14ac:dyDescent="0.25">
      <c r="A516" s="1">
        <v>35</v>
      </c>
      <c r="B516" t="str" cm="1">
        <f t="array" ref="B516">IFERROR(SUBSTITUTE(INDEX(TechType[[#All],[TechTypeID]],$A516),":","__"),"")</f>
        <v>AirComp__TimerCondDrn</v>
      </c>
    </row>
    <row r="517" spans="1:2" hidden="1" x14ac:dyDescent="0.25">
      <c r="A517" s="1">
        <v>36</v>
      </c>
      <c r="B517" t="str" cm="1">
        <f t="array" ref="B517">IFERROR(SUBSTITUTE(INDEX(TechType[[#All],[TechTypeID]],$A517),":","__"),"")</f>
        <v>AirComp__ZeroLossCondDrn</v>
      </c>
    </row>
    <row r="518" spans="1:2" hidden="1" x14ac:dyDescent="0.25">
      <c r="A518" s="1">
        <v>137</v>
      </c>
      <c r="B518" t="str" cm="1">
        <f t="array" ref="B518">IFERROR(SUBSTITUTE(INDEX(TechType[[#All],[TechTypeID]],$A518),":","__"),"")</f>
        <v>AnDigestor__Optimal</v>
      </c>
    </row>
    <row r="519" spans="1:2" hidden="1" x14ac:dyDescent="0.25">
      <c r="A519" s="1">
        <v>33</v>
      </c>
      <c r="B519" t="str" cm="1">
        <f t="array" ref="B519">IFERROR(SUBSTITUTE(INDEX(TechType[[#All],[TechTypeID]],$A519),":","__"),"")</f>
        <v>AuditInfoTest__ResEnAudit</v>
      </c>
    </row>
    <row r="520" spans="1:2" hidden="1" x14ac:dyDescent="0.25">
      <c r="A520" s="1">
        <v>153</v>
      </c>
      <c r="B520" t="str" cm="1">
        <f t="array" ref="B520">IFERROR(SUBSTITUTE(INDEX(TechType[[#All],[TechTypeID]],$A520),":","__"),"")</f>
        <v>BldgShell__AttBatIns</v>
      </c>
    </row>
    <row r="521" spans="1:2" hidden="1" x14ac:dyDescent="0.25">
      <c r="A521" s="1">
        <v>154</v>
      </c>
      <c r="B521" t="str" cm="1">
        <f t="array" ref="B521">IFERROR(SUBSTITUTE(INDEX(TechType[[#All],[TechTypeID]],$A521),":","__"),"")</f>
        <v>BldgShell__AttBlowIns</v>
      </c>
    </row>
    <row r="522" spans="1:2" hidden="1" x14ac:dyDescent="0.25">
      <c r="A522" s="1">
        <v>7</v>
      </c>
      <c r="B522" t="str" cm="1">
        <f t="array" ref="B522">IFERROR(SUBSTITUTE(INDEX(TechType[[#All],[TechTypeID]],$A522),":","__"),"")</f>
        <v>BldgShell__BuriedDuct</v>
      </c>
    </row>
    <row r="523" spans="1:2" hidden="1" x14ac:dyDescent="0.25">
      <c r="A523" s="1">
        <v>155</v>
      </c>
      <c r="B523" t="str" cm="1">
        <f t="array" ref="B523">IFERROR(SUBSTITUTE(INDEX(TechType[[#All],[TechTypeID]],$A523),":","__"),"")</f>
        <v>BldgShell__CoolRoof</v>
      </c>
    </row>
    <row r="524" spans="1:2" hidden="1" x14ac:dyDescent="0.25">
      <c r="A524" s="1">
        <v>148</v>
      </c>
      <c r="B524" t="str" cm="1">
        <f t="array" ref="B524">IFERROR(SUBSTITUTE(INDEX(TechType[[#All],[TechTypeID]],$A524),":","__"),"")</f>
        <v>BldgShell__FloorIns</v>
      </c>
    </row>
    <row r="525" spans="1:2" hidden="1" x14ac:dyDescent="0.25">
      <c r="A525" s="1">
        <v>152</v>
      </c>
      <c r="B525" t="str" cm="1">
        <f t="array" ref="B525">IFERROR(SUBSTITUTE(INDEX(TechType[[#All],[TechTypeID]],$A525),":","__"),"")</f>
        <v>BldgShell__RigidRoofIns</v>
      </c>
    </row>
    <row r="526" spans="1:2" hidden="1" x14ac:dyDescent="0.25">
      <c r="A526" s="1">
        <v>151</v>
      </c>
      <c r="B526" t="str" cm="1">
        <f t="array" ref="B526">IFERROR(SUBSTITUTE(INDEX(TechType[[#All],[TechTypeID]],$A526),":","__"),"")</f>
        <v>BldgShell__SprayRoofIns</v>
      </c>
    </row>
    <row r="527" spans="1:2" hidden="1" x14ac:dyDescent="0.25">
      <c r="A527" s="1">
        <v>67</v>
      </c>
      <c r="B527" t="str" cm="1">
        <f t="array" ref="B527">IFERROR(SUBSTITUTE(INDEX(TechType[[#All],[TechTypeID]],$A527),":","__"),"")</f>
        <v>BldgShell__ThermCurtain</v>
      </c>
    </row>
    <row r="528" spans="1:2" hidden="1" x14ac:dyDescent="0.25">
      <c r="A528" s="1">
        <v>95</v>
      </c>
      <c r="B528" t="str" cm="1">
        <f t="array" ref="B528">IFERROR(SUBSTITUTE(INDEX(TechType[[#All],[TechTypeID]],$A528),":","__"),"")</f>
        <v>BldgShell__WallBattIns</v>
      </c>
    </row>
    <row r="529" spans="1:2" hidden="1" x14ac:dyDescent="0.25">
      <c r="A529" s="1">
        <v>150</v>
      </c>
      <c r="B529" t="str" cm="1">
        <f t="array" ref="B529">IFERROR(SUBSTITUTE(INDEX(TechType[[#All],[TechTypeID]],$A529),":","__"),"")</f>
        <v>BldgShell__WallBlowIns</v>
      </c>
    </row>
    <row r="530" spans="1:2" hidden="1" x14ac:dyDescent="0.25">
      <c r="A530" s="1">
        <v>149</v>
      </c>
      <c r="B530" t="str" cm="1">
        <f t="array" ref="B530">IFERROR(SUBSTITUTE(INDEX(TechType[[#All],[TechTypeID]],$A530),":","__"),"")</f>
        <v>BldgShell__WallSprayIns</v>
      </c>
    </row>
    <row r="531" spans="1:2" hidden="1" x14ac:dyDescent="0.25">
      <c r="A531" s="1">
        <v>94</v>
      </c>
      <c r="B531" t="str" cm="1">
        <f t="array" ref="B531">IFERROR(SUBSTITUTE(INDEX(TechType[[#All],[TechTypeID]],$A531),":","__"),"")</f>
        <v>BldgShell__Weatherize</v>
      </c>
    </row>
    <row r="532" spans="1:2" hidden="1" x14ac:dyDescent="0.25">
      <c r="A532" s="1">
        <v>13</v>
      </c>
      <c r="B532" t="str" cm="1">
        <f t="array" ref="B532">IFERROR(SUBSTITUTE(INDEX(TechType[[#All],[TechTypeID]],$A532),":","__"),"")</f>
        <v>C&amp;S__UnCatC&amp;S</v>
      </c>
    </row>
    <row r="533" spans="1:2" hidden="1" x14ac:dyDescent="0.25">
      <c r="A533" s="1">
        <v>26</v>
      </c>
      <c r="B533" t="str" cm="1">
        <f t="array" ref="B533">IFERROR(SUBSTITUTE(INDEX(TechType[[#All],[TechTypeID]],$A533),":","__"),"")</f>
        <v>Chiller__AirCldRecipChlr</v>
      </c>
    </row>
    <row r="534" spans="1:2" hidden="1" x14ac:dyDescent="0.25">
      <c r="A534" s="1">
        <v>25</v>
      </c>
      <c r="B534" t="str" cm="1">
        <f t="array" ref="B534">IFERROR(SUBSTITUTE(INDEX(TechType[[#All],[TechTypeID]],$A534),":","__"),"")</f>
        <v>Chiller__AirCldScrewChlr</v>
      </c>
    </row>
    <row r="535" spans="1:2" hidden="1" x14ac:dyDescent="0.25">
      <c r="A535" s="1">
        <v>216</v>
      </c>
      <c r="B535" t="str" cm="1">
        <f t="array" ref="B535">IFERROR(SUBSTITUTE(INDEX(TechType[[#All],[TechTypeID]],$A535),":","__"),"")</f>
        <v>Chiller__CentChlr</v>
      </c>
    </row>
    <row r="536" spans="1:2" hidden="1" x14ac:dyDescent="0.25">
      <c r="A536" s="1">
        <v>207</v>
      </c>
      <c r="B536" t="str" cm="1">
        <f t="array" ref="B536">IFERROR(SUBSTITUTE(INDEX(TechType[[#All],[TechTypeID]],$A536),":","__"),"")</f>
        <v>Chiller__GasAbsorp</v>
      </c>
    </row>
    <row r="537" spans="1:2" hidden="1" x14ac:dyDescent="0.25">
      <c r="A537" s="1">
        <v>215</v>
      </c>
      <c r="B537" t="str" cm="1">
        <f t="array" ref="B537">IFERROR(SUBSTITUTE(INDEX(TechType[[#All],[TechTypeID]],$A537),":","__"),"")</f>
        <v>Chiller__NoFricCent</v>
      </c>
    </row>
    <row r="538" spans="1:2" hidden="1" x14ac:dyDescent="0.25">
      <c r="A538" s="1">
        <v>211</v>
      </c>
      <c r="B538" t="str" cm="1">
        <f t="array" ref="B538">IFERROR(SUBSTITUTE(INDEX(TechType[[#All],[TechTypeID]],$A538),":","__"),"")</f>
        <v>Chiller__NoFricComp</v>
      </c>
    </row>
    <row r="539" spans="1:2" hidden="1" x14ac:dyDescent="0.25">
      <c r="A539" s="1">
        <v>214</v>
      </c>
      <c r="B539" t="str" cm="1">
        <f t="array" ref="B539">IFERROR(SUBSTITUTE(INDEX(TechType[[#All],[TechTypeID]],$A539),":","__"),"")</f>
        <v>Chiller__Recip</v>
      </c>
    </row>
    <row r="540" spans="1:2" hidden="1" x14ac:dyDescent="0.25">
      <c r="A540" s="1">
        <v>210</v>
      </c>
      <c r="B540" t="str" cm="1">
        <f t="array" ref="B540">IFERROR(SUBSTITUTE(INDEX(TechType[[#All],[TechTypeID]],$A540),":","__"),"")</f>
        <v>Chiller__RecipComp</v>
      </c>
    </row>
    <row r="541" spans="1:2" hidden="1" x14ac:dyDescent="0.25">
      <c r="A541" s="1">
        <v>208</v>
      </c>
      <c r="B541" t="str" cm="1">
        <f t="array" ref="B541">IFERROR(SUBSTITUTE(INDEX(TechType[[#All],[TechTypeID]],$A541),":","__"),"")</f>
        <v>Chiller__RefWareCool</v>
      </c>
    </row>
    <row r="542" spans="1:2" hidden="1" x14ac:dyDescent="0.25">
      <c r="A542" s="1">
        <v>213</v>
      </c>
      <c r="B542" t="str" cm="1">
        <f t="array" ref="B542">IFERROR(SUBSTITUTE(INDEX(TechType[[#All],[TechTypeID]],$A542),":","__"),"")</f>
        <v>Chiller__Screw</v>
      </c>
    </row>
    <row r="543" spans="1:2" hidden="1" x14ac:dyDescent="0.25">
      <c r="A543" s="1">
        <v>212</v>
      </c>
      <c r="B543" t="str" cm="1">
        <f t="array" ref="B543">IFERROR(SUBSTITUTE(INDEX(TechType[[#All],[TechTypeID]],$A543),":","__"),"")</f>
        <v>Chiller__Scroll</v>
      </c>
    </row>
    <row r="544" spans="1:2" hidden="1" x14ac:dyDescent="0.25">
      <c r="A544" s="1">
        <v>209</v>
      </c>
      <c r="B544" t="str" cm="1">
        <f t="array" ref="B544">IFERROR(SUBSTITUTE(INDEX(TechType[[#All],[TechTypeID]],$A544),":","__"),"")</f>
        <v>Chiller__TankIns</v>
      </c>
    </row>
    <row r="545" spans="1:2" hidden="1" x14ac:dyDescent="0.25">
      <c r="A545" s="1">
        <v>24</v>
      </c>
      <c r="B545" t="str" cm="1">
        <f t="array" ref="B545">IFERROR(SUBSTITUTE(INDEX(TechType[[#All],[TechTypeID]],$A545),":","__"),"")</f>
        <v>Chiller__WtrCldCentChlr</v>
      </c>
    </row>
    <row r="546" spans="1:2" hidden="1" x14ac:dyDescent="0.25">
      <c r="A546" s="1">
        <v>22</v>
      </c>
      <c r="B546" t="str" cm="1">
        <f t="array" ref="B546">IFERROR(SUBSTITUTE(INDEX(TechType[[#All],[TechTypeID]],$A546),":","__"),"")</f>
        <v>Chiller__WtrCldReciipChlr</v>
      </c>
    </row>
    <row r="547" spans="1:2" hidden="1" x14ac:dyDescent="0.25">
      <c r="A547" s="1">
        <v>23</v>
      </c>
      <c r="B547" t="str" cm="1">
        <f t="array" ref="B547">IFERROR(SUBSTITUTE(INDEX(TechType[[#All],[TechTypeID]],$A547),":","__"),"")</f>
        <v>Chiller__WtrCldScrewChlr</v>
      </c>
    </row>
    <row r="548" spans="1:2" hidden="1" x14ac:dyDescent="0.25">
      <c r="A548" s="1">
        <v>108</v>
      </c>
      <c r="B548" t="str" cm="1">
        <f t="array" ref="B548">IFERROR(SUBSTITUTE(INDEX(TechType[[#All],[TechTypeID]],$A548),":","__"),"")</f>
        <v>Clean_equip__ClothesWash</v>
      </c>
    </row>
    <row r="549" spans="1:2" hidden="1" x14ac:dyDescent="0.25">
      <c r="A549" s="1">
        <v>107</v>
      </c>
      <c r="B549" t="str" cm="1">
        <f t="array" ref="B549">IFERROR(SUBSTITUTE(INDEX(TechType[[#All],[TechTypeID]],$A549),":","__"),"")</f>
        <v>Clean_equip__DishWash</v>
      </c>
    </row>
    <row r="550" spans="1:2" hidden="1" x14ac:dyDescent="0.25">
      <c r="A550" s="1">
        <v>113</v>
      </c>
      <c r="B550" t="str" cm="1">
        <f t="array" ref="B550">IFERROR(SUBSTITUTE(INDEX(TechType[[#All],[TechTypeID]],$A550),":","__"),"")</f>
        <v>Cook_equip__Broiler</v>
      </c>
    </row>
    <row r="551" spans="1:2" hidden="1" x14ac:dyDescent="0.25">
      <c r="A551" s="1">
        <v>18</v>
      </c>
      <c r="B551" t="str" cm="1">
        <f t="array" ref="B551">IFERROR(SUBSTITUTE(INDEX(TechType[[#All],[TechTypeID]],$A551),":","__"),"")</f>
        <v>Cook_equip__Cooking</v>
      </c>
    </row>
    <row r="552" spans="1:2" hidden="1" x14ac:dyDescent="0.25">
      <c r="A552" s="1">
        <v>119</v>
      </c>
      <c r="B552" t="str" cm="1">
        <f t="array" ref="B552">IFERROR(SUBSTITUTE(INDEX(TechType[[#All],[TechTypeID]],$A552),":","__"),"")</f>
        <v>Cook_equip__Fryer</v>
      </c>
    </row>
    <row r="553" spans="1:2" hidden="1" x14ac:dyDescent="0.25">
      <c r="A553" s="1">
        <v>116</v>
      </c>
      <c r="B553" t="str" cm="1">
        <f t="array" ref="B553">IFERROR(SUBSTITUTE(INDEX(TechType[[#All],[TechTypeID]],$A553),":","__"),"")</f>
        <v>Cook_equip__Griddle</v>
      </c>
    </row>
    <row r="554" spans="1:2" hidden="1" x14ac:dyDescent="0.25">
      <c r="A554" s="1">
        <v>115</v>
      </c>
      <c r="B554" t="str" cm="1">
        <f t="array" ref="B554">IFERROR(SUBSTITUTE(INDEX(TechType[[#All],[TechTypeID]],$A554),":","__"),"")</f>
        <v>Cook_equip__GrillTO</v>
      </c>
    </row>
    <row r="555" spans="1:2" hidden="1" x14ac:dyDescent="0.25">
      <c r="A555" s="1">
        <v>117</v>
      </c>
      <c r="B555" t="str" cm="1">
        <f t="array" ref="B555">IFERROR(SUBSTITUTE(INDEX(TechType[[#All],[TechTypeID]],$A555),":","__"),"")</f>
        <v>Cook_equip__OvenComb</v>
      </c>
    </row>
    <row r="556" spans="1:2" hidden="1" x14ac:dyDescent="0.25">
      <c r="A556" s="1">
        <v>118</v>
      </c>
      <c r="B556" t="str" cm="1">
        <f t="array" ref="B556">IFERROR(SUBSTITUTE(INDEX(TechType[[#All],[TechTypeID]],$A556),":","__"),"")</f>
        <v>Cook_equip__OvenConv</v>
      </c>
    </row>
    <row r="557" spans="1:2" hidden="1" x14ac:dyDescent="0.25">
      <c r="A557" s="1">
        <v>120</v>
      </c>
      <c r="B557" t="str" cm="1">
        <f t="array" ref="B557">IFERROR(SUBSTITUTE(INDEX(TechType[[#All],[TechTypeID]],$A557),":","__"),"")</f>
        <v>Cook_equip__Steamer</v>
      </c>
    </row>
    <row r="558" spans="1:2" hidden="1" x14ac:dyDescent="0.25">
      <c r="A558" s="1">
        <v>114</v>
      </c>
      <c r="B558" t="str" cm="1">
        <f t="array" ref="B558">IFERROR(SUBSTITUTE(INDEX(TechType[[#All],[TechTypeID]],$A558),":","__"),"")</f>
        <v>Cook_equip__SteamLine</v>
      </c>
    </row>
    <row r="559" spans="1:2" hidden="1" x14ac:dyDescent="0.25">
      <c r="A559" s="1">
        <v>88</v>
      </c>
      <c r="B559" t="str" cm="1">
        <f t="array" ref="B559">IFERROR(SUBSTITUTE(INDEX(TechType[[#All],[TechTypeID]],$A559),":","__"),"")</f>
        <v>Cook_equip__StockPot</v>
      </c>
    </row>
    <row r="560" spans="1:2" hidden="1" x14ac:dyDescent="0.25">
      <c r="A560" s="1">
        <v>232</v>
      </c>
      <c r="B560" t="str" cm="1">
        <f t="array" ref="B560">IFERROR(SUBSTITUTE(INDEX(TechType[[#All],[TechTypeID]],$A560),":","__"),"")</f>
        <v>dxAC_equip__pkgEER</v>
      </c>
    </row>
    <row r="561" spans="1:2" hidden="1" x14ac:dyDescent="0.25">
      <c r="A561" s="1">
        <v>233</v>
      </c>
      <c r="B561" t="str" cm="1">
        <f t="array" ref="B561">IFERROR(SUBSTITUTE(INDEX(TechType[[#All],[TechTypeID]],$A561),":","__"),"")</f>
        <v>dxAC_equip__pkgSEER</v>
      </c>
    </row>
    <row r="562" spans="1:2" hidden="1" x14ac:dyDescent="0.25">
      <c r="A562" s="1">
        <v>2</v>
      </c>
      <c r="B562" t="str" cm="1">
        <f t="array" ref="B562">IFERROR(SUBSTITUTE(INDEX(TechType[[#All],[TechTypeID]],$A562),":","__"),"")</f>
        <v>dxAC_equip__pkgSEER-BA</v>
      </c>
    </row>
    <row r="563" spans="1:2" hidden="1" x14ac:dyDescent="0.25">
      <c r="A563" s="1">
        <v>226</v>
      </c>
      <c r="B563" t="str" cm="1">
        <f t="array" ref="B563">IFERROR(SUBSTITUTE(INDEX(TechType[[#All],[TechTypeID]],$A563),":","__"),"")</f>
        <v>dxAC_equip__pkgTerm</v>
      </c>
    </row>
    <row r="564" spans="1:2" hidden="1" x14ac:dyDescent="0.25">
      <c r="A564" s="1">
        <v>228</v>
      </c>
      <c r="B564" t="str" cm="1">
        <f t="array" ref="B564">IFERROR(SUBSTITUTE(INDEX(TechType[[#All],[TechTypeID]],$A564),":","__"),"")</f>
        <v>dxAC_equip__Refrig</v>
      </c>
    </row>
    <row r="565" spans="1:2" x14ac:dyDescent="0.25">
      <c r="A565" s="1">
        <v>227</v>
      </c>
      <c r="B565" t="str" cm="1">
        <f t="array" ref="B565">IFERROR(SUBSTITUTE(INDEX(TechType[[#All],[TechTypeID]],$A565),":","__"),"")</f>
        <v>dxAC_equip__RoomAC</v>
      </c>
    </row>
    <row r="566" spans="1:2" hidden="1" x14ac:dyDescent="0.25">
      <c r="A566" s="1">
        <v>229</v>
      </c>
      <c r="B566" t="str" cm="1">
        <f t="array" ref="B566">IFERROR(SUBSTITUTE(INDEX(TechType[[#All],[TechTypeID]],$A566),":","__"),"")</f>
        <v>dxAC_equip__spltEER</v>
      </c>
    </row>
    <row r="567" spans="1:2" hidden="1" x14ac:dyDescent="0.25">
      <c r="A567" s="1">
        <v>230</v>
      </c>
      <c r="B567" t="str" cm="1">
        <f t="array" ref="B567">IFERROR(SUBSTITUTE(INDEX(TechType[[#All],[TechTypeID]],$A567),":","__"),"")</f>
        <v>dxAC_equip__spltSEER</v>
      </c>
    </row>
    <row r="568" spans="1:2" hidden="1" x14ac:dyDescent="0.25">
      <c r="A568" s="1">
        <v>5</v>
      </c>
      <c r="B568" t="str" cm="1">
        <f t="array" ref="B568">IFERROR(SUBSTITUTE(INDEX(TechType[[#All],[TechTypeID]],$A568),":","__"),"")</f>
        <v>dxAC_equip__spltSEER-BA</v>
      </c>
    </row>
    <row r="569" spans="1:2" hidden="1" x14ac:dyDescent="0.25">
      <c r="A569" s="1">
        <v>231</v>
      </c>
      <c r="B569" t="str" cm="1">
        <f t="array" ref="B569">IFERROR(SUBSTITUTE(INDEX(TechType[[#All],[TechTypeID]],$A569),":","__"),"")</f>
        <v>dxAC_equip__vertEER</v>
      </c>
    </row>
    <row r="570" spans="1:2" hidden="1" x14ac:dyDescent="0.25">
      <c r="A570" s="1">
        <v>224</v>
      </c>
      <c r="B570" t="str" cm="1">
        <f t="array" ref="B570">IFERROR(SUBSTITUTE(INDEX(TechType[[#All],[TechTypeID]],$A570),":","__"),"")</f>
        <v>dxHP_equip__pkgEER</v>
      </c>
    </row>
    <row r="571" spans="1:2" hidden="1" x14ac:dyDescent="0.25">
      <c r="A571" s="1">
        <v>225</v>
      </c>
      <c r="B571" t="str" cm="1">
        <f t="array" ref="B571">IFERROR(SUBSTITUTE(INDEX(TechType[[#All],[TechTypeID]],$A571),":","__"),"")</f>
        <v>dxHP_equip__pkgSEER</v>
      </c>
    </row>
    <row r="572" spans="1:2" hidden="1" x14ac:dyDescent="0.25">
      <c r="A572" s="1">
        <v>220</v>
      </c>
      <c r="B572" t="str" cm="1">
        <f t="array" ref="B572">IFERROR(SUBSTITUTE(INDEX(TechType[[#All],[TechTypeID]],$A572),":","__"),"")</f>
        <v>dxHP_equip__pkgTerm</v>
      </c>
    </row>
    <row r="573" spans="1:2" hidden="1" x14ac:dyDescent="0.25">
      <c r="A573" s="1">
        <v>222</v>
      </c>
      <c r="B573" t="str" cm="1">
        <f t="array" ref="B573">IFERROR(SUBSTITUTE(INDEX(TechType[[#All],[TechTypeID]],$A573),":","__"),"")</f>
        <v>dxHP_equip__spltEER</v>
      </c>
    </row>
    <row r="574" spans="1:2" hidden="1" x14ac:dyDescent="0.25">
      <c r="A574" s="1">
        <v>4</v>
      </c>
      <c r="B574" t="str" cm="1">
        <f t="array" ref="B574">IFERROR(SUBSTITUTE(INDEX(TechType[[#All],[TechTypeID]],$A574),":","__"),"")</f>
        <v>dxHP_equip__spltHP-SEER-BA</v>
      </c>
    </row>
    <row r="575" spans="1:2" hidden="1" x14ac:dyDescent="0.25">
      <c r="A575" s="1">
        <v>223</v>
      </c>
      <c r="B575" t="str" cm="1">
        <f t="array" ref="B575">IFERROR(SUBSTITUTE(INDEX(TechType[[#All],[TechTypeID]],$A575),":","__"),"")</f>
        <v>dxHP_equip__spltSEER</v>
      </c>
    </row>
    <row r="576" spans="1:2" hidden="1" x14ac:dyDescent="0.25">
      <c r="A576" s="1">
        <v>91</v>
      </c>
      <c r="B576" t="str" cm="1">
        <f t="array" ref="B576">IFERROR(SUBSTITUTE(INDEX(TechType[[#All],[TechTypeID]],$A576),":","__"),"")</f>
        <v>dxHP_equip__VarRefgHP</v>
      </c>
    </row>
    <row r="577" spans="1:2" hidden="1" x14ac:dyDescent="0.25">
      <c r="A577" s="1">
        <v>90</v>
      </c>
      <c r="B577" t="str" cm="1">
        <f t="array" ref="B577">IFERROR(SUBSTITUTE(INDEX(TechType[[#All],[TechTypeID]],$A577),":","__"),"")</f>
        <v>dxHP_equip__VarRefgHR</v>
      </c>
    </row>
    <row r="578" spans="1:2" hidden="1" x14ac:dyDescent="0.25">
      <c r="A578" s="1">
        <v>221</v>
      </c>
      <c r="B578" t="str" cm="1">
        <f t="array" ref="B578">IFERROR(SUBSTITUTE(INDEX(TechType[[#All],[TechTypeID]],$A578),":","__"),"")</f>
        <v>dxHP_equip__WSHP</v>
      </c>
    </row>
    <row r="579" spans="1:2" hidden="1" x14ac:dyDescent="0.25">
      <c r="A579" s="1">
        <v>97</v>
      </c>
      <c r="B579" t="str" cm="1">
        <f t="array" ref="B579">IFERROR(SUBSTITUTE(INDEX(TechType[[#All],[TechTypeID]],$A579),":","__"),"")</f>
        <v>Electronics__AllEquip</v>
      </c>
    </row>
    <row r="580" spans="1:2" hidden="1" x14ac:dyDescent="0.25">
      <c r="A580" s="1">
        <v>101</v>
      </c>
      <c r="B580" t="str" cm="1">
        <f t="array" ref="B580">IFERROR(SUBSTITUTE(INDEX(TechType[[#All],[TechTypeID]],$A580),":","__"),"")</f>
        <v>Electronics__DesktopComp</v>
      </c>
    </row>
    <row r="581" spans="1:2" hidden="1" x14ac:dyDescent="0.25">
      <c r="A581" s="1">
        <v>98</v>
      </c>
      <c r="B581" t="str" cm="1">
        <f t="array" ref="B581">IFERROR(SUBSTITUTE(INDEX(TechType[[#All],[TechTypeID]],$A581),":","__"),"")</f>
        <v>Electronics__IRsensor</v>
      </c>
    </row>
    <row r="582" spans="1:2" hidden="1" x14ac:dyDescent="0.25">
      <c r="A582" s="1">
        <v>103</v>
      </c>
      <c r="B582" t="str" cm="1">
        <f t="array" ref="B582">IFERROR(SUBSTITUTE(INDEX(TechType[[#All],[TechTypeID]],$A582),":","__"),"")</f>
        <v>Electronics__Monitor</v>
      </c>
    </row>
    <row r="583" spans="1:2" hidden="1" x14ac:dyDescent="0.25">
      <c r="A583" s="1">
        <v>66</v>
      </c>
      <c r="B583" t="str" cm="1">
        <f t="array" ref="B583">IFERROR(SUBSTITUTE(INDEX(TechType[[#All],[TechTypeID]],$A583),":","__"),"")</f>
        <v>Electronics__MoveSensor</v>
      </c>
    </row>
    <row r="584" spans="1:2" hidden="1" x14ac:dyDescent="0.25">
      <c r="A584" s="1">
        <v>99</v>
      </c>
      <c r="B584" t="str" cm="1">
        <f t="array" ref="B584">IFERROR(SUBSTITUTE(INDEX(TechType[[#All],[TechTypeID]],$A584),":","__"),"")</f>
        <v>Electronics__MoveSensor</v>
      </c>
    </row>
    <row r="585" spans="1:2" hidden="1" x14ac:dyDescent="0.25">
      <c r="A585" s="1">
        <v>104</v>
      </c>
      <c r="B585" t="str" cm="1">
        <f t="array" ref="B585">IFERROR(SUBSTITUTE(INDEX(TechType[[#All],[TechTypeID]],$A585),":","__"),"")</f>
        <v>Electronics__OccSensPlug</v>
      </c>
    </row>
    <row r="586" spans="1:2" hidden="1" x14ac:dyDescent="0.25">
      <c r="A586" s="1">
        <v>68</v>
      </c>
      <c r="B586" t="str" cm="1">
        <f t="array" ref="B586">IFERROR(SUBSTITUTE(INDEX(TechType[[#All],[TechTypeID]],$A586),":","__"),"")</f>
        <v>Electronics__Software</v>
      </c>
    </row>
    <row r="587" spans="1:2" hidden="1" x14ac:dyDescent="0.25">
      <c r="A587" s="1">
        <v>100</v>
      </c>
      <c r="B587" t="str" cm="1">
        <f t="array" ref="B587">IFERROR(SUBSTITUTE(INDEX(TechType[[#All],[TechTypeID]],$A587),":","__"),"")</f>
        <v>Electronics__Timer</v>
      </c>
    </row>
    <row r="588" spans="1:2" hidden="1" x14ac:dyDescent="0.25">
      <c r="A588" s="1">
        <v>102</v>
      </c>
      <c r="B588" t="str" cm="1">
        <f t="array" ref="B588">IFERROR(SUBSTITUTE(INDEX(TechType[[#All],[TechTypeID]],$A588),":","__"),"")</f>
        <v>Electronics__TV</v>
      </c>
    </row>
    <row r="589" spans="1:2" hidden="1" x14ac:dyDescent="0.25">
      <c r="A589" s="1">
        <v>218</v>
      </c>
      <c r="B589" t="str" cm="1">
        <f t="array" ref="B589">IFERROR(SUBSTITUTE(INDEX(TechType[[#All],[TechTypeID]],$A589),":","__"),"")</f>
        <v>EvapCool_eq__ComEvap</v>
      </c>
    </row>
    <row r="590" spans="1:2" hidden="1" x14ac:dyDescent="0.25">
      <c r="A590" s="1">
        <v>219</v>
      </c>
      <c r="B590" t="str" cm="1">
        <f t="array" ref="B590">IFERROR(SUBSTITUTE(INDEX(TechType[[#All],[TechTypeID]],$A590),":","__"),"")</f>
        <v>EvapCool_eq__ResEvap</v>
      </c>
    </row>
    <row r="591" spans="1:2" hidden="1" x14ac:dyDescent="0.25">
      <c r="A591" s="1">
        <v>136</v>
      </c>
      <c r="B591" t="str" cm="1">
        <f t="array" ref="B591">IFERROR(SUBSTITUTE(INDEX(TechType[[#All],[TechTypeID]],$A591),":","__"),"")</f>
        <v>FacPondAer__OxyDemCtrl</v>
      </c>
    </row>
    <row r="592" spans="1:2" hidden="1" x14ac:dyDescent="0.25">
      <c r="A592" s="1">
        <v>80</v>
      </c>
      <c r="B592" t="str" cm="1">
        <f t="array" ref="B592">IFERROR(SUBSTITUTE(INDEX(TechType[[#All],[TechTypeID]],$A592),":","__"),"")</f>
        <v>Fenest__IRFilm</v>
      </c>
    </row>
    <row r="593" spans="1:2" hidden="1" x14ac:dyDescent="0.25">
      <c r="A593" s="1">
        <v>157</v>
      </c>
      <c r="B593" t="str" cm="1">
        <f t="array" ref="B593">IFERROR(SUBSTITUTE(INDEX(TechType[[#All],[TechTypeID]],$A593),":","__"),"")</f>
        <v>Fenest__ManufSky</v>
      </c>
    </row>
    <row r="594" spans="1:2" hidden="1" x14ac:dyDescent="0.25">
      <c r="A594" s="1">
        <v>161</v>
      </c>
      <c r="B594" t="str" cm="1">
        <f t="array" ref="B594">IFERROR(SUBSTITUTE(INDEX(TechType[[#All],[TechTypeID]],$A594),":","__"),"")</f>
        <v>Fenest__ManufWin</v>
      </c>
    </row>
    <row r="595" spans="1:2" hidden="1" x14ac:dyDescent="0.25">
      <c r="A595" s="1">
        <v>156</v>
      </c>
      <c r="B595" t="str" cm="1">
        <f t="array" ref="B595">IFERROR(SUBSTITUTE(INDEX(TechType[[#All],[TechTypeID]],$A595),":","__"),"")</f>
        <v>Fenest__SiteBuiltSky</v>
      </c>
    </row>
    <row r="596" spans="1:2" hidden="1" x14ac:dyDescent="0.25">
      <c r="A596" s="1">
        <v>160</v>
      </c>
      <c r="B596" t="str" cm="1">
        <f t="array" ref="B596">IFERROR(SUBSTITUTE(INDEX(TechType[[#All],[TechTypeID]],$A596),":","__"),"")</f>
        <v>Fenest__SiteBuiltWin</v>
      </c>
    </row>
    <row r="597" spans="1:2" hidden="1" x14ac:dyDescent="0.25">
      <c r="A597" s="1">
        <v>92</v>
      </c>
      <c r="B597" t="str" cm="1">
        <f t="array" ref="B597">IFERROR(SUBSTITUTE(INDEX(TechType[[#All],[TechTypeID]],$A597),":","__"),"")</f>
        <v>Fenest__ThermCurtain</v>
      </c>
    </row>
    <row r="598" spans="1:2" hidden="1" x14ac:dyDescent="0.25">
      <c r="A598" s="1">
        <v>158</v>
      </c>
      <c r="B598" t="str" cm="1">
        <f t="array" ref="B598">IFERROR(SUBSTITUTE(INDEX(TechType[[#All],[TechTypeID]],$A598),":","__"),"")</f>
        <v>Fenest__WinFilm</v>
      </c>
    </row>
    <row r="599" spans="1:2" hidden="1" x14ac:dyDescent="0.25">
      <c r="A599" s="1">
        <v>159</v>
      </c>
      <c r="B599" t="str" cm="1">
        <f t="array" ref="B599">IFERROR(SUBSTITUTE(INDEX(TechType[[#All],[TechTypeID]],$A599),":","__"),"")</f>
        <v>Fenest__WinShade</v>
      </c>
    </row>
    <row r="600" spans="1:2" hidden="1" x14ac:dyDescent="0.25">
      <c r="A600" s="1">
        <v>32</v>
      </c>
      <c r="B600" t="str" cm="1">
        <f t="array" ref="B600">IFERROR(SUBSTITUTE(INDEX(TechType[[#All],[TechTypeID]],$A600),":","__"),"")</f>
        <v>FoodService__HandWrap</v>
      </c>
    </row>
    <row r="601" spans="1:2" hidden="1" x14ac:dyDescent="0.25">
      <c r="A601" s="1">
        <v>112</v>
      </c>
      <c r="B601" t="str" cm="1">
        <f t="array" ref="B601">IFERROR(SUBSTITUTE(INDEX(TechType[[#All],[TechTypeID]],$A601),":","__"),"")</f>
        <v>FoodService__HoldBin</v>
      </c>
    </row>
    <row r="602" spans="1:2" hidden="1" x14ac:dyDescent="0.25">
      <c r="A602" s="1">
        <v>110</v>
      </c>
      <c r="B602" t="str" cm="1">
        <f t="array" ref="B602">IFERROR(SUBSTITUTE(INDEX(TechType[[#All],[TechTypeID]],$A602),":","__"),"")</f>
        <v>FoodService__HoldCab</v>
      </c>
    </row>
    <row r="603" spans="1:2" hidden="1" x14ac:dyDescent="0.25">
      <c r="A603" s="1">
        <v>111</v>
      </c>
      <c r="B603" t="str" cm="1">
        <f t="array" ref="B603">IFERROR(SUBSTITUTE(INDEX(TechType[[#All],[TechTypeID]],$A603),":","__"),"")</f>
        <v>FoodService__StmHoldBin</v>
      </c>
    </row>
    <row r="604" spans="1:2" hidden="1" x14ac:dyDescent="0.25">
      <c r="A604" s="1">
        <v>82</v>
      </c>
      <c r="B604" t="str" cm="1">
        <f t="array" ref="B604">IFERROR(SUBSTITUTE(INDEX(TechType[[#All],[TechTypeID]],$A604),":","__"),"")</f>
        <v>HeatEx__PlateClr</v>
      </c>
    </row>
    <row r="605" spans="1:2" hidden="1" x14ac:dyDescent="0.25">
      <c r="A605" s="1">
        <v>186</v>
      </c>
      <c r="B605" t="str" cm="1">
        <f t="array" ref="B605">IFERROR(SUBSTITUTE(INDEX(TechType[[#All],[TechTypeID]],$A605),":","__"),"")</f>
        <v>HeatReject__TwrFanCtrl</v>
      </c>
    </row>
    <row r="606" spans="1:2" hidden="1" x14ac:dyDescent="0.25">
      <c r="A606" s="1">
        <v>185</v>
      </c>
      <c r="B606" t="str" cm="1">
        <f t="array" ref="B606">IFERROR(SUBSTITUTE(INDEX(TechType[[#All],[TechTypeID]],$A606),":","__"),"")</f>
        <v>HeatReject__TwrFanMtr</v>
      </c>
    </row>
    <row r="607" spans="1:2" hidden="1" x14ac:dyDescent="0.25">
      <c r="A607" s="1">
        <v>184</v>
      </c>
      <c r="B607" t="str" cm="1">
        <f t="array" ref="B607">IFERROR(SUBSTITUTE(INDEX(TechType[[#All],[TechTypeID]],$A607),":","__"),"")</f>
        <v>HeatReject__WSEcono</v>
      </c>
    </row>
    <row r="608" spans="1:2" hidden="1" x14ac:dyDescent="0.25">
      <c r="A608" s="1">
        <v>192</v>
      </c>
      <c r="B608" t="str" cm="1">
        <f t="array" ref="B608">IFERROR(SUBSTITUTE(INDEX(TechType[[#All],[TechTypeID]],$A608),":","__"),"")</f>
        <v>HV_AirDist__AirEcono</v>
      </c>
    </row>
    <row r="609" spans="1:2" hidden="1" x14ac:dyDescent="0.25">
      <c r="A609" s="1">
        <v>69</v>
      </c>
      <c r="B609" t="str" cm="1">
        <f t="array" ref="B609">IFERROR(SUBSTITUTE(INDEX(TechType[[#All],[TechTypeID]],$A609),":","__"),"")</f>
        <v>HV_AirDist__AxialFan</v>
      </c>
    </row>
    <row r="610" spans="1:2" hidden="1" x14ac:dyDescent="0.25">
      <c r="A610" s="1">
        <v>199</v>
      </c>
      <c r="B610" t="str" cm="1">
        <f t="array" ref="B610">IFERROR(SUBSTITUTE(INDEX(TechType[[#All],[TechTypeID]],$A610),":","__"),"")</f>
        <v>HV_AirDist__DuctInsC</v>
      </c>
    </row>
    <row r="611" spans="1:2" hidden="1" x14ac:dyDescent="0.25">
      <c r="A611" s="1">
        <v>200</v>
      </c>
      <c r="B611" t="str" cm="1">
        <f t="array" ref="B611">IFERROR(SUBSTITUTE(INDEX(TechType[[#All],[TechTypeID]],$A611),":","__"),"")</f>
        <v>HV_AirDist__DuctInsul</v>
      </c>
    </row>
    <row r="612" spans="1:2" hidden="1" x14ac:dyDescent="0.25">
      <c r="A612" s="1">
        <v>198</v>
      </c>
      <c r="B612" t="str" cm="1">
        <f t="array" ref="B612">IFERROR(SUBSTITUTE(INDEX(TechType[[#All],[TechTypeID]],$A612),":","__"),"")</f>
        <v>HV_AirDist__DuctLeak</v>
      </c>
    </row>
    <row r="613" spans="1:2" hidden="1" x14ac:dyDescent="0.25">
      <c r="A613" s="1">
        <v>197</v>
      </c>
      <c r="B613" t="str" cm="1">
        <f t="array" ref="B613">IFERROR(SUBSTITUTE(INDEX(TechType[[#All],[TechTypeID]],$A613),":","__"),"")</f>
        <v>HV_AirDist__DuctSysC</v>
      </c>
    </row>
    <row r="614" spans="1:2" hidden="1" x14ac:dyDescent="0.25">
      <c r="A614" s="1">
        <v>193</v>
      </c>
      <c r="B614" t="str" cm="1">
        <f t="array" ref="B614">IFERROR(SUBSTITUTE(INDEX(TechType[[#All],[TechTypeID]],$A614),":","__"),"")</f>
        <v>HV_AirDist__ExFanMtr</v>
      </c>
    </row>
    <row r="615" spans="1:2" hidden="1" x14ac:dyDescent="0.25">
      <c r="A615" s="1">
        <v>201</v>
      </c>
      <c r="B615" t="str" cm="1">
        <f t="array" ref="B615">IFERROR(SUBSTITUTE(INDEX(TechType[[#All],[TechTypeID]],$A615),":","__"),"")</f>
        <v>HV_AirDist__FlowCtrl</v>
      </c>
    </row>
    <row r="616" spans="1:2" hidden="1" x14ac:dyDescent="0.25">
      <c r="A616" s="1">
        <v>191</v>
      </c>
      <c r="B616" t="str" cm="1">
        <f t="array" ref="B616">IFERROR(SUBSTITUTE(INDEX(TechType[[#All],[TechTypeID]],$A616),":","__"),"")</f>
        <v>HV_AirDist__HeatRecov</v>
      </c>
    </row>
    <row r="617" spans="1:2" hidden="1" x14ac:dyDescent="0.25">
      <c r="A617" s="1">
        <v>195</v>
      </c>
      <c r="B617" t="str" cm="1">
        <f t="array" ref="B617">IFERROR(SUBSTITUTE(INDEX(TechType[[#All],[TechTypeID]],$A617),":","__"),"")</f>
        <v>HV_AirDist__RetFanMtr</v>
      </c>
    </row>
    <row r="618" spans="1:2" hidden="1" x14ac:dyDescent="0.25">
      <c r="A618" s="1">
        <v>196</v>
      </c>
      <c r="B618" t="str" cm="1">
        <f t="array" ref="B618">IFERROR(SUBSTITUTE(INDEX(TechType[[#All],[TechTypeID]],$A618),":","__"),"")</f>
        <v>HV_AirDist__SupFanMtr</v>
      </c>
    </row>
    <row r="619" spans="1:2" hidden="1" x14ac:dyDescent="0.25">
      <c r="A619" s="1">
        <v>6</v>
      </c>
      <c r="B619" t="str" cm="1">
        <f t="array" ref="B619">IFERROR(SUBSTITUTE(INDEX(TechType[[#All],[TechTypeID]],$A619),":","__"),"")</f>
        <v>HV_AirDist__SupFanMtr-BA</v>
      </c>
    </row>
    <row r="620" spans="1:2" hidden="1" x14ac:dyDescent="0.25">
      <c r="A620" s="1">
        <v>194</v>
      </c>
      <c r="B620" t="str" cm="1">
        <f t="array" ref="B620">IFERROR(SUBSTITUTE(INDEX(TechType[[#All],[TechTypeID]],$A620),":","__"),"")</f>
        <v>HV_AirDist__VentFanMtr</v>
      </c>
    </row>
    <row r="621" spans="1:2" hidden="1" x14ac:dyDescent="0.25">
      <c r="A621" s="1">
        <v>89</v>
      </c>
      <c r="B621" t="str" cm="1">
        <f t="array" ref="B621">IFERROR(SUBSTITUTE(INDEX(TechType[[#All],[TechTypeID]],$A621),":","__"),"")</f>
        <v>HV_Tech__CO2sens</v>
      </c>
    </row>
    <row r="622" spans="1:2" hidden="1" x14ac:dyDescent="0.25">
      <c r="A622" s="1">
        <v>189</v>
      </c>
      <c r="B622" t="str" cm="1">
        <f t="array" ref="B622">IFERROR(SUBSTITUTE(INDEX(TechType[[#All],[TechTypeID]],$A622),":","__"),"")</f>
        <v>HV_Tech__D5Tstat</v>
      </c>
    </row>
    <row r="623" spans="1:2" hidden="1" x14ac:dyDescent="0.25">
      <c r="A623" s="1">
        <v>70</v>
      </c>
      <c r="B623" t="str" cm="1">
        <f t="array" ref="B623">IFERROR(SUBSTITUTE(INDEX(TechType[[#All],[TechTypeID]],$A623),":","__"),"")</f>
        <v>HV_Tech__DCV</v>
      </c>
    </row>
    <row r="624" spans="1:2" hidden="1" x14ac:dyDescent="0.25">
      <c r="A624" s="1">
        <v>188</v>
      </c>
      <c r="B624" t="str" cm="1">
        <f t="array" ref="B624">IFERROR(SUBSTITUTE(INDEX(TechType[[#All],[TechTypeID]],$A624),":","__"),"")</f>
        <v>HV_Tech__EMS</v>
      </c>
    </row>
    <row r="625" spans="1:2" hidden="1" x14ac:dyDescent="0.25">
      <c r="A625" s="1">
        <v>71</v>
      </c>
      <c r="B625" t="str" cm="1">
        <f t="array" ref="B625">IFERROR(SUBSTITUTE(INDEX(TechType[[#All],[TechTypeID]],$A625),":","__"),"")</f>
        <v>HV_Tech__OccSens</v>
      </c>
    </row>
    <row r="626" spans="1:2" hidden="1" x14ac:dyDescent="0.25">
      <c r="A626" s="1">
        <v>73</v>
      </c>
      <c r="B626" t="str" cm="1">
        <f t="array" ref="B626">IFERROR(SUBSTITUTE(INDEX(TechType[[#All],[TechTypeID]],$A626),":","__"),"")</f>
        <v>HV_Tech__OxyDemCtrl</v>
      </c>
    </row>
    <row r="627" spans="1:2" hidden="1" x14ac:dyDescent="0.25">
      <c r="A627" s="1">
        <v>187</v>
      </c>
      <c r="B627" t="str" cm="1">
        <f t="array" ref="B627">IFERROR(SUBSTITUTE(INDEX(TechType[[#All],[TechTypeID]],$A627),":","__"),"")</f>
        <v>HV_Tech__Timer</v>
      </c>
    </row>
    <row r="628" spans="1:2" hidden="1" x14ac:dyDescent="0.25">
      <c r="A628" s="1">
        <v>72</v>
      </c>
      <c r="B628" t="str" cm="1">
        <f t="array" ref="B628">IFERROR(SUBSTITUTE(INDEX(TechType[[#All],[TechTypeID]],$A628),":","__"),"")</f>
        <v>HV_Tech__TimerRes</v>
      </c>
    </row>
    <row r="629" spans="1:2" hidden="1" x14ac:dyDescent="0.25">
      <c r="A629" s="1">
        <v>190</v>
      </c>
      <c r="B629" t="str" cm="1">
        <f t="array" ref="B629">IFERROR(SUBSTITUTE(INDEX(TechType[[#All],[TechTypeID]],$A629),":","__"),"")</f>
        <v>HV_Tech__TStat</v>
      </c>
    </row>
    <row r="630" spans="1:2" hidden="1" x14ac:dyDescent="0.25">
      <c r="A630" s="1">
        <v>93</v>
      </c>
      <c r="B630" t="str" cm="1">
        <f t="array" ref="B630">IFERROR(SUBSTITUTE(INDEX(TechType[[#All],[TechTypeID]],$A630),":","__"),"")</f>
        <v>HV_Tech__WHFan</v>
      </c>
    </row>
    <row r="631" spans="1:2" hidden="1" x14ac:dyDescent="0.25">
      <c r="A631" s="1">
        <v>96</v>
      </c>
      <c r="B631" t="str" cm="1">
        <f t="array" ref="B631">IFERROR(SUBSTITUTE(INDEX(TechType[[#All],[TechTypeID]],$A631),":","__"),"")</f>
        <v>Irrigation__IrrifSys</v>
      </c>
    </row>
    <row r="632" spans="1:2" hidden="1" x14ac:dyDescent="0.25">
      <c r="A632" s="1">
        <v>31</v>
      </c>
      <c r="B632" t="str" cm="1">
        <f t="array" ref="B632">IFERROR(SUBSTITUTE(INDEX(TechType[[#All],[TechTypeID]],$A632),":","__"),"")</f>
        <v>LiquidCirc__CircBlockHtr</v>
      </c>
    </row>
    <row r="633" spans="1:2" hidden="1" x14ac:dyDescent="0.25">
      <c r="A633" s="1">
        <v>74</v>
      </c>
      <c r="B633" t="str" cm="1">
        <f t="array" ref="B633">IFERROR(SUBSTITUTE(INDEX(TechType[[#All],[TechTypeID]],$A633),":","__"),"")</f>
        <v>LiquidCirc__CompHeatRecov</v>
      </c>
    </row>
    <row r="634" spans="1:2" hidden="1" x14ac:dyDescent="0.25">
      <c r="A634" s="1">
        <v>83</v>
      </c>
      <c r="B634" t="str" cm="1">
        <f t="array" ref="B634">IFERROR(SUBSTITUTE(INDEX(TechType[[#All],[TechTypeID]],$A634),":","__"),"")</f>
        <v>LiquidCirc__FlowCtrl</v>
      </c>
    </row>
    <row r="635" spans="1:2" hidden="1" x14ac:dyDescent="0.25">
      <c r="A635" s="1">
        <v>206</v>
      </c>
      <c r="B635" t="str" cm="1">
        <f t="array" ref="B635">IFERROR(SUBSTITUTE(INDEX(TechType[[#All],[TechTypeID]],$A635),":","__"),"")</f>
        <v>LiquidCirc__FlowTempCtrl</v>
      </c>
    </row>
    <row r="636" spans="1:2" hidden="1" x14ac:dyDescent="0.25">
      <c r="A636" s="1">
        <v>205</v>
      </c>
      <c r="B636" t="str" cm="1">
        <f t="array" ref="B636">IFERROR(SUBSTITUTE(INDEX(TechType[[#All],[TechTypeID]],$A636),":","__"),"")</f>
        <v>LiquidCirc__PipeIns</v>
      </c>
    </row>
    <row r="637" spans="1:2" hidden="1" x14ac:dyDescent="0.25">
      <c r="A637" s="1">
        <v>204</v>
      </c>
      <c r="B637" t="str" cm="1">
        <f t="array" ref="B637">IFERROR(SUBSTITUTE(INDEX(TechType[[#All],[TechTypeID]],$A637),":","__"),"")</f>
        <v>LiquidCirc__PumpMtr</v>
      </c>
    </row>
    <row r="638" spans="1:2" hidden="1" x14ac:dyDescent="0.25">
      <c r="A638" s="1">
        <v>203</v>
      </c>
      <c r="B638" t="str" cm="1">
        <f t="array" ref="B638">IFERROR(SUBSTITUTE(INDEX(TechType[[#All],[TechTypeID]],$A638),":","__"),"")</f>
        <v>LiquidCirc__TempReset</v>
      </c>
    </row>
    <row r="639" spans="1:2" hidden="1" x14ac:dyDescent="0.25">
      <c r="A639" s="1">
        <v>202</v>
      </c>
      <c r="B639" t="str" cm="1">
        <f t="array" ref="B639">IFERROR(SUBSTITUTE(INDEX(TechType[[#All],[TechTypeID]],$A639),":","__"),"")</f>
        <v>LiquidCirc__Timer</v>
      </c>
    </row>
    <row r="640" spans="1:2" hidden="1" x14ac:dyDescent="0.25">
      <c r="A640" s="1">
        <v>58</v>
      </c>
      <c r="B640" t="str" cm="1">
        <f t="array" ref="B640">IFERROR(SUBSTITUTE(INDEX(TechType[[#All],[TechTypeID]],$A640),":","__"),"")</f>
        <v>Ltg_Ballast__LF</v>
      </c>
    </row>
    <row r="641" spans="1:2" hidden="1" x14ac:dyDescent="0.25">
      <c r="A641" s="1">
        <v>132</v>
      </c>
      <c r="B641" t="str" cm="1">
        <f t="array" ref="B641">IFERROR(SUBSTITUTE(INDEX(TechType[[#All],[TechTypeID]],$A641),":","__"),"")</f>
        <v>Ltg_Controls__IRsensor</v>
      </c>
    </row>
    <row r="642" spans="1:2" hidden="1" x14ac:dyDescent="0.25">
      <c r="A642" s="1">
        <v>134</v>
      </c>
      <c r="B642" t="str" cm="1">
        <f t="array" ref="B642">IFERROR(SUBSTITUTE(INDEX(TechType[[#All],[TechTypeID]],$A642),":","__"),"")</f>
        <v>Ltg_Controls__LtSensor</v>
      </c>
    </row>
    <row r="643" spans="1:2" hidden="1" x14ac:dyDescent="0.25">
      <c r="A643" s="1">
        <v>81</v>
      </c>
      <c r="B643" t="str" cm="1">
        <f t="array" ref="B643">IFERROR(SUBSTITUTE(INDEX(TechType[[#All],[TechTypeID]],$A643),":","__"),"")</f>
        <v>Ltg_Controls__OccSensor</v>
      </c>
    </row>
    <row r="644" spans="1:2" hidden="1" x14ac:dyDescent="0.25">
      <c r="A644" s="1">
        <v>133</v>
      </c>
      <c r="B644" t="str" cm="1">
        <f t="array" ref="B644">IFERROR(SUBSTITUTE(INDEX(TechType[[#All],[TechTypeID]],$A644),":","__"),"")</f>
        <v>Ltg_Controls__Timer</v>
      </c>
    </row>
    <row r="645" spans="1:2" hidden="1" x14ac:dyDescent="0.25">
      <c r="A645" s="1">
        <v>51</v>
      </c>
      <c r="B645" t="str" cm="1">
        <f t="array" ref="B645">IFERROR(SUBSTITUTE(INDEX(TechType[[#All],[TechTypeID]],$A645),":","__"),"")</f>
        <v>Ltg_Fixture__CFL_</v>
      </c>
    </row>
    <row r="646" spans="1:2" hidden="1" x14ac:dyDescent="0.25">
      <c r="A646" s="1">
        <v>54</v>
      </c>
      <c r="B646" t="str" cm="1">
        <f t="array" ref="B646">IFERROR(SUBSTITUTE(INDEX(TechType[[#All],[TechTypeID]],$A646),":","__"),"")</f>
        <v>Ltg_Fixture__Exit</v>
      </c>
    </row>
    <row r="647" spans="1:2" hidden="1" x14ac:dyDescent="0.25">
      <c r="A647" s="1">
        <v>52</v>
      </c>
      <c r="B647" t="str" cm="1">
        <f t="array" ref="B647">IFERROR(SUBSTITUTE(INDEX(TechType[[#All],[TechTypeID]],$A647),":","__"),"")</f>
        <v>Ltg_Fixture__HID</v>
      </c>
    </row>
    <row r="648" spans="1:2" hidden="1" x14ac:dyDescent="0.25">
      <c r="A648" s="1">
        <v>44</v>
      </c>
      <c r="B648" t="str" cm="1">
        <f t="array" ref="B648">IFERROR(SUBSTITUTE(INDEX(TechType[[#All],[TechTypeID]],$A648),":","__"),"")</f>
        <v>Ltg_Fixture__Ind</v>
      </c>
    </row>
    <row r="649" spans="1:2" hidden="1" x14ac:dyDescent="0.25">
      <c r="A649" s="1">
        <v>53</v>
      </c>
      <c r="B649" t="str" cm="1">
        <f t="array" ref="B649">IFERROR(SUBSTITUTE(INDEX(TechType[[#All],[TechTypeID]],$A649),":","__"),"")</f>
        <v>Ltg_Fixture__LED</v>
      </c>
    </row>
    <row r="650" spans="1:2" hidden="1" x14ac:dyDescent="0.25">
      <c r="A650" s="1">
        <v>55</v>
      </c>
      <c r="B650" t="str" cm="1">
        <f t="array" ref="B650">IFERROR(SUBSTITUTE(INDEX(TechType[[#All],[TechTypeID]],$A650),":","__"),"")</f>
        <v>Ltg_Fixture__LinFluor</v>
      </c>
    </row>
    <row r="651" spans="1:2" hidden="1" x14ac:dyDescent="0.25">
      <c r="A651" s="1">
        <v>63</v>
      </c>
      <c r="B651" t="str" cm="1">
        <f t="array" ref="B651">IFERROR(SUBSTITUTE(INDEX(TechType[[#All],[TechTypeID]],$A651),":","__"),"")</f>
        <v>Ltg_Lamp__CFLint</v>
      </c>
    </row>
    <row r="652" spans="1:2" hidden="1" x14ac:dyDescent="0.25">
      <c r="A652" s="1">
        <v>62</v>
      </c>
      <c r="B652" t="str" cm="1">
        <f t="array" ref="B652">IFERROR(SUBSTITUTE(INDEX(TechType[[#All],[TechTypeID]],$A652),":","__"),"")</f>
        <v>Ltg_Lamp__CFLpin</v>
      </c>
    </row>
    <row r="653" spans="1:2" hidden="1" x14ac:dyDescent="0.25">
      <c r="A653" s="1">
        <v>61</v>
      </c>
      <c r="B653" t="str" cm="1">
        <f t="array" ref="B653">IFERROR(SUBSTITUTE(INDEX(TechType[[#All],[TechTypeID]],$A653),":","__"),"")</f>
        <v>Ltg_Lamp__Hal</v>
      </c>
    </row>
    <row r="654" spans="1:2" hidden="1" x14ac:dyDescent="0.25">
      <c r="A654" s="1">
        <v>64</v>
      </c>
      <c r="B654" t="str" cm="1">
        <f t="array" ref="B654">IFERROR(SUBSTITUTE(INDEX(TechType[[#All],[TechTypeID]],$A654),":","__"),"")</f>
        <v>Ltg_Lamp__Incan</v>
      </c>
    </row>
    <row r="655" spans="1:2" hidden="1" x14ac:dyDescent="0.25">
      <c r="A655" s="1">
        <v>60</v>
      </c>
      <c r="B655" t="str" cm="1">
        <f t="array" ref="B655">IFERROR(SUBSTITUTE(INDEX(TechType[[#All],[TechTypeID]],$A655),":","__"),"")</f>
        <v>Ltg_Lamp__LED</v>
      </c>
    </row>
    <row r="656" spans="1:2" hidden="1" x14ac:dyDescent="0.25">
      <c r="A656" s="1">
        <v>59</v>
      </c>
      <c r="B656" t="str" cm="1">
        <f t="array" ref="B656">IFERROR(SUBSTITUTE(INDEX(TechType[[#All],[TechTypeID]],$A656),":","__"),"")</f>
        <v>Ltg_Lamp__LF</v>
      </c>
    </row>
    <row r="657" spans="1:2" hidden="1" x14ac:dyDescent="0.25">
      <c r="A657" s="1">
        <v>46</v>
      </c>
      <c r="B657" t="str" cm="1">
        <f t="array" ref="B657">IFERROR(SUBSTITUTE(INDEX(TechType[[#All],[TechTypeID]],$A657),":","__"),"")</f>
        <v>Ltg_Lmp+Blst__CFL</v>
      </c>
    </row>
    <row r="658" spans="1:2" hidden="1" x14ac:dyDescent="0.25">
      <c r="A658" s="1">
        <v>56</v>
      </c>
      <c r="B658" t="str" cm="1">
        <f t="array" ref="B658">IFERROR(SUBSTITUTE(INDEX(TechType[[#All],[TechTypeID]],$A658),":","__"),"")</f>
        <v>Ltg_Lmp+Blst__HID</v>
      </c>
    </row>
    <row r="659" spans="1:2" hidden="1" x14ac:dyDescent="0.25">
      <c r="A659" s="1">
        <v>45</v>
      </c>
      <c r="B659" t="str" cm="1">
        <f t="array" ref="B659">IFERROR(SUBSTITUTE(INDEX(TechType[[#All],[TechTypeID]],$A659),":","__"),"")</f>
        <v>Ltg_Lmp+Blst__Ind</v>
      </c>
    </row>
    <row r="660" spans="1:2" hidden="1" x14ac:dyDescent="0.25">
      <c r="A660" s="1">
        <v>57</v>
      </c>
      <c r="B660" t="str" cm="1">
        <f t="array" ref="B660">IFERROR(SUBSTITUTE(INDEX(TechType[[#All],[TechTypeID]],$A660),":","__"),"")</f>
        <v>Ltg_Lmp+Blst__LF</v>
      </c>
    </row>
    <row r="661" spans="1:2" hidden="1" x14ac:dyDescent="0.25">
      <c r="A661" s="1">
        <v>48</v>
      </c>
      <c r="B661" t="str" cm="1">
        <f t="array" ref="B661">IFERROR(SUBSTITUTE(INDEX(TechType[[#All],[TechTypeID]],$A661),":","__"),"")</f>
        <v>Ltg_PlugIn__Fixture</v>
      </c>
    </row>
    <row r="662" spans="1:2" hidden="1" x14ac:dyDescent="0.25">
      <c r="A662" s="1">
        <v>50</v>
      </c>
      <c r="B662" t="str" cm="1">
        <f t="array" ref="B662">IFERROR(SUBSTITUTE(INDEX(TechType[[#All],[TechTypeID]],$A662),":","__"),"")</f>
        <v>Ltg_PlugIn__LtString</v>
      </c>
    </row>
    <row r="663" spans="1:2" hidden="1" x14ac:dyDescent="0.25">
      <c r="A663" s="1">
        <v>49</v>
      </c>
      <c r="B663" t="str" cm="1">
        <f t="array" ref="B663">IFERROR(SUBSTITUTE(INDEX(TechType[[#All],[TechTypeID]],$A663),":","__"),"")</f>
        <v>Ltg_PlugIn__NiteLight</v>
      </c>
    </row>
    <row r="664" spans="1:2" hidden="1" x14ac:dyDescent="0.25">
      <c r="A664" s="1">
        <v>47</v>
      </c>
      <c r="B664" t="str" cm="1">
        <f t="array" ref="B664">IFERROR(SUBSTITUTE(INDEX(TechType[[#All],[TechTypeID]],$A664),":","__"),"")</f>
        <v>Ltg_PlugIn__Signage</v>
      </c>
    </row>
    <row r="665" spans="1:2" hidden="1" x14ac:dyDescent="0.25">
      <c r="A665" s="1">
        <v>173</v>
      </c>
      <c r="B665" t="str" cm="1">
        <f t="array" ref="B665">IFERROR(SUBSTITUTE(INDEX(TechType[[#All],[TechTypeID]],$A665),":","__"),"")</f>
        <v>Motor__GenPurpose</v>
      </c>
    </row>
    <row r="666" spans="1:2" hidden="1" x14ac:dyDescent="0.25">
      <c r="A666" s="1">
        <v>176</v>
      </c>
      <c r="B666" t="str" cm="1">
        <f t="array" ref="B666">IFERROR(SUBSTITUTE(INDEX(TechType[[#All],[TechTypeID]],$A666),":","__"),"")</f>
        <v>Motor_gen__Agitation</v>
      </c>
    </row>
    <row r="667" spans="1:2" hidden="1" x14ac:dyDescent="0.25">
      <c r="A667" s="1">
        <v>175</v>
      </c>
      <c r="B667" t="str" cm="1">
        <f t="array" ref="B667">IFERROR(SUBSTITUTE(INDEX(TechType[[#All],[TechTypeID]],$A667),":","__"),"")</f>
        <v>Motor_gen__BlrDraftFan</v>
      </c>
    </row>
    <row r="668" spans="1:2" hidden="1" x14ac:dyDescent="0.25">
      <c r="A668" s="1">
        <v>182</v>
      </c>
      <c r="B668" t="str" cm="1">
        <f t="array" ref="B668">IFERROR(SUBSTITUTE(INDEX(TechType[[#All],[TechTypeID]],$A668),":","__"),"")</f>
        <v>Motor_gen__CondRetpmp</v>
      </c>
    </row>
    <row r="669" spans="1:2" hidden="1" x14ac:dyDescent="0.25">
      <c r="A669" s="1">
        <v>180</v>
      </c>
      <c r="B669" t="str" cm="1">
        <f t="array" ref="B669">IFERROR(SUBSTITUTE(INDEX(TechType[[#All],[TechTypeID]],$A669),":","__"),"")</f>
        <v>Motor_gen__ConveyDrv</v>
      </c>
    </row>
    <row r="670" spans="1:2" hidden="1" x14ac:dyDescent="0.25">
      <c r="A670" s="1">
        <v>179</v>
      </c>
      <c r="B670" t="str" cm="1">
        <f t="array" ref="B670">IFERROR(SUBSTITUTE(INDEX(TechType[[#All],[TechTypeID]],$A670),":","__"),"")</f>
        <v>Motor_gen__ElevDrv</v>
      </c>
    </row>
    <row r="671" spans="1:2" hidden="1" x14ac:dyDescent="0.25">
      <c r="A671" s="1">
        <v>174</v>
      </c>
      <c r="B671" t="str" cm="1">
        <f t="array" ref="B671">IFERROR(SUBSTITUTE(INDEX(TechType[[#All],[TechTypeID]],$A671),":","__"),"")</f>
        <v>Motor_gen__IrrigPmp</v>
      </c>
    </row>
    <row r="672" spans="1:2" hidden="1" x14ac:dyDescent="0.25">
      <c r="A672" s="1">
        <v>178</v>
      </c>
      <c r="B672" t="str" cm="1">
        <f t="array" ref="B672">IFERROR(SUBSTITUTE(INDEX(TechType[[#All],[TechTypeID]],$A672),":","__"),"")</f>
        <v>Motor_gen__ManMachDrv</v>
      </c>
    </row>
    <row r="673" spans="1:2" hidden="1" x14ac:dyDescent="0.25">
      <c r="A673" s="1">
        <v>177</v>
      </c>
      <c r="B673" t="str" cm="1">
        <f t="array" ref="B673">IFERROR(SUBSTITUTE(INDEX(TechType[[#All],[TechTypeID]],$A673),":","__"),"")</f>
        <v>Motor_gen__MatProcDrv</v>
      </c>
    </row>
    <row r="674" spans="1:2" hidden="1" x14ac:dyDescent="0.25">
      <c r="A674" s="1">
        <v>183</v>
      </c>
      <c r="B674" t="str" cm="1">
        <f t="array" ref="B674">IFERROR(SUBSTITUTE(INDEX(TechType[[#All],[TechTypeID]],$A674),":","__"),"")</f>
        <v>Motor_gen__MUWaterPmp</v>
      </c>
    </row>
    <row r="675" spans="1:2" hidden="1" x14ac:dyDescent="0.25">
      <c r="A675" s="1">
        <v>181</v>
      </c>
      <c r="B675" t="str" cm="1">
        <f t="array" ref="B675">IFERROR(SUBSTITUTE(INDEX(TechType[[#All],[TechTypeID]],$A675),":","__"),"")</f>
        <v>Motor_gen__StackExfan</v>
      </c>
    </row>
    <row r="676" spans="1:2" hidden="1" x14ac:dyDescent="0.25">
      <c r="A676" s="1">
        <v>172</v>
      </c>
      <c r="B676" t="str" cm="1">
        <f t="array" ref="B676">IFERROR(SUBSTITUTE(INDEX(TechType[[#All],[TechTypeID]],$A676),":","__"),"")</f>
        <v>Motor_Spd__ASD</v>
      </c>
    </row>
    <row r="677" spans="1:2" hidden="1" x14ac:dyDescent="0.25">
      <c r="A677" s="1">
        <v>14</v>
      </c>
      <c r="B677" t="str" cm="1">
        <f t="array" ref="B677">IFERROR(SUBSTITUTE(INDEX(TechType[[#All],[TechTypeID]],$A677),":","__"),"")</f>
        <v>NonSav__Bonus</v>
      </c>
    </row>
    <row r="678" spans="1:2" hidden="1" x14ac:dyDescent="0.25">
      <c r="A678" s="1">
        <v>16</v>
      </c>
      <c r="B678" t="str" cm="1">
        <f t="array" ref="B678">IFERROR(SUBSTITUTE(INDEX(TechType[[#All],[TechTypeID]],$A678),":","__"),"")</f>
        <v>NonSav__Correction</v>
      </c>
    </row>
    <row r="679" spans="1:2" hidden="1" x14ac:dyDescent="0.25">
      <c r="A679" s="1">
        <v>17</v>
      </c>
      <c r="B679" t="str" cm="1">
        <f t="array" ref="B679">IFERROR(SUBSTITUTE(INDEX(TechType[[#All],[TechTypeID]],$A679),":","__"),"")</f>
        <v>NonSav__NonSav</v>
      </c>
    </row>
    <row r="680" spans="1:2" hidden="1" x14ac:dyDescent="0.25">
      <c r="A680" s="1">
        <v>15</v>
      </c>
      <c r="B680" t="str" cm="1">
        <f t="array" ref="B680">IFERROR(SUBSTITUTE(INDEX(TechType[[#All],[TechTypeID]],$A680),":","__"),"")</f>
        <v>NonSav__Pilot</v>
      </c>
    </row>
    <row r="681" spans="1:2" hidden="1" x14ac:dyDescent="0.25">
      <c r="A681" s="1">
        <v>86</v>
      </c>
      <c r="B681" t="str" cm="1">
        <f t="array" ref="B681">IFERROR(SUBSTITUTE(INDEX(TechType[[#All],[TechTypeID]],$A681),":","__"),"")</f>
        <v>PoolSpa_eq__LqdPoolCvr</v>
      </c>
    </row>
    <row r="682" spans="1:2" hidden="1" x14ac:dyDescent="0.25">
      <c r="A682" s="1">
        <v>28</v>
      </c>
      <c r="B682" t="str" cm="1">
        <f t="array" ref="B682">IFERROR(SUBSTITUTE(INDEX(TechType[[#All],[TechTypeID]],$A682),":","__"),"")</f>
        <v>PoolSpa_eq__PoolCvr</v>
      </c>
    </row>
    <row r="683" spans="1:2" hidden="1" x14ac:dyDescent="0.25">
      <c r="A683" s="1">
        <v>27</v>
      </c>
      <c r="B683" t="str" cm="1">
        <f t="array" ref="B683">IFERROR(SUBSTITUTE(INDEX(TechType[[#All],[TechTypeID]],$A683),":","__"),"")</f>
        <v>PoolSpa_eq__PoolHeater</v>
      </c>
    </row>
    <row r="684" spans="1:2" hidden="1" x14ac:dyDescent="0.25">
      <c r="A684" s="1">
        <v>78</v>
      </c>
      <c r="B684" t="str" cm="1">
        <f t="array" ref="B684">IFERROR(SUBSTITUTE(INDEX(TechType[[#All],[TechTypeID]],$A684),":","__"),"")</f>
        <v>PoolSpa_eq__PoolPump</v>
      </c>
    </row>
    <row r="685" spans="1:2" hidden="1" x14ac:dyDescent="0.25">
      <c r="A685" s="1">
        <v>43</v>
      </c>
      <c r="B685" t="str" cm="1">
        <f t="array" ref="B685">IFERROR(SUBSTITUTE(INDEX(TechType[[#All],[TechTypeID]],$A685),":","__"),"")</f>
        <v>PumpSystem__CentBstr</v>
      </c>
    </row>
    <row r="686" spans="1:2" hidden="1" x14ac:dyDescent="0.25">
      <c r="A686" s="1">
        <v>143</v>
      </c>
      <c r="B686" t="str" cm="1">
        <f t="array" ref="B686">IFERROR(SUBSTITUTE(INDEX(TechType[[#All],[TechTypeID]],$A686),":","__"),"")</f>
        <v>PumpSystem__Centrif</v>
      </c>
    </row>
    <row r="687" spans="1:2" hidden="1" x14ac:dyDescent="0.25">
      <c r="A687" s="1">
        <v>141</v>
      </c>
      <c r="B687" t="str" cm="1">
        <f t="array" ref="B687">IFERROR(SUBSTITUTE(INDEX(TechType[[#All],[TechTypeID]],$A687),":","__"),"")</f>
        <v>PumpSystem__PosDisp</v>
      </c>
    </row>
    <row r="688" spans="1:2" hidden="1" x14ac:dyDescent="0.25">
      <c r="A688" s="1">
        <v>142</v>
      </c>
      <c r="B688" t="str" cm="1">
        <f t="array" ref="B688">IFERROR(SUBSTITUTE(INDEX(TechType[[#All],[TechTypeID]],$A688),":","__"),"")</f>
        <v>PumpSystem__ProgCapac</v>
      </c>
    </row>
    <row r="689" spans="1:2" hidden="1" x14ac:dyDescent="0.25">
      <c r="A689" s="1">
        <v>42</v>
      </c>
      <c r="B689" t="str" cm="1">
        <f t="array" ref="B689">IFERROR(SUBSTITUTE(INDEX(TechType[[#All],[TechTypeID]],$A689),":","__"),"")</f>
        <v>PumpSystem__SubBstr</v>
      </c>
    </row>
    <row r="690" spans="1:2" hidden="1" x14ac:dyDescent="0.25">
      <c r="A690" s="1">
        <v>41</v>
      </c>
      <c r="B690" t="str" cm="1">
        <f t="array" ref="B690">IFERROR(SUBSTITUTE(INDEX(TechType[[#All],[TechTypeID]],$A690),":","__"),"")</f>
        <v>PumpSystem__SubWell</v>
      </c>
    </row>
    <row r="691" spans="1:2" hidden="1" x14ac:dyDescent="0.25">
      <c r="A691" s="1">
        <v>40</v>
      </c>
      <c r="B691" t="str" cm="1">
        <f t="array" ref="B691">IFERROR(SUBSTITUTE(INDEX(TechType[[#All],[TechTypeID]],$A691),":","__"),"")</f>
        <v>PumpSystem__TurbBstr</v>
      </c>
    </row>
    <row r="692" spans="1:2" hidden="1" x14ac:dyDescent="0.25">
      <c r="A692" s="1">
        <v>39</v>
      </c>
      <c r="B692" t="str" cm="1">
        <f t="array" ref="B692">IFERROR(SUBSTITUTE(INDEX(TechType[[#All],[TechTypeID]],$A692),":","__"),"")</f>
        <v>PumpSystem__TurbWell</v>
      </c>
    </row>
    <row r="693" spans="1:2" hidden="1" x14ac:dyDescent="0.25">
      <c r="A693" s="1">
        <v>109</v>
      </c>
      <c r="B693" t="str" cm="1">
        <f t="array" ref="B693">IFERROR(SUBSTITUTE(INDEX(TechType[[#All],[TechTypeID]],$A693),":","__"),"")</f>
        <v>Ref_SelfCon__IceMach</v>
      </c>
    </row>
    <row r="694" spans="1:2" hidden="1" x14ac:dyDescent="0.25">
      <c r="A694" s="1">
        <v>75</v>
      </c>
      <c r="B694" t="str" cm="1">
        <f t="array" ref="B694">IFERROR(SUBSTITUTE(INDEX(TechType[[#All],[TechTypeID]],$A694),":","__"),"")</f>
        <v xml:space="preserve">Ref_Storage__AutoCloserCF_x000D_
</v>
      </c>
    </row>
    <row r="695" spans="1:2" hidden="1" x14ac:dyDescent="0.25">
      <c r="A695" s="1">
        <v>128</v>
      </c>
      <c r="B695" t="str" cm="1">
        <f t="array" ref="B695">IFERROR(SUBSTITUTE(INDEX(TechType[[#All],[TechTypeID]],$A695),":","__"),"")</f>
        <v>Ref_Storage__Freezer</v>
      </c>
    </row>
    <row r="696" spans="1:2" hidden="1" x14ac:dyDescent="0.25">
      <c r="A696" s="1">
        <v>79</v>
      </c>
      <c r="B696" t="str" cm="1">
        <f t="array" ref="B696">IFERROR(SUBSTITUTE(INDEX(TechType[[#All],[TechTypeID]],$A696),":","__"),"")</f>
        <v>Ref_Storage__Gasket</v>
      </c>
    </row>
    <row r="697" spans="1:2" hidden="1" x14ac:dyDescent="0.25">
      <c r="A697" s="1">
        <v>131</v>
      </c>
      <c r="B697" t="str" cm="1">
        <f t="array" ref="B697">IFERROR(SUBSTITUTE(INDEX(TechType[[#All],[TechTypeID]],$A697),":","__"),"")</f>
        <v>Ref_Storage__HorDisp</v>
      </c>
    </row>
    <row r="698" spans="1:2" hidden="1" x14ac:dyDescent="0.25">
      <c r="A698" s="1">
        <v>76</v>
      </c>
      <c r="B698" t="str" cm="1">
        <f t="array" ref="B698">IFERROR(SUBSTITUTE(INDEX(TechType[[#All],[TechTypeID]],$A698),":","__"),"")</f>
        <v xml:space="preserve">Ref_Storage__NightCover_x000D_
</v>
      </c>
    </row>
    <row r="699" spans="1:2" hidden="1" x14ac:dyDescent="0.25">
      <c r="A699" s="1">
        <v>121</v>
      </c>
      <c r="B699" t="str" cm="1">
        <f t="array" ref="B699">IFERROR(SUBSTITUTE(INDEX(TechType[[#All],[TechTypeID]],$A699),":","__"),"")</f>
        <v>Ref_Storage__ReachIn</v>
      </c>
    </row>
    <row r="700" spans="1:2" hidden="1" x14ac:dyDescent="0.25">
      <c r="A700" s="1">
        <v>65</v>
      </c>
      <c r="B700" t="str" cm="1">
        <f t="array" ref="B700">IFERROR(SUBSTITUTE(INDEX(TechType[[#All],[TechTypeID]],$A700),":","__"),"")</f>
        <v>Ref_Storage__RefControl</v>
      </c>
    </row>
    <row r="701" spans="1:2" hidden="1" x14ac:dyDescent="0.25">
      <c r="A701" s="1">
        <v>129</v>
      </c>
      <c r="B701" t="str" cm="1">
        <f t="array" ref="B701">IFERROR(SUBSTITUTE(INDEX(TechType[[#All],[TechTypeID]],$A701),":","__"),"")</f>
        <v>Ref_Storage__RefrigFrz</v>
      </c>
    </row>
    <row r="702" spans="1:2" hidden="1" x14ac:dyDescent="0.25">
      <c r="A702" s="1">
        <v>122</v>
      </c>
      <c r="B702" t="str" cm="1">
        <f t="array" ref="B702">IFERROR(SUBSTITUTE(INDEX(TechType[[#All],[TechTypeID]],$A702),":","__"),"")</f>
        <v>Ref_Storage__RefrigLtg</v>
      </c>
    </row>
    <row r="703" spans="1:2" hidden="1" x14ac:dyDescent="0.25">
      <c r="A703" s="1">
        <v>124</v>
      </c>
      <c r="B703" t="str" cm="1">
        <f t="array" ref="B703">IFERROR(SUBSTITUTE(INDEX(TechType[[#All],[TechTypeID]],$A703),":","__"),"")</f>
        <v>Ref_Storage__StripCurt</v>
      </c>
    </row>
    <row r="704" spans="1:2" hidden="1" x14ac:dyDescent="0.25">
      <c r="A704" s="1">
        <v>123</v>
      </c>
      <c r="B704" t="str" cm="1">
        <f t="array" ref="B704">IFERROR(SUBSTITUTE(INDEX(TechType[[#All],[TechTypeID]],$A704),":","__"),"")</f>
        <v>Ref_Storage__TempSensor</v>
      </c>
    </row>
    <row r="705" spans="1:2" hidden="1" x14ac:dyDescent="0.25">
      <c r="A705" s="1">
        <v>130</v>
      </c>
      <c r="B705" t="str" cm="1">
        <f t="array" ref="B705">IFERROR(SUBSTITUTE(INDEX(TechType[[#All],[TechTypeID]],$A705),":","__"),"")</f>
        <v>Ref_Storage__VertDisplay</v>
      </c>
    </row>
    <row r="706" spans="1:2" hidden="1" x14ac:dyDescent="0.25">
      <c r="A706" s="1">
        <v>77</v>
      </c>
      <c r="B706" t="str" cm="1">
        <f t="array" ref="B706">IFERROR(SUBSTITUTE(INDEX(TechType[[#All],[TechTypeID]],$A706),":","__"),"")</f>
        <v>Ref_Storage__VMController</v>
      </c>
    </row>
    <row r="707" spans="1:2" hidden="1" x14ac:dyDescent="0.25">
      <c r="A707" s="1">
        <v>126</v>
      </c>
      <c r="B707" t="str" cm="1">
        <f t="array" ref="B707">IFERROR(SUBSTITUTE(INDEX(TechType[[#All],[TechTypeID]],$A707),":","__"),"")</f>
        <v>Ref_Storage__WalkInCool</v>
      </c>
    </row>
    <row r="708" spans="1:2" hidden="1" x14ac:dyDescent="0.25">
      <c r="A708" s="1">
        <v>127</v>
      </c>
      <c r="B708" t="str" cm="1">
        <f t="array" ref="B708">IFERROR(SUBSTITUTE(INDEX(TechType[[#All],[TechTypeID]],$A708),":","__"),"")</f>
        <v>Ref_Storage__WalkInDoor</v>
      </c>
    </row>
    <row r="709" spans="1:2" hidden="1" x14ac:dyDescent="0.25">
      <c r="A709" s="1">
        <v>125</v>
      </c>
      <c r="B709" t="str" cm="1">
        <f t="array" ref="B709">IFERROR(SUBSTITUTE(INDEX(TechType[[#All],[TechTypeID]],$A709),":","__"),"")</f>
        <v>Ref_Storage__WalkInFrz</v>
      </c>
    </row>
    <row r="710" spans="1:2" hidden="1" x14ac:dyDescent="0.25">
      <c r="A710" s="1">
        <v>135</v>
      </c>
      <c r="B710" t="str" cm="1">
        <f t="array" ref="B710">IFERROR(SUBSTITUTE(INDEX(TechType[[#All],[TechTypeID]],$A710),":","__"),"")</f>
        <v>RodPumps__PumpCtrl</v>
      </c>
    </row>
    <row r="711" spans="1:2" hidden="1" x14ac:dyDescent="0.25">
      <c r="A711" s="1">
        <v>217</v>
      </c>
      <c r="B711" t="str" cm="1">
        <f t="array" ref="B711">IFERROR(SUBSTITUTE(INDEX(TechType[[#All],[TechTypeID]],$A711),":","__"),"")</f>
        <v>SpaceHtg_eq__GasFurnace</v>
      </c>
    </row>
    <row r="712" spans="1:2" hidden="1" x14ac:dyDescent="0.25">
      <c r="A712" s="1">
        <v>139</v>
      </c>
      <c r="B712" t="str" cm="1">
        <f t="array" ref="B712">IFERROR(SUBSTITUTE(INDEX(TechType[[#All],[TechTypeID]],$A712),":","__"),"")</f>
        <v>SteamCirc__PipeIns</v>
      </c>
    </row>
    <row r="713" spans="1:2" hidden="1" x14ac:dyDescent="0.25">
      <c r="A713" s="1">
        <v>140</v>
      </c>
      <c r="B713" t="str" cm="1">
        <f t="array" ref="B713">IFERROR(SUBSTITUTE(INDEX(TechType[[#All],[TechTypeID]],$A713),":","__"),"")</f>
        <v>SteamCirc__SteamTrap</v>
      </c>
    </row>
    <row r="714" spans="1:2" hidden="1" x14ac:dyDescent="0.25">
      <c r="A714" s="1">
        <v>163</v>
      </c>
      <c r="B714" t="str" cm="1">
        <f t="array" ref="B714">IFERROR(SUBSTITUTE(INDEX(TechType[[#All],[TechTypeID]],$A714),":","__"),"")</f>
        <v>SteamHtg_eq__Boiler_AF</v>
      </c>
    </row>
    <row r="715" spans="1:2" hidden="1" x14ac:dyDescent="0.25">
      <c r="A715" s="1">
        <v>162</v>
      </c>
      <c r="B715" t="str" cm="1">
        <f t="array" ref="B715">IFERROR(SUBSTITUTE(INDEX(TechType[[#All],[TechTypeID]],$A715),":","__"),"")</f>
        <v>SteamHtg_eq__Boiler_Et</v>
      </c>
    </row>
    <row r="716" spans="1:2" hidden="1" x14ac:dyDescent="0.25">
      <c r="A716" s="1">
        <v>138</v>
      </c>
      <c r="B716" t="str" cm="1">
        <f t="array" ref="B716">IFERROR(SUBSTITUTE(INDEX(TechType[[#All],[TechTypeID]],$A716),":","__"),"")</f>
        <v>VertTrans__ElevMotor</v>
      </c>
    </row>
    <row r="717" spans="1:2" hidden="1" x14ac:dyDescent="0.25">
      <c r="A717" s="1">
        <v>29</v>
      </c>
      <c r="B717" t="str" cm="1">
        <f t="array" ref="B717">IFERROR(SUBSTITUTE(INDEX(TechType[[#All],[TechTypeID]],$A717),":","__"),"")</f>
        <v>WaterFixt__DHWSavingsKit</v>
      </c>
    </row>
    <row r="718" spans="1:2" hidden="1" x14ac:dyDescent="0.25">
      <c r="A718" s="1">
        <v>11</v>
      </c>
      <c r="B718" t="str" cm="1">
        <f t="array" ref="B718">IFERROR(SUBSTITUTE(INDEX(TechType[[#All],[TechTypeID]],$A718),":","__"),"")</f>
        <v>WaterFixt__Faucet</v>
      </c>
    </row>
    <row r="719" spans="1:2" hidden="1" x14ac:dyDescent="0.25">
      <c r="A719" s="1">
        <v>105</v>
      </c>
      <c r="B719" t="str" cm="1">
        <f t="array" ref="B719">IFERROR(SUBSTITUTE(INDEX(TechType[[#All],[TechTypeID]],$A719),":","__"),"")</f>
        <v>WaterFixt__FaucetAer</v>
      </c>
    </row>
    <row r="720" spans="1:2" hidden="1" x14ac:dyDescent="0.25">
      <c r="A720" s="1">
        <v>87</v>
      </c>
      <c r="B720" t="str" cm="1">
        <f t="array" ref="B720">IFERROR(SUBSTITUTE(INDEX(TechType[[#All],[TechTypeID]],$A720),":","__"),"")</f>
        <v>WaterFixt__FlowRestrict</v>
      </c>
    </row>
    <row r="721" spans="1:2" hidden="1" x14ac:dyDescent="0.25">
      <c r="A721" s="1">
        <v>106</v>
      </c>
      <c r="B721" t="str" cm="1">
        <f t="array" ref="B721">IFERROR(SUBSTITUTE(INDEX(TechType[[#All],[TechTypeID]],$A721),":","__"),"")</f>
        <v>WaterFixt__ShowerHd</v>
      </c>
    </row>
    <row r="722" spans="1:2" hidden="1" x14ac:dyDescent="0.25">
      <c r="A722" s="1">
        <v>30</v>
      </c>
      <c r="B722" t="str" cm="1">
        <f t="array" ref="B722">IFERROR(SUBSTITUTE(INDEX(TechType[[#All],[TechTypeID]],$A722),":","__"),"")</f>
        <v>WaterFixt__ShowerHdFlowRes</v>
      </c>
    </row>
    <row r="723" spans="1:2" hidden="1" x14ac:dyDescent="0.25">
      <c r="A723" s="1">
        <v>171</v>
      </c>
      <c r="B723" t="str" cm="1">
        <f t="array" ref="B723">IFERROR(SUBSTITUTE(INDEX(TechType[[#All],[TechTypeID]],$A723),":","__"),"")</f>
        <v>WaterHtg_eq__Boiler_AF</v>
      </c>
    </row>
    <row r="724" spans="1:2" hidden="1" x14ac:dyDescent="0.25">
      <c r="A724" s="1">
        <v>3</v>
      </c>
      <c r="B724" t="str" cm="1">
        <f t="array" ref="B724">IFERROR(SUBSTITUTE(INDEX(TechType[[#All],[TechTypeID]],$A724),":","__"),"")</f>
        <v>WaterHtg_eq__Boiler_Et</v>
      </c>
    </row>
    <row r="725" spans="1:2" hidden="1" x14ac:dyDescent="0.25">
      <c r="A725" s="1">
        <v>170</v>
      </c>
      <c r="B725" t="str" cm="1">
        <f t="array" ref="B725">IFERROR(SUBSTITUTE(INDEX(TechType[[#All],[TechTypeID]],$A725),":","__"),"")</f>
        <v>WaterHtg_eq__Boiler_Et</v>
      </c>
    </row>
    <row r="726" spans="1:2" hidden="1" x14ac:dyDescent="0.25">
      <c r="A726" s="1">
        <v>9</v>
      </c>
      <c r="B726" t="str" cm="1">
        <f t="array" ref="B726">IFERROR(SUBSTITUTE(INDEX(TechType[[#All],[TechTypeID]],$A726),":","__"),"")</f>
        <v>WaterHtg_eq__Boiler_Et_Central</v>
      </c>
    </row>
    <row r="727" spans="1:2" hidden="1" x14ac:dyDescent="0.25">
      <c r="A727" s="1">
        <v>12</v>
      </c>
      <c r="B727" t="str" cm="1">
        <f t="array" ref="B727">IFERROR(SUBSTITUTE(INDEX(TechType[[#All],[TechTypeID]],$A727),":","__"),"")</f>
        <v>WaterHtg_eq__HP_COP</v>
      </c>
    </row>
    <row r="728" spans="1:2" hidden="1" x14ac:dyDescent="0.25">
      <c r="A728" s="1">
        <v>10</v>
      </c>
      <c r="B728" t="str" cm="1">
        <f t="array" ref="B728">IFERROR(SUBSTITUTE(INDEX(TechType[[#All],[TechTypeID]],$A728),":","__"),"")</f>
        <v>WaterHtg_eq__HP_COP_Central</v>
      </c>
    </row>
    <row r="729" spans="1:2" hidden="1" x14ac:dyDescent="0.25">
      <c r="A729" s="1">
        <v>165</v>
      </c>
      <c r="B729" t="str" cm="1">
        <f t="array" ref="B729">IFERROR(SUBSTITUTE(INDEX(TechType[[#All],[TechTypeID]],$A729),":","__"),"")</f>
        <v>WaterHtg_eq__HP_EF</v>
      </c>
    </row>
    <row r="730" spans="1:2" hidden="1" x14ac:dyDescent="0.25">
      <c r="A730" s="1">
        <v>19</v>
      </c>
      <c r="B730" t="str" cm="1">
        <f t="array" ref="B730">IFERROR(SUBSTITUTE(INDEX(TechType[[#All],[TechTypeID]],$A730),":","__"),"")</f>
        <v>WaterHtg_eq__HP_UEF</v>
      </c>
    </row>
    <row r="731" spans="1:2" hidden="1" x14ac:dyDescent="0.25">
      <c r="A731" s="1">
        <v>169</v>
      </c>
      <c r="B731" t="str" cm="1">
        <f t="array" ref="B731">IFERROR(SUBSTITUTE(INDEX(TechType[[#All],[TechTypeID]],$A731),":","__"),"")</f>
        <v>WaterHtg_eq__Instant_EF</v>
      </c>
    </row>
    <row r="732" spans="1:2" hidden="1" x14ac:dyDescent="0.25">
      <c r="A732" s="1">
        <v>168</v>
      </c>
      <c r="B732" t="str" cm="1">
        <f t="array" ref="B732">IFERROR(SUBSTITUTE(INDEX(TechType[[#All],[TechTypeID]],$A732),":","__"),"")</f>
        <v>WaterHtg_eq__Instant_Et</v>
      </c>
    </row>
    <row r="733" spans="1:2" hidden="1" x14ac:dyDescent="0.25">
      <c r="A733" s="1">
        <v>21</v>
      </c>
      <c r="B733" t="str" cm="1">
        <f t="array" ref="B733">IFERROR(SUBSTITUTE(INDEX(TechType[[#All],[TechTypeID]],$A733),":","__"),"")</f>
        <v>WaterHtg_eq__Instant_UEF</v>
      </c>
    </row>
    <row r="734" spans="1:2" hidden="1" x14ac:dyDescent="0.25">
      <c r="A734" s="1">
        <v>167</v>
      </c>
      <c r="B734" t="str" cm="1">
        <f t="array" ref="B734">IFERROR(SUBSTITUTE(INDEX(TechType[[#All],[TechTypeID]],$A734),":","__"),"")</f>
        <v>WaterHtg_eq__Stor_EF</v>
      </c>
    </row>
    <row r="735" spans="1:2" hidden="1" x14ac:dyDescent="0.25">
      <c r="A735" s="1">
        <v>166</v>
      </c>
      <c r="B735" t="str" cm="1">
        <f t="array" ref="B735">IFERROR(SUBSTITUTE(INDEX(TechType[[#All],[TechTypeID]],$A735),":","__"),"")</f>
        <v>WaterHtg_eq__Stor_Et</v>
      </c>
    </row>
    <row r="736" spans="1:2" hidden="1" x14ac:dyDescent="0.25">
      <c r="A736" s="1">
        <v>8</v>
      </c>
      <c r="B736" t="str" cm="1">
        <f t="array" ref="B736">IFERROR(SUBSTITUTE(INDEX(TechType[[#All],[TechTypeID]],$A736),":","__"),"")</f>
        <v>WaterHtg_eq__Stor_Et_Central</v>
      </c>
    </row>
    <row r="737" spans="1:2" hidden="1" x14ac:dyDescent="0.25">
      <c r="A737" s="1">
        <v>20</v>
      </c>
      <c r="B737" t="str" cm="1">
        <f t="array" ref="B737">IFERROR(SUBSTITUTE(INDEX(TechType[[#All],[TechTypeID]],$A737),":","__"),"")</f>
        <v>WaterHtg_eq__Stor_UEF</v>
      </c>
    </row>
    <row r="738" spans="1:2" hidden="1" x14ac:dyDescent="0.25">
      <c r="A738" s="1">
        <v>164</v>
      </c>
      <c r="B738" t="str" cm="1">
        <f t="array" ref="B738">IFERROR(SUBSTITUTE(INDEX(TechType[[#All],[TechTypeID]],$A738),":","__"),"")</f>
        <v>WaterHtg_eq__TankIns</v>
      </c>
    </row>
    <row r="739" spans="1:2" hidden="1" x14ac:dyDescent="0.25">
      <c r="A739" s="1">
        <v>84</v>
      </c>
      <c r="B739" t="str" cm="1">
        <f t="array" ref="B739">IFERROR(SUBSTITUTE(INDEX(TechType[[#All],[TechTypeID]],$A739),":","__"),"")</f>
        <v>WhlBldg__WBldgImpArea</v>
      </c>
    </row>
    <row r="740" spans="1:2" hidden="1" x14ac:dyDescent="0.25">
      <c r="A740" s="1">
        <v>85</v>
      </c>
      <c r="B740" t="str" cm="1">
        <f t="array" ref="B740">IFERROR(SUBSTITUTE(INDEX(TechType[[#All],[TechTypeID]],$A740),":","__"),"")</f>
        <v>WhlBldg__WBldgImpSite</v>
      </c>
    </row>
    <row r="741" spans="1:2" hidden="1" x14ac:dyDescent="0.2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703125" defaultRowHeight="11.25" x14ac:dyDescent="0.25"/>
  <cols>
    <col min="1" max="1" width="6.42578125" style="9" bestFit="1" customWidth="1"/>
    <col min="2" max="2" width="10.140625" style="9" bestFit="1" customWidth="1"/>
    <col min="3" max="3" width="22.85546875" style="6" bestFit="1" customWidth="1"/>
    <col min="4" max="4" width="12.42578125" style="9" bestFit="1" customWidth="1"/>
    <col min="5" max="5" width="8.85546875" style="9" bestFit="1" customWidth="1"/>
    <col min="6" max="6" width="11.85546875" style="6" bestFit="1" customWidth="1"/>
    <col min="7" max="7" width="6.42578125" style="9" bestFit="1" customWidth="1"/>
    <col min="8" max="8" width="34.5703125" style="6" bestFit="1" customWidth="1"/>
    <col min="9" max="9" width="9.85546875" style="9" bestFit="1" customWidth="1"/>
    <col min="10" max="10" width="9.42578125" style="9" bestFit="1" customWidth="1"/>
    <col min="11" max="11" width="20.140625" style="9" customWidth="1"/>
    <col min="12" max="12" width="8.42578125" style="10" bestFit="1" customWidth="1"/>
    <col min="13" max="13" width="8.85546875" style="10" bestFit="1" customWidth="1"/>
    <col min="14" max="14" width="12.5703125" style="10" bestFit="1" customWidth="1"/>
    <col min="15" max="15" width="12.140625" style="10" bestFit="1" customWidth="1"/>
    <col min="16" max="16" width="8.5703125" style="11" bestFit="1" customWidth="1"/>
    <col min="17" max="17" width="9.5703125" style="11" bestFit="1" customWidth="1"/>
    <col min="18" max="19" width="9.5703125" style="10" bestFit="1" customWidth="1"/>
    <col min="20" max="20" width="10.5703125" style="10" bestFit="1" customWidth="1"/>
    <col min="21" max="21" width="8.5703125" style="11" bestFit="1" customWidth="1"/>
    <col min="22" max="22" width="10.5703125" style="12" bestFit="1" customWidth="1"/>
    <col min="23" max="23" width="8.140625" style="11" bestFit="1" customWidth="1"/>
    <col min="24" max="24" width="44.42578125" style="12" bestFit="1" customWidth="1"/>
    <col min="25" max="25" width="14.42578125" style="10" bestFit="1" customWidth="1"/>
    <col min="26" max="26" width="18.5703125" style="12" bestFit="1" customWidth="1"/>
    <col min="27" max="16384" width="7.5703125" style="9"/>
  </cols>
  <sheetData>
    <row r="1" spans="1:26" s="6" customFormat="1" x14ac:dyDescent="0.25">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3.75" hidden="1" x14ac:dyDescent="0.25">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2.5" hidden="1" x14ac:dyDescent="0.25">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2.5" hidden="1" x14ac:dyDescent="0.25">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2.5" hidden="1" x14ac:dyDescent="0.25">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3.75" hidden="1" x14ac:dyDescent="0.25">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2.5" hidden="1" x14ac:dyDescent="0.25">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2.5" hidden="1" x14ac:dyDescent="0.25">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45" hidden="1" x14ac:dyDescent="0.25">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2.5" hidden="1" x14ac:dyDescent="0.25">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2.5" hidden="1" x14ac:dyDescent="0.25">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2.5" hidden="1" x14ac:dyDescent="0.25">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2.5" hidden="1" x14ac:dyDescent="0.25">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2.5" hidden="1" x14ac:dyDescent="0.25">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2.5" hidden="1" x14ac:dyDescent="0.25">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2.5" hidden="1" x14ac:dyDescent="0.25">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2.5" hidden="1" x14ac:dyDescent="0.25">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2.5" hidden="1" x14ac:dyDescent="0.25">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2.5" hidden="1" x14ac:dyDescent="0.25">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2.5" hidden="1" x14ac:dyDescent="0.25">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2.5" hidden="1" x14ac:dyDescent="0.25">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2.5" hidden="1" x14ac:dyDescent="0.25">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2.5" hidden="1" x14ac:dyDescent="0.25">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2.5" hidden="1" x14ac:dyDescent="0.25">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2.5" hidden="1" x14ac:dyDescent="0.25">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2.5" hidden="1" x14ac:dyDescent="0.25">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2.5" hidden="1" x14ac:dyDescent="0.25">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2.5" hidden="1" x14ac:dyDescent="0.25">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33.75" hidden="1" x14ac:dyDescent="0.25">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2.5" hidden="1" x14ac:dyDescent="0.25">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2.5" hidden="1" x14ac:dyDescent="0.25">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2.5" hidden="1" x14ac:dyDescent="0.25">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2.5" hidden="1" x14ac:dyDescent="0.25">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2.5" hidden="1" x14ac:dyDescent="0.25">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2.5" hidden="1" x14ac:dyDescent="0.25">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2.5" hidden="1" x14ac:dyDescent="0.25">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2.5" hidden="1" x14ac:dyDescent="0.25">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2.5" hidden="1" x14ac:dyDescent="0.25">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2.5" hidden="1" x14ac:dyDescent="0.25">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2.5" hidden="1" x14ac:dyDescent="0.25">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2.5" hidden="1" x14ac:dyDescent="0.25">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2.5" hidden="1" x14ac:dyDescent="0.25">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2.5" hidden="1" x14ac:dyDescent="0.25">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2.5" hidden="1" x14ac:dyDescent="0.25">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2.5" hidden="1" x14ac:dyDescent="0.25">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2.5" hidden="1" x14ac:dyDescent="0.25">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2.5" hidden="1" x14ac:dyDescent="0.25">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2.5" hidden="1" x14ac:dyDescent="0.25">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2.5" hidden="1" x14ac:dyDescent="0.25">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2.5" hidden="1" x14ac:dyDescent="0.25">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2.5" hidden="1" x14ac:dyDescent="0.25">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2.5" hidden="1" x14ac:dyDescent="0.25">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2.5" hidden="1" x14ac:dyDescent="0.25">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2.5" hidden="1" x14ac:dyDescent="0.25">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2.5" hidden="1" x14ac:dyDescent="0.25">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2.5" hidden="1" x14ac:dyDescent="0.25">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2.5" hidden="1" x14ac:dyDescent="0.25">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2.5" hidden="1" x14ac:dyDescent="0.25">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2.5" hidden="1" x14ac:dyDescent="0.25">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2.5" hidden="1" x14ac:dyDescent="0.25">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2.5" hidden="1" x14ac:dyDescent="0.25">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2.5" hidden="1" x14ac:dyDescent="0.25">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2.5" hidden="1" x14ac:dyDescent="0.25">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2.5" hidden="1" x14ac:dyDescent="0.25">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2.5" hidden="1" x14ac:dyDescent="0.25">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2.5" hidden="1" x14ac:dyDescent="0.25">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2.5" hidden="1" x14ac:dyDescent="0.25">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2.5" hidden="1" x14ac:dyDescent="0.25">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2.5" hidden="1" x14ac:dyDescent="0.25">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33.75" hidden="1" x14ac:dyDescent="0.25">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2.5" hidden="1" x14ac:dyDescent="0.25">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3.75" hidden="1" x14ac:dyDescent="0.25">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2.5" hidden="1" x14ac:dyDescent="0.25">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3.75" hidden="1" x14ac:dyDescent="0.25">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2.5" hidden="1" x14ac:dyDescent="0.25">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3.75" hidden="1" x14ac:dyDescent="0.25">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2.5" hidden="1" x14ac:dyDescent="0.25">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2.5" hidden="1" x14ac:dyDescent="0.25">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2.5" hidden="1" x14ac:dyDescent="0.25">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2.5" x14ac:dyDescent="0.25">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2.5" hidden="1" x14ac:dyDescent="0.25">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2.5" hidden="1" x14ac:dyDescent="0.25">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2.5" hidden="1" x14ac:dyDescent="0.25">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2.5" hidden="1" x14ac:dyDescent="0.25">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2.5" hidden="1" x14ac:dyDescent="0.25">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2.5" hidden="1" x14ac:dyDescent="0.25">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2.5" hidden="1" x14ac:dyDescent="0.25">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2.5" hidden="1" x14ac:dyDescent="0.25">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2.5" hidden="1" x14ac:dyDescent="0.25">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2.5" hidden="1" x14ac:dyDescent="0.25">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2.5" hidden="1" x14ac:dyDescent="0.25">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2.5" x14ac:dyDescent="0.25">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2.5" hidden="1" x14ac:dyDescent="0.25">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2.5" hidden="1" x14ac:dyDescent="0.25">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2.5" hidden="1" x14ac:dyDescent="0.25">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2.5" hidden="1" x14ac:dyDescent="0.25">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2.5" hidden="1" x14ac:dyDescent="0.25">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2.5" hidden="1" x14ac:dyDescent="0.25">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2.5" hidden="1" x14ac:dyDescent="0.25">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2.5" hidden="1" x14ac:dyDescent="0.25">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2.5" hidden="1" x14ac:dyDescent="0.25">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2.5" hidden="1" x14ac:dyDescent="0.25">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2.5" hidden="1" x14ac:dyDescent="0.25">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2.5" hidden="1" x14ac:dyDescent="0.25">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2.5" hidden="1" x14ac:dyDescent="0.25">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2.5" hidden="1" x14ac:dyDescent="0.25">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2.5" hidden="1" x14ac:dyDescent="0.25">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2.5" hidden="1" x14ac:dyDescent="0.25">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2.5" hidden="1" x14ac:dyDescent="0.25">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2.5" hidden="1" x14ac:dyDescent="0.25">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2.5" hidden="1" x14ac:dyDescent="0.25">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2.5" hidden="1" x14ac:dyDescent="0.25">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2.5" hidden="1" x14ac:dyDescent="0.25">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2.5" hidden="1" x14ac:dyDescent="0.25">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2.5" hidden="1" x14ac:dyDescent="0.25">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2.5" hidden="1" x14ac:dyDescent="0.25">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2.5" hidden="1" x14ac:dyDescent="0.25">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2.5" hidden="1" x14ac:dyDescent="0.25">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2.5" hidden="1" x14ac:dyDescent="0.25">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2.5" hidden="1" x14ac:dyDescent="0.25">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2.5" hidden="1" x14ac:dyDescent="0.25">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2.5" hidden="1" x14ac:dyDescent="0.25">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2.5" hidden="1" x14ac:dyDescent="0.25">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2.5" hidden="1" x14ac:dyDescent="0.25">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2.5" hidden="1" x14ac:dyDescent="0.25">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2.5" hidden="1" x14ac:dyDescent="0.25">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2.5" hidden="1" x14ac:dyDescent="0.25">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2.5" hidden="1" x14ac:dyDescent="0.25">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20.100000000000001" hidden="1" customHeight="1" x14ac:dyDescent="0.25">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2.5" hidden="1" x14ac:dyDescent="0.25">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2.5" hidden="1" x14ac:dyDescent="0.25">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2.5" hidden="1" x14ac:dyDescent="0.25">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2.5" hidden="1" x14ac:dyDescent="0.25">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2.5" hidden="1" x14ac:dyDescent="0.25">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2.5" hidden="1" x14ac:dyDescent="0.25">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2.5" hidden="1" x14ac:dyDescent="0.25">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3.75" hidden="1" x14ac:dyDescent="0.25">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2.5" hidden="1" x14ac:dyDescent="0.25">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2.5" hidden="1" x14ac:dyDescent="0.25">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2.5" hidden="1" x14ac:dyDescent="0.25">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2.5" hidden="1" x14ac:dyDescent="0.25">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2.5" hidden="1" x14ac:dyDescent="0.25">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2.5" hidden="1" x14ac:dyDescent="0.25">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2.5" hidden="1" x14ac:dyDescent="0.25">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2.5" hidden="1" x14ac:dyDescent="0.25">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2.5" hidden="1" x14ac:dyDescent="0.25">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2.5" hidden="1" x14ac:dyDescent="0.25">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2.5" hidden="1" x14ac:dyDescent="0.25">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2.5" hidden="1" x14ac:dyDescent="0.25">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2.5" hidden="1" x14ac:dyDescent="0.25">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2.5" hidden="1" x14ac:dyDescent="0.25">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2.5" hidden="1" x14ac:dyDescent="0.25">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2.5" hidden="1" x14ac:dyDescent="0.25">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2.5" hidden="1" x14ac:dyDescent="0.25">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2.5" hidden="1" x14ac:dyDescent="0.25">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2.5" x14ac:dyDescent="0.25">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2.5" x14ac:dyDescent="0.25">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2.5" x14ac:dyDescent="0.25">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2.5" x14ac:dyDescent="0.25">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2.5" x14ac:dyDescent="0.25">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2.5" x14ac:dyDescent="0.25">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2.5" hidden="1" x14ac:dyDescent="0.25">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2.5" hidden="1" x14ac:dyDescent="0.25">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2.5" hidden="1" x14ac:dyDescent="0.25">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2.5" hidden="1" x14ac:dyDescent="0.25">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2.5" hidden="1" x14ac:dyDescent="0.25">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2.5" hidden="1" x14ac:dyDescent="0.25">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2.5" hidden="1" x14ac:dyDescent="0.25">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2.5" hidden="1" x14ac:dyDescent="0.25">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2.5" hidden="1" x14ac:dyDescent="0.25">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2.5" hidden="1" x14ac:dyDescent="0.25">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2.5" hidden="1" x14ac:dyDescent="0.25">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2.5" hidden="1" x14ac:dyDescent="0.25">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2.5" hidden="1" x14ac:dyDescent="0.25">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2.5" hidden="1" x14ac:dyDescent="0.25">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2.5" hidden="1" x14ac:dyDescent="0.25">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2.5" hidden="1" x14ac:dyDescent="0.25">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2.5" hidden="1" x14ac:dyDescent="0.25">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2.5" hidden="1" x14ac:dyDescent="0.25">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2.5" hidden="1" x14ac:dyDescent="0.25">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2.5" hidden="1" x14ac:dyDescent="0.25">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2.5" hidden="1" x14ac:dyDescent="0.25">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2.5" hidden="1" x14ac:dyDescent="0.25">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2.5" hidden="1" x14ac:dyDescent="0.25">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2.5" hidden="1" x14ac:dyDescent="0.25">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2.5" hidden="1" x14ac:dyDescent="0.25">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2.5" hidden="1" x14ac:dyDescent="0.25">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2.5" hidden="1" x14ac:dyDescent="0.25">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2.5" hidden="1" x14ac:dyDescent="0.25">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2.5" hidden="1" x14ac:dyDescent="0.25">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2.5" hidden="1" x14ac:dyDescent="0.25">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2.5" hidden="1" x14ac:dyDescent="0.25">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2.5" hidden="1" x14ac:dyDescent="0.25">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2.5" hidden="1" x14ac:dyDescent="0.25">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2.5" hidden="1" x14ac:dyDescent="0.25">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2.5" hidden="1" x14ac:dyDescent="0.25">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2.5" hidden="1" x14ac:dyDescent="0.25">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2.5" hidden="1" x14ac:dyDescent="0.25">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2.5" hidden="1" x14ac:dyDescent="0.25">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2.5" hidden="1" x14ac:dyDescent="0.25">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2.5" hidden="1" x14ac:dyDescent="0.25">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2.5" hidden="1" x14ac:dyDescent="0.25">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2.5" hidden="1" x14ac:dyDescent="0.25">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2.5" hidden="1" x14ac:dyDescent="0.25">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2.5" hidden="1" x14ac:dyDescent="0.25">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3.75" hidden="1" x14ac:dyDescent="0.25">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2.5" hidden="1" x14ac:dyDescent="0.25">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2.5" hidden="1" x14ac:dyDescent="0.25">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2.5" hidden="1" x14ac:dyDescent="0.25">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2.5" hidden="1" x14ac:dyDescent="0.25">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2.5" hidden="1" x14ac:dyDescent="0.25">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2.5" hidden="1" x14ac:dyDescent="0.25">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2.5" hidden="1" x14ac:dyDescent="0.25">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2.5" hidden="1" x14ac:dyDescent="0.25">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2.5" hidden="1" x14ac:dyDescent="0.25">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2.5" hidden="1" x14ac:dyDescent="0.25">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2.5" hidden="1" x14ac:dyDescent="0.25">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2.5" hidden="1" x14ac:dyDescent="0.25">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2.5" hidden="1" x14ac:dyDescent="0.25">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2.5" hidden="1" x14ac:dyDescent="0.25">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2.5" hidden="1" x14ac:dyDescent="0.25">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2.5" hidden="1" x14ac:dyDescent="0.25">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2.5" hidden="1" x14ac:dyDescent="0.25">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2.5" hidden="1" x14ac:dyDescent="0.25">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2.5" hidden="1" x14ac:dyDescent="0.25">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2.5" hidden="1" x14ac:dyDescent="0.25">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2.5" hidden="1" x14ac:dyDescent="0.25">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2.5" hidden="1" x14ac:dyDescent="0.25">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2.5" hidden="1" x14ac:dyDescent="0.25">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2.5" hidden="1" x14ac:dyDescent="0.25">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2.5" hidden="1" x14ac:dyDescent="0.25">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2.5" hidden="1" x14ac:dyDescent="0.25">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2.5" hidden="1" x14ac:dyDescent="0.25">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5546875" defaultRowHeight="11.25" x14ac:dyDescent="0.25"/>
  <cols>
    <col min="1" max="1" width="8.42578125" style="13" bestFit="1" customWidth="1"/>
    <col min="2" max="2" width="43.5703125" style="13" bestFit="1" customWidth="1"/>
    <col min="3" max="3" width="12.5703125" style="13" bestFit="1" customWidth="1"/>
    <col min="4" max="4" width="19" style="13" bestFit="1" customWidth="1"/>
    <col min="5" max="5" width="43.5703125" style="13" bestFit="1" customWidth="1"/>
    <col min="6" max="6" width="8.85546875" style="13" bestFit="1" customWidth="1"/>
    <col min="7" max="7" width="12.42578125" style="13" bestFit="1" customWidth="1"/>
    <col min="8" max="8" width="10.42578125" style="16" bestFit="1" customWidth="1"/>
    <col min="9" max="9" width="36.5703125" style="13" bestFit="1" customWidth="1"/>
    <col min="10" max="10" width="20" style="13" bestFit="1" customWidth="1"/>
    <col min="11" max="11" width="10.42578125" style="16" bestFit="1" customWidth="1"/>
    <col min="12" max="12" width="43.5703125" style="13" bestFit="1" customWidth="1"/>
    <col min="13" max="13" width="20" style="13" bestFit="1" customWidth="1"/>
    <col min="14" max="14" width="11.140625" style="13" bestFit="1" customWidth="1"/>
    <col min="15" max="15" width="11.42578125" style="13" bestFit="1" customWidth="1"/>
    <col min="16" max="16" width="10.42578125" style="16" bestFit="1" customWidth="1"/>
    <col min="17" max="17" width="11.42578125" style="16" bestFit="1" customWidth="1"/>
    <col min="18" max="18" width="4.5703125" style="13" bestFit="1" customWidth="1"/>
    <col min="19" max="16384" width="8.85546875" style="13"/>
  </cols>
  <sheetData>
    <row r="1" spans="1:18" x14ac:dyDescent="0.25">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3.75" x14ac:dyDescent="0.25">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3.75" x14ac:dyDescent="0.25">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3.75" x14ac:dyDescent="0.25">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3.75" x14ac:dyDescent="0.25">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3.75" x14ac:dyDescent="0.25">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3.75" x14ac:dyDescent="0.25">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3.75" x14ac:dyDescent="0.25">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3.75" x14ac:dyDescent="0.25">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3.75" x14ac:dyDescent="0.25">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3.75" x14ac:dyDescent="0.25">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3.75" x14ac:dyDescent="0.25">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3.75" x14ac:dyDescent="0.25">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3.75" x14ac:dyDescent="0.25">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3.75" x14ac:dyDescent="0.25">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3.75" x14ac:dyDescent="0.25">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3.75" x14ac:dyDescent="0.25">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3.75" x14ac:dyDescent="0.25">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3.75" x14ac:dyDescent="0.25">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3.75" x14ac:dyDescent="0.25">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6.25" x14ac:dyDescent="0.25">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6.25" x14ac:dyDescent="0.25">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6.25" x14ac:dyDescent="0.25">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3.75" x14ac:dyDescent="0.25">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3.75" x14ac:dyDescent="0.25">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3.75" x14ac:dyDescent="0.25">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3.75" x14ac:dyDescent="0.25">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3.75" x14ac:dyDescent="0.25">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3.75" x14ac:dyDescent="0.25">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3.75" x14ac:dyDescent="0.25">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3.75" x14ac:dyDescent="0.25">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3.75" x14ac:dyDescent="0.25">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3.75" x14ac:dyDescent="0.25">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3.75" x14ac:dyDescent="0.25">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3.75" x14ac:dyDescent="0.25">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3.75" x14ac:dyDescent="0.25">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3.75" x14ac:dyDescent="0.25">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3.75" x14ac:dyDescent="0.25">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3.75" x14ac:dyDescent="0.25">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3.75" x14ac:dyDescent="0.25">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3.75" x14ac:dyDescent="0.25">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3.75" x14ac:dyDescent="0.25">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3.75" x14ac:dyDescent="0.25">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3.75" x14ac:dyDescent="0.25">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3.75" x14ac:dyDescent="0.25">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3.75" x14ac:dyDescent="0.25">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3.75" x14ac:dyDescent="0.25">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3.75" x14ac:dyDescent="0.25">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3.75" x14ac:dyDescent="0.25">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3.75" x14ac:dyDescent="0.25">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3.75" x14ac:dyDescent="0.25">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3.75" x14ac:dyDescent="0.25">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3.75" x14ac:dyDescent="0.25">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3.75" x14ac:dyDescent="0.25">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3.75" x14ac:dyDescent="0.25">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3.75" x14ac:dyDescent="0.25">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3.75" x14ac:dyDescent="0.25">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3.75" x14ac:dyDescent="0.25">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3.75" x14ac:dyDescent="0.25">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3.75" x14ac:dyDescent="0.25">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3.75" x14ac:dyDescent="0.25">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3.75" x14ac:dyDescent="0.25">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3.75" x14ac:dyDescent="0.25">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3.75" x14ac:dyDescent="0.25">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3.75" x14ac:dyDescent="0.25">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3.75" x14ac:dyDescent="0.25">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3.75" x14ac:dyDescent="0.25">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3.75" x14ac:dyDescent="0.25">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3.75" x14ac:dyDescent="0.25">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3.75" x14ac:dyDescent="0.25">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3.75" x14ac:dyDescent="0.25">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25">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25">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25">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25">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25">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25">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25">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25">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25">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25">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25">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25">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25">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25">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25">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25">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25">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25">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3.75" x14ac:dyDescent="0.25">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3.75" x14ac:dyDescent="0.25">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3.75" x14ac:dyDescent="0.25">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3.75" x14ac:dyDescent="0.25">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3.75" x14ac:dyDescent="0.25">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3.75" x14ac:dyDescent="0.25">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3.75" x14ac:dyDescent="0.25">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3.75" x14ac:dyDescent="0.25">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3.75" x14ac:dyDescent="0.25">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3.75" x14ac:dyDescent="0.25">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3.75" x14ac:dyDescent="0.25">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3.75" x14ac:dyDescent="0.25">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3.75" x14ac:dyDescent="0.25">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3.75" x14ac:dyDescent="0.25">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3.75" x14ac:dyDescent="0.25">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3.75" x14ac:dyDescent="0.25">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3.75" x14ac:dyDescent="0.25">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3.75" x14ac:dyDescent="0.25">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3.75" x14ac:dyDescent="0.25">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3.75" x14ac:dyDescent="0.25">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3.75" x14ac:dyDescent="0.25">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3.75" x14ac:dyDescent="0.25">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3.75" x14ac:dyDescent="0.25">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3.75" x14ac:dyDescent="0.25">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3.75" x14ac:dyDescent="0.25">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3.75" x14ac:dyDescent="0.25">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3.75" x14ac:dyDescent="0.25">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3.75" x14ac:dyDescent="0.25">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3.75" x14ac:dyDescent="0.25">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3.75" x14ac:dyDescent="0.25">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3.75" x14ac:dyDescent="0.25">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3.75" x14ac:dyDescent="0.25">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3.75" x14ac:dyDescent="0.25">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3.75" x14ac:dyDescent="0.25">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3.75" x14ac:dyDescent="0.25">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3.75" x14ac:dyDescent="0.25">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56.25" x14ac:dyDescent="0.25">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56.25" x14ac:dyDescent="0.25">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3.75" x14ac:dyDescent="0.25">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3.75" x14ac:dyDescent="0.25">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56.25" x14ac:dyDescent="0.25">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56.25" x14ac:dyDescent="0.25">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3.75" x14ac:dyDescent="0.25">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3.75" x14ac:dyDescent="0.25">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3.75" x14ac:dyDescent="0.25">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3.75" x14ac:dyDescent="0.25">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3.75" x14ac:dyDescent="0.25">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3.75" x14ac:dyDescent="0.25">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25">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25">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25">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25">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25">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25">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25">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25">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25">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25">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25">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25">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25">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25">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25">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25">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25">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25">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25">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25">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25">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25">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25">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25">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25">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25">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25">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25">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25">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25">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25">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25">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25">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25">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25">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25">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25">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25">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25">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25">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25">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25">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25">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25">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25">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25">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25">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25">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25">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25">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25">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25">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25">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25">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25">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25">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25">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25">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25">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25">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25">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25">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25">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25">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25">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25">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25">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25">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25">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25">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25">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25">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25">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25">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25">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25">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25">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25">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25">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25">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25">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25">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25">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25">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25">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25">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25">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25">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25">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25">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25">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25">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25">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25">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25">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25">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25">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25">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25">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25">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25">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25">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25">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25">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25">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25">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25">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25">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25">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25">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25">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25">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25">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25">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25">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3.75" x14ac:dyDescent="0.25">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25">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25">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25">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25">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25">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25">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3.75" x14ac:dyDescent="0.25">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3.75" x14ac:dyDescent="0.25">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3.75" x14ac:dyDescent="0.25">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3.75" x14ac:dyDescent="0.25">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3.75" x14ac:dyDescent="0.25">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25">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3.75" x14ac:dyDescent="0.25">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3.75" x14ac:dyDescent="0.25">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25">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25">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25">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25">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25">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25">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25">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25">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25">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3.75" x14ac:dyDescent="0.25">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3.75" x14ac:dyDescent="0.25">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3.75" x14ac:dyDescent="0.25">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3.75" x14ac:dyDescent="0.25">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3.75" x14ac:dyDescent="0.25">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3.75" x14ac:dyDescent="0.25">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3.75" x14ac:dyDescent="0.25">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3.75" x14ac:dyDescent="0.25">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3.75" x14ac:dyDescent="0.25">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3.75" x14ac:dyDescent="0.25">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3.75" x14ac:dyDescent="0.25">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3.75" x14ac:dyDescent="0.25">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3.75" x14ac:dyDescent="0.25">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3.75" x14ac:dyDescent="0.25">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3.75" x14ac:dyDescent="0.25">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3.75" x14ac:dyDescent="0.25">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3.75" x14ac:dyDescent="0.25">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3.75" x14ac:dyDescent="0.25">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3.75" x14ac:dyDescent="0.25">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3.75" x14ac:dyDescent="0.25">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3.75" x14ac:dyDescent="0.25">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3.75" x14ac:dyDescent="0.25">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3.75" x14ac:dyDescent="0.25">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3.75" x14ac:dyDescent="0.25">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3.75" x14ac:dyDescent="0.25">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3.75" x14ac:dyDescent="0.25">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78.75" x14ac:dyDescent="0.25">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78.75" x14ac:dyDescent="0.25">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6.25" x14ac:dyDescent="0.25">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6.25" x14ac:dyDescent="0.25">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90" x14ac:dyDescent="0.25">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6.25" x14ac:dyDescent="0.25">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25">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2.5" x14ac:dyDescent="0.25">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25">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25">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25">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25">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25">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25">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25">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25">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25">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25">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25">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25">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25">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25">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25">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25">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25">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25">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25">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25">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25">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25">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25">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25">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25">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25">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25">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25">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2.5" x14ac:dyDescent="0.25">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67.5" x14ac:dyDescent="0.25">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2.5" x14ac:dyDescent="0.25">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2.5" x14ac:dyDescent="0.25">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2.5" x14ac:dyDescent="0.25">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25">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2.5" x14ac:dyDescent="0.25">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2.5" x14ac:dyDescent="0.25">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2.5" x14ac:dyDescent="0.25">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5" x14ac:dyDescent="0.25">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56.25" x14ac:dyDescent="0.25">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5" x14ac:dyDescent="0.25">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5" x14ac:dyDescent="0.25">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5" x14ac:dyDescent="0.25">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56.25" x14ac:dyDescent="0.25">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2.5" x14ac:dyDescent="0.25">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2.5" x14ac:dyDescent="0.25">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2.5" x14ac:dyDescent="0.25">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2.5" x14ac:dyDescent="0.25">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3.75" x14ac:dyDescent="0.25">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3.75" x14ac:dyDescent="0.25">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3.75" x14ac:dyDescent="0.25">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3.75" x14ac:dyDescent="0.25">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3.75" x14ac:dyDescent="0.25">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3.75" x14ac:dyDescent="0.25">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78.75" x14ac:dyDescent="0.25">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78.75" x14ac:dyDescent="0.25">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3.75" x14ac:dyDescent="0.25">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3.75" x14ac:dyDescent="0.25">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3.75" x14ac:dyDescent="0.25">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3.75" x14ac:dyDescent="0.25">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3.75" x14ac:dyDescent="0.25">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3.75" x14ac:dyDescent="0.25">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3.75" x14ac:dyDescent="0.25">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3.75" x14ac:dyDescent="0.25">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3.75" x14ac:dyDescent="0.25">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3.75" x14ac:dyDescent="0.25">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3.75" x14ac:dyDescent="0.25">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78.75" x14ac:dyDescent="0.25">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3.75" x14ac:dyDescent="0.25">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3.75" x14ac:dyDescent="0.25">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3.75" x14ac:dyDescent="0.25">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3.75" x14ac:dyDescent="0.25">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3.75" x14ac:dyDescent="0.25">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3.75" x14ac:dyDescent="0.25">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3.75" x14ac:dyDescent="0.25">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3.75" x14ac:dyDescent="0.25">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3.75" x14ac:dyDescent="0.25">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3.75" x14ac:dyDescent="0.25">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3.75" x14ac:dyDescent="0.25">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6.25" x14ac:dyDescent="0.25">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56.25" x14ac:dyDescent="0.25">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5" x14ac:dyDescent="0.25">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3.75" x14ac:dyDescent="0.25">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3.75" x14ac:dyDescent="0.25">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3.75" x14ac:dyDescent="0.25">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3.75" x14ac:dyDescent="0.25">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3.75" x14ac:dyDescent="0.25">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3.75" x14ac:dyDescent="0.25">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3.75" x14ac:dyDescent="0.25">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3.75" x14ac:dyDescent="0.25">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3.75" x14ac:dyDescent="0.25">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3.75" x14ac:dyDescent="0.25">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3.75" x14ac:dyDescent="0.25">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25">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25">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25">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25">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25">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25">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25">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25">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25">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25">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25">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25">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25">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25">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25">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25">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25">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25">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25">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25">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25">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25">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25">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25">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25">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25">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25">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25">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25">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25">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25">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25">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25">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25">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25">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25">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25">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25">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25">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25">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25">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25">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25">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25">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25">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25">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25">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25">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25">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25">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25">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25">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25">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25">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25">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25">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25">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25">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25">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25">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25">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25">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25">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2.5" x14ac:dyDescent="0.25">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2.5" x14ac:dyDescent="0.25">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2.5" x14ac:dyDescent="0.25">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2.5" x14ac:dyDescent="0.25">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2.5" x14ac:dyDescent="0.25">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2.5" x14ac:dyDescent="0.25">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2.5" x14ac:dyDescent="0.25">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ht="22.5" x14ac:dyDescent="0.25">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25">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ht="22.5" x14ac:dyDescent="0.25">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ht="22.5" x14ac:dyDescent="0.25">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ht="22.5" x14ac:dyDescent="0.25">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ht="22.5" x14ac:dyDescent="0.25">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ht="22.5" x14ac:dyDescent="0.25">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ht="22.5" x14ac:dyDescent="0.25">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25">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ht="22.5" x14ac:dyDescent="0.25">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ht="22.5" x14ac:dyDescent="0.25">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ht="22.5" x14ac:dyDescent="0.25">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2.5" x14ac:dyDescent="0.25">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2.5" x14ac:dyDescent="0.25">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2.5" x14ac:dyDescent="0.25">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2.5" x14ac:dyDescent="0.25">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2.5" x14ac:dyDescent="0.25">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2.5" x14ac:dyDescent="0.25">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2.5" x14ac:dyDescent="0.25">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25">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25">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25">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25">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25">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25">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25">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25">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25">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25">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25">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25">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25">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25">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25">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25">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25">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25">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25">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25">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25">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25">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25">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25">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25">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25">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25">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25">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25">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25">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25">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25">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25">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25">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25">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25">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3.75" x14ac:dyDescent="0.25">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3.75" x14ac:dyDescent="0.25">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3.75" x14ac:dyDescent="0.25">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33.75" x14ac:dyDescent="0.25">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33.75" x14ac:dyDescent="0.25">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33.75" x14ac:dyDescent="0.25">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33.75" x14ac:dyDescent="0.25">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33.75" x14ac:dyDescent="0.25">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33.75" x14ac:dyDescent="0.25">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33.75" x14ac:dyDescent="0.25">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33.75" x14ac:dyDescent="0.25">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33.75" x14ac:dyDescent="0.25">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33.75" x14ac:dyDescent="0.25">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33.75" x14ac:dyDescent="0.25">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33.75" x14ac:dyDescent="0.25">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33.75" x14ac:dyDescent="0.25">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33.75" x14ac:dyDescent="0.25">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33.75" x14ac:dyDescent="0.25">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33.75" x14ac:dyDescent="0.25">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33.75" x14ac:dyDescent="0.25">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33.75" x14ac:dyDescent="0.25">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33.75" x14ac:dyDescent="0.25">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33.75" x14ac:dyDescent="0.25">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33.75" x14ac:dyDescent="0.25">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33.75" x14ac:dyDescent="0.25">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33.75" x14ac:dyDescent="0.25">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33.75" x14ac:dyDescent="0.25">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33.75" x14ac:dyDescent="0.25">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33.75" x14ac:dyDescent="0.25">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33.75" x14ac:dyDescent="0.25">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33.75" x14ac:dyDescent="0.25">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33.75" x14ac:dyDescent="0.25">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33.75" x14ac:dyDescent="0.25">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2.5" x14ac:dyDescent="0.25">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2.5" x14ac:dyDescent="0.25">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2.5" x14ac:dyDescent="0.25">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2.5" x14ac:dyDescent="0.25">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2.5" x14ac:dyDescent="0.25">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2.5" x14ac:dyDescent="0.25">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2.5" x14ac:dyDescent="0.25">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2.5" x14ac:dyDescent="0.25">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2.5" x14ac:dyDescent="0.25">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2.5" x14ac:dyDescent="0.25">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2.5" x14ac:dyDescent="0.25">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2.5" x14ac:dyDescent="0.25">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2.5" x14ac:dyDescent="0.25">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2.5" x14ac:dyDescent="0.25">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2.5" x14ac:dyDescent="0.25">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2.5" x14ac:dyDescent="0.25">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2.5" x14ac:dyDescent="0.25">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2.5" x14ac:dyDescent="0.25">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2.5" x14ac:dyDescent="0.25">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2.5" x14ac:dyDescent="0.25">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2.5" x14ac:dyDescent="0.25">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2.5" x14ac:dyDescent="0.25">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2.5" x14ac:dyDescent="0.25">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2.5" x14ac:dyDescent="0.25">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2.5" x14ac:dyDescent="0.25">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2.5" x14ac:dyDescent="0.25">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2.5" x14ac:dyDescent="0.25">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2.5" x14ac:dyDescent="0.25">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2.5" x14ac:dyDescent="0.25">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2.5" x14ac:dyDescent="0.25">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2.5" x14ac:dyDescent="0.25">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25">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25">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25">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25">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25">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25">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25">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25">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25">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25">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25">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25">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25">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25">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25">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25">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25">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25">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25">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25">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25">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25">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25">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25">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25">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25">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25">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25">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25">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25">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25">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25">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25">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25">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25">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25">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25">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25">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25">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25">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25">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25">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25">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25">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25">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25">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25">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25">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25">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25">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25">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25">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25">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25">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25">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25">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25">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25">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25">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25">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2.5" x14ac:dyDescent="0.25">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25">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25">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25">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25">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25">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25">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25">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25">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25">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25">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25">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25">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25">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25">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25">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25">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25">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25">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25">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25">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25">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25">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25">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25">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25">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25">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25">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25">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25">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33.75" x14ac:dyDescent="0.25">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33.75" x14ac:dyDescent="0.25">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33.75" x14ac:dyDescent="0.25">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33.75" x14ac:dyDescent="0.25">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33.75" x14ac:dyDescent="0.25">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33.75" x14ac:dyDescent="0.25">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33.75" x14ac:dyDescent="0.25">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33.75" x14ac:dyDescent="0.25">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25">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25">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25">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25">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25">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25">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2.5" x14ac:dyDescent="0.25">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25">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2.5" x14ac:dyDescent="0.25">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25">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2.5" x14ac:dyDescent="0.25">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2.5" x14ac:dyDescent="0.25">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2.5" x14ac:dyDescent="0.25">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2.5" x14ac:dyDescent="0.25">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25">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2.5" x14ac:dyDescent="0.25">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3.75" x14ac:dyDescent="0.25">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2.5" x14ac:dyDescent="0.25">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2.5" x14ac:dyDescent="0.25">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2.5" x14ac:dyDescent="0.25">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25">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2.5" x14ac:dyDescent="0.25">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25">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2.5" x14ac:dyDescent="0.25">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2.5" x14ac:dyDescent="0.25">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2.5" x14ac:dyDescent="0.25">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2.5" x14ac:dyDescent="0.25">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2.5" x14ac:dyDescent="0.25">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2.5" x14ac:dyDescent="0.25">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2.5" x14ac:dyDescent="0.25">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2.5" x14ac:dyDescent="0.25">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2.5" x14ac:dyDescent="0.25">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2.5" x14ac:dyDescent="0.25">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25">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2.5" x14ac:dyDescent="0.25">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2.5" x14ac:dyDescent="0.25">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25">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25">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25">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25">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3.75" x14ac:dyDescent="0.25">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3.75" x14ac:dyDescent="0.25">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2.5" x14ac:dyDescent="0.25">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25">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2.5" x14ac:dyDescent="0.25">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2.5" x14ac:dyDescent="0.25">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2.5" x14ac:dyDescent="0.25">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2.5" x14ac:dyDescent="0.25">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2.5" x14ac:dyDescent="0.25">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3.75" x14ac:dyDescent="0.25">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25">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25">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25">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25">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25">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25">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25">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2.5" x14ac:dyDescent="0.25">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33.75" x14ac:dyDescent="0.25">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3.75" x14ac:dyDescent="0.25">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33.75" x14ac:dyDescent="0.25">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3.75" x14ac:dyDescent="0.25">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3.75" x14ac:dyDescent="0.25">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3.75" x14ac:dyDescent="0.25">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33.75" x14ac:dyDescent="0.25">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3.75" x14ac:dyDescent="0.25">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3.75" x14ac:dyDescent="0.25">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2.5" x14ac:dyDescent="0.25">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2.5" x14ac:dyDescent="0.25">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2.5" x14ac:dyDescent="0.25">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2.5" x14ac:dyDescent="0.25">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2.5" x14ac:dyDescent="0.25">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2.5" x14ac:dyDescent="0.25">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2.5" x14ac:dyDescent="0.25">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2.5" x14ac:dyDescent="0.25">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2.5" x14ac:dyDescent="0.25">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25">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2.5" x14ac:dyDescent="0.25">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25">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2.5" x14ac:dyDescent="0.25">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25">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2.5" x14ac:dyDescent="0.25">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2.5" x14ac:dyDescent="0.25">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25">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2.5" x14ac:dyDescent="0.25">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25">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2.5" x14ac:dyDescent="0.25">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2.5" x14ac:dyDescent="0.25">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25">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2.5" x14ac:dyDescent="0.25">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25">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2.5" x14ac:dyDescent="0.25">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25">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2.5" x14ac:dyDescent="0.25">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25">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2.5" x14ac:dyDescent="0.25">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25">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25">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25">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2.5" x14ac:dyDescent="0.25">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2.5" x14ac:dyDescent="0.25">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25">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25">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2.5" x14ac:dyDescent="0.25">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2.5" x14ac:dyDescent="0.25">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25">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2.5" x14ac:dyDescent="0.25">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25">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2.5" x14ac:dyDescent="0.25">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2.5" x14ac:dyDescent="0.25">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2.5" x14ac:dyDescent="0.25">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2.5" x14ac:dyDescent="0.25">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2.5" x14ac:dyDescent="0.25">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2.5" x14ac:dyDescent="0.25">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2.5" x14ac:dyDescent="0.25">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2.5" x14ac:dyDescent="0.25">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33.75" x14ac:dyDescent="0.25">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2.5" x14ac:dyDescent="0.25">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25">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25">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25">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25">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25">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25">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2.5" x14ac:dyDescent="0.25">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2.5" x14ac:dyDescent="0.25">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2.5" x14ac:dyDescent="0.25">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2.5" x14ac:dyDescent="0.25">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2.5" x14ac:dyDescent="0.25">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2.5" x14ac:dyDescent="0.25">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2.5" x14ac:dyDescent="0.25">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2.5" x14ac:dyDescent="0.25">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2.5" x14ac:dyDescent="0.25">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2.5" x14ac:dyDescent="0.25">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2.5" x14ac:dyDescent="0.25">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2.5" x14ac:dyDescent="0.25">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2.5" x14ac:dyDescent="0.25">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2.5" x14ac:dyDescent="0.25">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2.5" x14ac:dyDescent="0.25">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25">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25">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25">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2.5" x14ac:dyDescent="0.25">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3.75" x14ac:dyDescent="0.25">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2.5" x14ac:dyDescent="0.25">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2.5" x14ac:dyDescent="0.25">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2.5" x14ac:dyDescent="0.25">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25">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25">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25">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25">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25">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25">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2.5" x14ac:dyDescent="0.25">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3.75" x14ac:dyDescent="0.25">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2.5" x14ac:dyDescent="0.25">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2.5" x14ac:dyDescent="0.25">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3.75" x14ac:dyDescent="0.25">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2.5" x14ac:dyDescent="0.25">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25">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25">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25">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25">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25">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25">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25">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25">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25">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25">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25">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25">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25">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25">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33.75" x14ac:dyDescent="0.25">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33.75" x14ac:dyDescent="0.25">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33.75" x14ac:dyDescent="0.25">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25">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25">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25">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25">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25">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25">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33.75" x14ac:dyDescent="0.25">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33.75" x14ac:dyDescent="0.25">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33.75" x14ac:dyDescent="0.25">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33.75" x14ac:dyDescent="0.25">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33.75" x14ac:dyDescent="0.25">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33.75" x14ac:dyDescent="0.25">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33.75" x14ac:dyDescent="0.25">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33.75" x14ac:dyDescent="0.25">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33.75" x14ac:dyDescent="0.25">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25">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25">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25">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33.75" x14ac:dyDescent="0.25">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33.75" x14ac:dyDescent="0.25">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25">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25">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25">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25">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2.5" x14ac:dyDescent="0.25">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2.5" x14ac:dyDescent="0.25">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2.5" x14ac:dyDescent="0.25">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2.5" x14ac:dyDescent="0.25">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2.5" x14ac:dyDescent="0.25">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2.5" x14ac:dyDescent="0.25">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2.5" x14ac:dyDescent="0.25">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2.5" x14ac:dyDescent="0.25">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2.5" x14ac:dyDescent="0.25">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2.5" x14ac:dyDescent="0.25">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2.5" x14ac:dyDescent="0.25">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2.5" x14ac:dyDescent="0.25">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2.5" x14ac:dyDescent="0.25">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2.5" x14ac:dyDescent="0.25">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2.5" x14ac:dyDescent="0.25">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2.5" x14ac:dyDescent="0.25">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2.5" x14ac:dyDescent="0.25">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33.75" x14ac:dyDescent="0.25">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2.5" x14ac:dyDescent="0.25">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33.75" x14ac:dyDescent="0.25">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2.5" x14ac:dyDescent="0.25">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2.5" x14ac:dyDescent="0.25">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2.5" x14ac:dyDescent="0.25">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33.75" x14ac:dyDescent="0.25">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2.5" x14ac:dyDescent="0.25">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2.5" x14ac:dyDescent="0.25">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33.75" x14ac:dyDescent="0.25">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33.75" x14ac:dyDescent="0.25">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33.75" x14ac:dyDescent="0.25">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33.75" x14ac:dyDescent="0.25">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33.75" x14ac:dyDescent="0.25">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33.75" x14ac:dyDescent="0.25">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3.75" x14ac:dyDescent="0.25">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3.75" x14ac:dyDescent="0.25">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3.75" x14ac:dyDescent="0.25">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3.75" x14ac:dyDescent="0.25">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33.75" x14ac:dyDescent="0.25">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33.75" x14ac:dyDescent="0.25">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3.75" x14ac:dyDescent="0.25">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33.75" x14ac:dyDescent="0.25">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33.75" x14ac:dyDescent="0.25">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3.75" x14ac:dyDescent="0.25">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33.75" x14ac:dyDescent="0.25">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33.75" x14ac:dyDescent="0.25">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33.75" x14ac:dyDescent="0.25">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33.75" x14ac:dyDescent="0.25">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33.75" x14ac:dyDescent="0.25">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3.75" x14ac:dyDescent="0.25">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3.75" x14ac:dyDescent="0.25">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3.75" x14ac:dyDescent="0.25">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33.75" x14ac:dyDescent="0.25">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33.75" x14ac:dyDescent="0.25">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33.75" x14ac:dyDescent="0.25">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3.75" x14ac:dyDescent="0.25">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33.75" x14ac:dyDescent="0.25">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33.75" x14ac:dyDescent="0.25">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3.75" x14ac:dyDescent="0.25">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3.75" x14ac:dyDescent="0.25">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3.75" x14ac:dyDescent="0.25">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3.75" x14ac:dyDescent="0.25">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3.75" x14ac:dyDescent="0.25">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3.75" x14ac:dyDescent="0.25">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3.75" x14ac:dyDescent="0.25">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3.75" x14ac:dyDescent="0.25">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3.75" x14ac:dyDescent="0.25">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3.75" x14ac:dyDescent="0.25">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3.75" x14ac:dyDescent="0.25">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3.75" x14ac:dyDescent="0.25">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3.75" x14ac:dyDescent="0.25">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33.75" x14ac:dyDescent="0.25">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33.75" x14ac:dyDescent="0.25">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33.75" x14ac:dyDescent="0.25">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33.75" x14ac:dyDescent="0.25">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33.75" x14ac:dyDescent="0.25">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33.75" x14ac:dyDescent="0.25">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3.75" x14ac:dyDescent="0.25">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33.75" x14ac:dyDescent="0.25">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3.75" x14ac:dyDescent="0.25">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3.75" x14ac:dyDescent="0.25">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3.75" x14ac:dyDescent="0.25">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3.75" x14ac:dyDescent="0.25">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3.75" x14ac:dyDescent="0.25">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3.75" x14ac:dyDescent="0.25">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3.75" x14ac:dyDescent="0.25">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3.75" x14ac:dyDescent="0.25">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3.75" x14ac:dyDescent="0.25">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3.75" x14ac:dyDescent="0.25">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3.75" x14ac:dyDescent="0.25">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3.75" x14ac:dyDescent="0.25">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3.75" x14ac:dyDescent="0.25">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3.75" x14ac:dyDescent="0.25">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3.75" x14ac:dyDescent="0.25">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3.75" x14ac:dyDescent="0.25">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3.75" x14ac:dyDescent="0.25">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3.75" x14ac:dyDescent="0.25">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33.75" x14ac:dyDescent="0.25">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33.75" x14ac:dyDescent="0.25">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33.75" x14ac:dyDescent="0.25">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3.75" x14ac:dyDescent="0.25">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33.75" x14ac:dyDescent="0.25">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33.75" x14ac:dyDescent="0.25">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3.75" x14ac:dyDescent="0.25">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33.75" x14ac:dyDescent="0.25">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33.75" x14ac:dyDescent="0.25">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33.75" x14ac:dyDescent="0.25">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33.75" x14ac:dyDescent="0.25">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33.75" x14ac:dyDescent="0.25">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3.75" x14ac:dyDescent="0.25">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33.75" x14ac:dyDescent="0.25">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33.75" x14ac:dyDescent="0.25">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2.5" x14ac:dyDescent="0.25">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2.5" x14ac:dyDescent="0.25">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2.5" x14ac:dyDescent="0.25">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2.5" x14ac:dyDescent="0.25">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2.5" x14ac:dyDescent="0.25">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2.5" x14ac:dyDescent="0.25">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3.75" x14ac:dyDescent="0.25">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3.75" x14ac:dyDescent="0.25">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3.75" x14ac:dyDescent="0.25">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3.75" x14ac:dyDescent="0.25">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3.75" x14ac:dyDescent="0.25">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3.75" x14ac:dyDescent="0.25">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3.75" x14ac:dyDescent="0.25">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3.75" x14ac:dyDescent="0.25">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3.75" x14ac:dyDescent="0.25">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3.75" x14ac:dyDescent="0.25">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3.75" x14ac:dyDescent="0.25">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3.75" x14ac:dyDescent="0.25">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3.75" x14ac:dyDescent="0.25">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3.75" x14ac:dyDescent="0.25">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3.75" x14ac:dyDescent="0.25">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3.75" x14ac:dyDescent="0.25">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3.75" x14ac:dyDescent="0.25">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3.75" x14ac:dyDescent="0.25">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45" x14ac:dyDescent="0.25">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3.75" x14ac:dyDescent="0.25">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3.75" x14ac:dyDescent="0.25">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3.75" x14ac:dyDescent="0.25">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3.75" x14ac:dyDescent="0.25">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3.75" x14ac:dyDescent="0.25">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3.75" x14ac:dyDescent="0.25">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3.75" x14ac:dyDescent="0.25">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3.75" x14ac:dyDescent="0.25">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45" x14ac:dyDescent="0.25">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3.75" x14ac:dyDescent="0.25">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3.75" x14ac:dyDescent="0.25">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3.75" x14ac:dyDescent="0.25">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3.75" x14ac:dyDescent="0.25">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3.75" x14ac:dyDescent="0.25">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33.75" x14ac:dyDescent="0.25">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33.75" x14ac:dyDescent="0.25">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33.75" x14ac:dyDescent="0.25">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3.75" x14ac:dyDescent="0.25">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33.75" x14ac:dyDescent="0.25">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33.75" x14ac:dyDescent="0.25">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3.75" x14ac:dyDescent="0.25">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33.75" x14ac:dyDescent="0.25">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33.75" x14ac:dyDescent="0.25">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33.75" x14ac:dyDescent="0.25">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33.75" x14ac:dyDescent="0.25">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2.5" x14ac:dyDescent="0.25">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25">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33.75" x14ac:dyDescent="0.25">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3.75" x14ac:dyDescent="0.25">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3.75" x14ac:dyDescent="0.25">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3.75" x14ac:dyDescent="0.25">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3.75" x14ac:dyDescent="0.25">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3.75" x14ac:dyDescent="0.25">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3.75" x14ac:dyDescent="0.25">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3.75" x14ac:dyDescent="0.25">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3.75" x14ac:dyDescent="0.25">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3.75" x14ac:dyDescent="0.25">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3.75" x14ac:dyDescent="0.25">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3.75" x14ac:dyDescent="0.25">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3.75" x14ac:dyDescent="0.25">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3.75" x14ac:dyDescent="0.25">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3.75" x14ac:dyDescent="0.25">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3.75" x14ac:dyDescent="0.25">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3.75" x14ac:dyDescent="0.25">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3.75" x14ac:dyDescent="0.25">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3.75" x14ac:dyDescent="0.25">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3.75" x14ac:dyDescent="0.25">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3.75" x14ac:dyDescent="0.25">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3.75" x14ac:dyDescent="0.25">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3.75" x14ac:dyDescent="0.25">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3.75" x14ac:dyDescent="0.25">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3.75" x14ac:dyDescent="0.25">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3.75" x14ac:dyDescent="0.25">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3.75" x14ac:dyDescent="0.25">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3.75" x14ac:dyDescent="0.25">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3.75" x14ac:dyDescent="0.25">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3.75" x14ac:dyDescent="0.25">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3.75" x14ac:dyDescent="0.25">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3.75" x14ac:dyDescent="0.25">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3.75" x14ac:dyDescent="0.25">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33.75" x14ac:dyDescent="0.25">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2.5" x14ac:dyDescent="0.25">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2.5" x14ac:dyDescent="0.25">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2.5" x14ac:dyDescent="0.25">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2.5" x14ac:dyDescent="0.25">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25">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2.5" x14ac:dyDescent="0.25">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25">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2.5" x14ac:dyDescent="0.25">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25">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2.5" x14ac:dyDescent="0.25">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2.5" x14ac:dyDescent="0.25">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25">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25">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2.5" x14ac:dyDescent="0.25">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25">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25">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25">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25">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25">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25">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2.5" x14ac:dyDescent="0.25">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2.5" x14ac:dyDescent="0.25">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2.5" x14ac:dyDescent="0.25">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2.5" x14ac:dyDescent="0.25">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2.5" x14ac:dyDescent="0.25">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2.5" x14ac:dyDescent="0.25">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2.5" x14ac:dyDescent="0.25">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2.5" x14ac:dyDescent="0.25">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2.5" x14ac:dyDescent="0.25">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2.5" x14ac:dyDescent="0.25">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2.5" x14ac:dyDescent="0.25">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25">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ht="22.5" x14ac:dyDescent="0.25">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2.5" x14ac:dyDescent="0.25">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2.5" x14ac:dyDescent="0.25">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2.5" x14ac:dyDescent="0.25">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2.5" x14ac:dyDescent="0.25">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2.5" x14ac:dyDescent="0.25">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2.5" x14ac:dyDescent="0.25">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25">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2.5" x14ac:dyDescent="0.25">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2.5" x14ac:dyDescent="0.25">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2.5" x14ac:dyDescent="0.25">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2.5" x14ac:dyDescent="0.25">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2.5" x14ac:dyDescent="0.25">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2.5" x14ac:dyDescent="0.25">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2.5" x14ac:dyDescent="0.25">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2.5" x14ac:dyDescent="0.25">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25">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25">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2.5" x14ac:dyDescent="0.25">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2.5" x14ac:dyDescent="0.25">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2.5" x14ac:dyDescent="0.25">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2.5" x14ac:dyDescent="0.25">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2.5" x14ac:dyDescent="0.25">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2.5" x14ac:dyDescent="0.25">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2.5" x14ac:dyDescent="0.25">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25">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2.5" x14ac:dyDescent="0.25">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2.5" x14ac:dyDescent="0.25">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ht="22.5" x14ac:dyDescent="0.25">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2.5" x14ac:dyDescent="0.25">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2.5" x14ac:dyDescent="0.25">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2.5" x14ac:dyDescent="0.25">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2.5" x14ac:dyDescent="0.25">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2.5" x14ac:dyDescent="0.25">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2.5" x14ac:dyDescent="0.25">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2.5" x14ac:dyDescent="0.25">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2.5" x14ac:dyDescent="0.25">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2.5" x14ac:dyDescent="0.25">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2.5" x14ac:dyDescent="0.25">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25">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2.5" x14ac:dyDescent="0.25">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2.5" x14ac:dyDescent="0.25">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2.5" x14ac:dyDescent="0.25">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2.5" x14ac:dyDescent="0.25">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2.5" x14ac:dyDescent="0.25">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2.5" x14ac:dyDescent="0.25">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ht="22.5" x14ac:dyDescent="0.25">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2.5" x14ac:dyDescent="0.25">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25">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25">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25">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25">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2.5" x14ac:dyDescent="0.25">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25">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25">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25">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25">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25">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25">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25">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25">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25">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25">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25">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25">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25">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25">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25">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25">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25">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25">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25">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25">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25">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25">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25">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25">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25">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25">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25">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25">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25">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25">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25">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25">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25">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25">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25">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25">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25">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25">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25">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25">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2.5" x14ac:dyDescent="0.25">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2.5" x14ac:dyDescent="0.25">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2.5" x14ac:dyDescent="0.25">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2.5" x14ac:dyDescent="0.25">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25">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25">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25">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25">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25">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2.5" x14ac:dyDescent="0.25">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25">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2.5" x14ac:dyDescent="0.25">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25">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2.5" x14ac:dyDescent="0.25">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2.5" x14ac:dyDescent="0.25">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2.5" x14ac:dyDescent="0.25">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2.5" x14ac:dyDescent="0.25">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2.5" x14ac:dyDescent="0.25">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2.5" x14ac:dyDescent="0.25">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2.5" x14ac:dyDescent="0.25">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2.5" x14ac:dyDescent="0.25">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2.5" x14ac:dyDescent="0.25">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2.5" x14ac:dyDescent="0.25">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2.5" x14ac:dyDescent="0.25">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2.5" x14ac:dyDescent="0.25">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2.5" x14ac:dyDescent="0.25">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2.5" x14ac:dyDescent="0.25">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2.5" x14ac:dyDescent="0.25">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2.5" x14ac:dyDescent="0.25">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25">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2.5" x14ac:dyDescent="0.25">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2.5" x14ac:dyDescent="0.25">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2.5" x14ac:dyDescent="0.25">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2.5" x14ac:dyDescent="0.25">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2.5" x14ac:dyDescent="0.25">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2.5" x14ac:dyDescent="0.25">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2.5" x14ac:dyDescent="0.25">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2.5" x14ac:dyDescent="0.25">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2.5" x14ac:dyDescent="0.25">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2.5" x14ac:dyDescent="0.25">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2.5" x14ac:dyDescent="0.25">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25">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25">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25">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25">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25">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25">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25">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25">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25">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25">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25">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25">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25">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25">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25">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25">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2.5" x14ac:dyDescent="0.25">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2.5" x14ac:dyDescent="0.25">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2.5" x14ac:dyDescent="0.25">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2.5" x14ac:dyDescent="0.25">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25">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2.5" x14ac:dyDescent="0.25">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2.5" x14ac:dyDescent="0.25">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2.5" x14ac:dyDescent="0.25">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2.5" x14ac:dyDescent="0.25">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2.5" x14ac:dyDescent="0.25">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2.5" x14ac:dyDescent="0.25">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2.5" x14ac:dyDescent="0.25">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2.5" x14ac:dyDescent="0.25">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2.5" x14ac:dyDescent="0.25">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2.5" x14ac:dyDescent="0.25">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2.5" x14ac:dyDescent="0.25">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2.5" x14ac:dyDescent="0.25">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25">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25">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25">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25">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25">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25">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25">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25">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25">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25">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25">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25">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25">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25">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25">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25">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25">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25">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25">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25">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25">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25">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25">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25">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25">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25">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25">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25">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25">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25">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25">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25">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25">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25">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25">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25">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25">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25">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25">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25">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25">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25">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25">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25">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25">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25">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25">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25">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25">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25">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25">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25">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25">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25">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25">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25">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25">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25">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25">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25">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25">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25">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25">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25">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25">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25">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25">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25">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25">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25">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25">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25">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25">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25">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2.5" x14ac:dyDescent="0.25">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2.5" x14ac:dyDescent="0.25">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25">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25">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25">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ht="22.5" x14ac:dyDescent="0.25">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25">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ht="22.5" x14ac:dyDescent="0.25">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25">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ht="22.5" x14ac:dyDescent="0.25">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ht="22.5" x14ac:dyDescent="0.25">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ht="22.5" x14ac:dyDescent="0.25">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25">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25">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25">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25">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ht="22.5" x14ac:dyDescent="0.25">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25">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25">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ht="22.5" x14ac:dyDescent="0.25">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25">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25">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ht="22.5" x14ac:dyDescent="0.25">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25">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25">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25">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25">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25">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25">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25">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25">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25">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25">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25">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25">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25">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25">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25">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25">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ht="22.5" x14ac:dyDescent="0.25">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ht="22.5" x14ac:dyDescent="0.25">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25">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ht="22.5" x14ac:dyDescent="0.25">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ht="22.5" x14ac:dyDescent="0.25">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25">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25">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25">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25">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25">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25">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25">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25">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25">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25">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25">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25">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25">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ht="22.5" x14ac:dyDescent="0.25">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25">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2.5" x14ac:dyDescent="0.25">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2.5" x14ac:dyDescent="0.25">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25">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25">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25">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25">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25">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25">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25">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25">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25">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25">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25">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25">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25">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25">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25">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25">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25">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25">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25">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25">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25">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25">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25">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25">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25">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25">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25">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25">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25">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25">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25">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25">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25">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25">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25">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25">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25">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25">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25">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25">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25">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25">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25">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25">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25">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25">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25">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25">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25">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25">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25">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25">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25">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25">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25">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25">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25">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25">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25">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25">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25">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25">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25">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25">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25">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25">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25">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25">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25">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25">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25">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25">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25">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25">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25">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25">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25">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25">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25">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25">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25">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25">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25">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25">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25">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25">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25">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25">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25">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25">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25">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25">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25">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25">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25">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25">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25">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25">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25">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25">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25">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25">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25">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25">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25">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25">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25">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25">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25">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25">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25">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25">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25">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25">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25">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25">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25">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25">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25">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25">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25">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25">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25">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25">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25">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25">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25">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25">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25">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25">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25">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25">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25">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25">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25">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25">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25">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25">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25">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25">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25">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25">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25">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25">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25">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25">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25">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25">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25">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25">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25">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25">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25">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25">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25">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25">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25">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25">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25">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25">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25">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25">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25">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25">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25">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25">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25">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25">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25">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25">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25">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25">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25">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25">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25">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25">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25">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25">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25">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25">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25">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25">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25">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25">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25">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25">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25">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25">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25">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25">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25">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25">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25">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25">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25">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25">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25">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25">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25">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25">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25">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25">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25">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25">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2.5" x14ac:dyDescent="0.25">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25">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25">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25">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25">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25">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25">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25">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25">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25">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25">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25">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25">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25">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25">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25">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25">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25">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25">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25">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25">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25">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25">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25">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25">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25">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25">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25">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25">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25">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25">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25">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25">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25">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25">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25">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25">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25">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25">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25">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25">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25">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25">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25">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25">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25">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25">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25">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25">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25">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25">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25">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25">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25">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25">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25">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25">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25">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25">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25">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25">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25">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25">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25">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25">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2.5" x14ac:dyDescent="0.25">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2.5" x14ac:dyDescent="0.25">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3.75" x14ac:dyDescent="0.25">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2.5" x14ac:dyDescent="0.25">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33.75" x14ac:dyDescent="0.25">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33.75" x14ac:dyDescent="0.25">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33.75" x14ac:dyDescent="0.25">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25">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25">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25">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25">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2.5" x14ac:dyDescent="0.25">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2.5" x14ac:dyDescent="0.25">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25">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2.5" x14ac:dyDescent="0.25">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25">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25">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2.5" x14ac:dyDescent="0.25">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25">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ht="22.5" x14ac:dyDescent="0.25">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25">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ht="22.5" x14ac:dyDescent="0.25">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ht="22.5" x14ac:dyDescent="0.25">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ht="22.5" x14ac:dyDescent="0.25">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ht="22.5" x14ac:dyDescent="0.25">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ht="22.5" x14ac:dyDescent="0.25">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ht="22.5" x14ac:dyDescent="0.25">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ht="22.5" x14ac:dyDescent="0.25">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ht="22.5" x14ac:dyDescent="0.25">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ht="22.5" x14ac:dyDescent="0.25">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ht="22.5" x14ac:dyDescent="0.25">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ht="22.5" x14ac:dyDescent="0.25">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ht="22.5" x14ac:dyDescent="0.25">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2.5" x14ac:dyDescent="0.25">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ht="22.5" x14ac:dyDescent="0.25">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ht="22.5" x14ac:dyDescent="0.25">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ht="22.5" x14ac:dyDescent="0.25">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ht="22.5" x14ac:dyDescent="0.25">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ht="22.5" x14ac:dyDescent="0.25">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ht="22.5" x14ac:dyDescent="0.25">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ht="22.5" x14ac:dyDescent="0.25">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ht="22.5" x14ac:dyDescent="0.25">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ht="22.5" x14ac:dyDescent="0.25">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ht="22.5" x14ac:dyDescent="0.25">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ht="22.5" x14ac:dyDescent="0.25">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ht="22.5" x14ac:dyDescent="0.25">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ht="22.5" x14ac:dyDescent="0.25">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ht="22.5" x14ac:dyDescent="0.25">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ht="22.5" x14ac:dyDescent="0.25">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ht="22.5" x14ac:dyDescent="0.25">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ht="22.5" x14ac:dyDescent="0.25">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ht="22.5" x14ac:dyDescent="0.25">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ht="22.5" x14ac:dyDescent="0.25">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ht="22.5" x14ac:dyDescent="0.25">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ht="22.5" x14ac:dyDescent="0.25">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ht="22.5" x14ac:dyDescent="0.25">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ht="22.5" x14ac:dyDescent="0.25">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2.5" x14ac:dyDescent="0.25">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25">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25">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25">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25">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25">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2.5" x14ac:dyDescent="0.25">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2.5" x14ac:dyDescent="0.25">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2.5" x14ac:dyDescent="0.25">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2.5" x14ac:dyDescent="0.25">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2.5" x14ac:dyDescent="0.25">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2.5" x14ac:dyDescent="0.25">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2.5" x14ac:dyDescent="0.25">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2.5" x14ac:dyDescent="0.25">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2.5" x14ac:dyDescent="0.25">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2.5" x14ac:dyDescent="0.25">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2.5" x14ac:dyDescent="0.25">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25">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25">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25">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25">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ht="22.5" x14ac:dyDescent="0.25">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ht="22.5" x14ac:dyDescent="0.25">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ht="22.5" x14ac:dyDescent="0.25">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ht="22.5" x14ac:dyDescent="0.25">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ht="22.5" x14ac:dyDescent="0.25">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ht="22.5" x14ac:dyDescent="0.25">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ht="22.5" x14ac:dyDescent="0.25">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ht="22.5" x14ac:dyDescent="0.25">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ht="22.5" x14ac:dyDescent="0.25">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ht="22.5" x14ac:dyDescent="0.25">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ht="22.5" x14ac:dyDescent="0.25">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25">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25">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25">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25">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25">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25">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25">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25">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25">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25">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25">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25">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25">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25">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25">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25">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25">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25">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25">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25">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25">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ht="22.5" x14ac:dyDescent="0.25">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ht="22.5" x14ac:dyDescent="0.25">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ht="22.5" x14ac:dyDescent="0.25">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ht="22.5" x14ac:dyDescent="0.25">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ht="22.5" x14ac:dyDescent="0.25">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ht="22.5" x14ac:dyDescent="0.25">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ht="22.5" x14ac:dyDescent="0.25">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ht="22.5" x14ac:dyDescent="0.25">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ht="22.5" x14ac:dyDescent="0.25">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ht="22.5" x14ac:dyDescent="0.25">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ht="22.5" x14ac:dyDescent="0.25">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ht="22.5" x14ac:dyDescent="0.25">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ht="22.5" x14ac:dyDescent="0.25">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ht="22.5" x14ac:dyDescent="0.25">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ht="22.5" x14ac:dyDescent="0.25">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ht="22.5" x14ac:dyDescent="0.25">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ht="22.5" x14ac:dyDescent="0.25">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ht="22.5" x14ac:dyDescent="0.25">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ht="22.5" x14ac:dyDescent="0.25">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ht="22.5" x14ac:dyDescent="0.25">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ht="22.5" x14ac:dyDescent="0.25">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ht="22.5" x14ac:dyDescent="0.25">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ht="22.5" x14ac:dyDescent="0.25">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ht="22.5" x14ac:dyDescent="0.25">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ht="22.5" x14ac:dyDescent="0.25">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ht="22.5" x14ac:dyDescent="0.25">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ht="22.5" x14ac:dyDescent="0.25">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ht="22.5" x14ac:dyDescent="0.25">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25">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25">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25">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25">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25">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25">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25">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25">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25">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25">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25">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25">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25">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25">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25">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25">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25">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25">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25">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25">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25">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25">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25">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25">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25">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25">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25">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25">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25">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25">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25">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25">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25">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25">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25">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25">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25">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25">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25">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25">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25">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25">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25">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25">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25">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25">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25">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25">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25">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25">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25">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25">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25">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25">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25">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25">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25">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25">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25">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25">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25">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25">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25">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25">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25">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25">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25">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25">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25">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25">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25">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25">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25">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25">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25">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25">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25">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25">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25">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25">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25">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25">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25">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25">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25">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25">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25">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25">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25">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25">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25">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25">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25">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25">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25">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25">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25">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25">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25">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25">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25">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25">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25">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25">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25">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25">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25">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25">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25">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25">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25">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25">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25">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25">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25">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25">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25">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25">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25">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25">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25">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25">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25">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25">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25">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25">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25">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25">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25">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25">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25">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25">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25">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25">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25">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25">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25">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25">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25">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25">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25">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25">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25">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25">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25">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25">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2.5" x14ac:dyDescent="0.25">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25">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2.5" x14ac:dyDescent="0.25">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2.5" x14ac:dyDescent="0.25">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25">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2.5" x14ac:dyDescent="0.25">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25">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25">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25">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25">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25">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25">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25">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25">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25">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25">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25">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25">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25">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25">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25">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25">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25">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25">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25">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2.5" x14ac:dyDescent="0.25">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2.5" x14ac:dyDescent="0.25">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25">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25">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25">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25">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25">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25">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25">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25">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25">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25">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25">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25">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25">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25">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25">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25">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25">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25">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25">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25">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25">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25">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25">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25">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25">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25">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25">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25">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25">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25">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25">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25">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25">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25">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25">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25">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25">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25">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25">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25">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25">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25">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25">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25">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25">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25">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25">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25">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25">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25">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25">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25">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25">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25">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25">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25">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25">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25">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25">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25">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25">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25">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25">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25">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25">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25">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25">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25">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25">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25">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25">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25">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25">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25">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25">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25">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25">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25">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25">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25">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25">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25">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25">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25">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25">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25">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25">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25">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25">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25">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25">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25">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25">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25">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25">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25">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25">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2.5" x14ac:dyDescent="0.25">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25">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2.5" x14ac:dyDescent="0.25">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25">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25">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25">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2.5" x14ac:dyDescent="0.25">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25">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25">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25">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25">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25">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25">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25">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25">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25">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25">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25">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25">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25">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25">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25">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25">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25">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25">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25">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2.5" x14ac:dyDescent="0.25">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2.5" x14ac:dyDescent="0.25">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2.5" x14ac:dyDescent="0.25">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2.5" x14ac:dyDescent="0.25">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2.5" x14ac:dyDescent="0.25">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2.5" x14ac:dyDescent="0.25">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2.5" x14ac:dyDescent="0.25">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2.5" x14ac:dyDescent="0.25">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2.5" x14ac:dyDescent="0.25">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2.5" x14ac:dyDescent="0.25">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2.5" x14ac:dyDescent="0.25">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2.5" x14ac:dyDescent="0.25">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2.5" x14ac:dyDescent="0.25">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2.5" x14ac:dyDescent="0.25">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2.5" x14ac:dyDescent="0.25">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25">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2.5" x14ac:dyDescent="0.25">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2.5" x14ac:dyDescent="0.25">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2.5" x14ac:dyDescent="0.25">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2.5" x14ac:dyDescent="0.25">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2.5" x14ac:dyDescent="0.25">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25">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2.5" x14ac:dyDescent="0.25">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2.5" x14ac:dyDescent="0.25">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2.5" x14ac:dyDescent="0.25">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2.5" x14ac:dyDescent="0.25">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2.5" x14ac:dyDescent="0.25">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2.5" x14ac:dyDescent="0.25">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2.5" x14ac:dyDescent="0.25">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2.5" x14ac:dyDescent="0.25">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2.5" x14ac:dyDescent="0.25">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2.5" x14ac:dyDescent="0.25">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2.5" x14ac:dyDescent="0.25">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2.5" x14ac:dyDescent="0.25">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2.5" x14ac:dyDescent="0.25">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2.5" x14ac:dyDescent="0.25">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2.5" x14ac:dyDescent="0.25">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2.5" x14ac:dyDescent="0.25">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2.5" x14ac:dyDescent="0.25">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2.5" x14ac:dyDescent="0.25">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2.5" x14ac:dyDescent="0.25">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2.5" x14ac:dyDescent="0.25">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2.5" x14ac:dyDescent="0.25">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2.5" x14ac:dyDescent="0.25">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2.5" x14ac:dyDescent="0.25">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2.5" x14ac:dyDescent="0.25">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2.5" x14ac:dyDescent="0.25">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2.5" x14ac:dyDescent="0.25">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ht="22.5" x14ac:dyDescent="0.25">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2.5" x14ac:dyDescent="0.25">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2.5" x14ac:dyDescent="0.25">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2.5" x14ac:dyDescent="0.25">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2.5" x14ac:dyDescent="0.25">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25">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2.5" x14ac:dyDescent="0.25">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ht="22.5" x14ac:dyDescent="0.25">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2.5" x14ac:dyDescent="0.25">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2.5" x14ac:dyDescent="0.25">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25">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25">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2.5" x14ac:dyDescent="0.25">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2.5" x14ac:dyDescent="0.25">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2.5" x14ac:dyDescent="0.25">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2.5" x14ac:dyDescent="0.25">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2.5" x14ac:dyDescent="0.25">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2.5" x14ac:dyDescent="0.25">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2.5" x14ac:dyDescent="0.25">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2.5" x14ac:dyDescent="0.25">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2.5" x14ac:dyDescent="0.25">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25">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2.5" x14ac:dyDescent="0.25">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2.5" x14ac:dyDescent="0.25">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2.5" x14ac:dyDescent="0.25">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2.5" x14ac:dyDescent="0.25">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25">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2.5" x14ac:dyDescent="0.25">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2.5" x14ac:dyDescent="0.25">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2.5" x14ac:dyDescent="0.25">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2.5" x14ac:dyDescent="0.25">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2.5" x14ac:dyDescent="0.25">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2.5" x14ac:dyDescent="0.25">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2.5" x14ac:dyDescent="0.25">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2.5" x14ac:dyDescent="0.25">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2.5" x14ac:dyDescent="0.25">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2.5" x14ac:dyDescent="0.25">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2.5" x14ac:dyDescent="0.25">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2.5" x14ac:dyDescent="0.25">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2.5" x14ac:dyDescent="0.25">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2.5" x14ac:dyDescent="0.25">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2.5" x14ac:dyDescent="0.25">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2.5" x14ac:dyDescent="0.25">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25">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2.5" x14ac:dyDescent="0.25">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2.5" x14ac:dyDescent="0.25">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2.5" x14ac:dyDescent="0.25">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2.5" x14ac:dyDescent="0.25">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2.5" x14ac:dyDescent="0.25">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25">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25">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25">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25">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2.5" x14ac:dyDescent="0.25">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25">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25">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2.5" x14ac:dyDescent="0.25">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2.5" x14ac:dyDescent="0.25">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2.5" x14ac:dyDescent="0.25">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2.5" x14ac:dyDescent="0.25">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2.5" x14ac:dyDescent="0.25">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25">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25">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25">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25">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25">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25">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2.5" x14ac:dyDescent="0.25">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2.5" x14ac:dyDescent="0.25">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2.5" x14ac:dyDescent="0.25">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2.5" x14ac:dyDescent="0.25">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2.5" x14ac:dyDescent="0.25">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2.5" x14ac:dyDescent="0.25">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2.5" x14ac:dyDescent="0.25">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2.5" x14ac:dyDescent="0.25">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2.5" x14ac:dyDescent="0.25">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2.5" x14ac:dyDescent="0.25">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25">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25">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2.5" x14ac:dyDescent="0.25">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2.5" x14ac:dyDescent="0.25">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2.5" x14ac:dyDescent="0.25">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2.5" x14ac:dyDescent="0.25">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25">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2.5" x14ac:dyDescent="0.25">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2.5" x14ac:dyDescent="0.25">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2.5" x14ac:dyDescent="0.25">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2.5" x14ac:dyDescent="0.25">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2.5" x14ac:dyDescent="0.25">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2.5" x14ac:dyDescent="0.25">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2.5" x14ac:dyDescent="0.25">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2.5" x14ac:dyDescent="0.25">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2.5" x14ac:dyDescent="0.25">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2.5" x14ac:dyDescent="0.25">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2.5" x14ac:dyDescent="0.25">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2.5" x14ac:dyDescent="0.25">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2.5" x14ac:dyDescent="0.25">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2.5" x14ac:dyDescent="0.25">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2.5" x14ac:dyDescent="0.25">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2.5" x14ac:dyDescent="0.25">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2.5" x14ac:dyDescent="0.25">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2.5" x14ac:dyDescent="0.25">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2.5" x14ac:dyDescent="0.25">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2.5" x14ac:dyDescent="0.25">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2.5" x14ac:dyDescent="0.25">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2.5" x14ac:dyDescent="0.25">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2.5" x14ac:dyDescent="0.25">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2.5" x14ac:dyDescent="0.25">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2.5" x14ac:dyDescent="0.25">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2.5" x14ac:dyDescent="0.25">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2.5" x14ac:dyDescent="0.25">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2.5" x14ac:dyDescent="0.25">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2.5" x14ac:dyDescent="0.25">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2.5" x14ac:dyDescent="0.25">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2.5" x14ac:dyDescent="0.25">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2.5" x14ac:dyDescent="0.25">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2.5" x14ac:dyDescent="0.25">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2.5" x14ac:dyDescent="0.25">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2.5" x14ac:dyDescent="0.25">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2.5" x14ac:dyDescent="0.25">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2.5" x14ac:dyDescent="0.25">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2.5" x14ac:dyDescent="0.25">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2.5" x14ac:dyDescent="0.25">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2.5" x14ac:dyDescent="0.25">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2.5" x14ac:dyDescent="0.25">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2.5" x14ac:dyDescent="0.25">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2.5" x14ac:dyDescent="0.25">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25">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2.5" x14ac:dyDescent="0.25">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2.5" x14ac:dyDescent="0.25">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2.5" x14ac:dyDescent="0.25">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2.5" x14ac:dyDescent="0.25">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2.5" x14ac:dyDescent="0.25">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2.5" x14ac:dyDescent="0.25">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2.5" x14ac:dyDescent="0.25">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2.5" x14ac:dyDescent="0.25">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2.5" x14ac:dyDescent="0.25">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2.5" x14ac:dyDescent="0.25">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2.5" x14ac:dyDescent="0.25">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2.5" x14ac:dyDescent="0.25">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2.5" x14ac:dyDescent="0.25">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2.5" x14ac:dyDescent="0.25">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2.5" x14ac:dyDescent="0.25">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2.5" x14ac:dyDescent="0.25">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2.5" x14ac:dyDescent="0.25">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2.5" x14ac:dyDescent="0.25">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2.5" x14ac:dyDescent="0.25">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2.5" x14ac:dyDescent="0.25">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2.5" x14ac:dyDescent="0.25">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2.5" x14ac:dyDescent="0.25">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25">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25">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2.5" x14ac:dyDescent="0.25">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2.5" x14ac:dyDescent="0.25">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2.5" x14ac:dyDescent="0.25">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2.5" x14ac:dyDescent="0.25">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2.5" x14ac:dyDescent="0.25">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2.5" x14ac:dyDescent="0.25">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2.5" x14ac:dyDescent="0.25">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2.5" x14ac:dyDescent="0.25">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2.5" x14ac:dyDescent="0.25">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2.5" x14ac:dyDescent="0.25">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2.5" x14ac:dyDescent="0.25">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2.5" x14ac:dyDescent="0.25">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2.5" x14ac:dyDescent="0.25">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2.5" x14ac:dyDescent="0.25">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2.5" x14ac:dyDescent="0.25">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2.5" x14ac:dyDescent="0.25">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2.5" x14ac:dyDescent="0.25">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2.5" x14ac:dyDescent="0.25">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2.5" x14ac:dyDescent="0.25">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2.5" x14ac:dyDescent="0.25">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2.5" x14ac:dyDescent="0.25">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2.5" x14ac:dyDescent="0.25">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2.5" x14ac:dyDescent="0.25">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2.5" x14ac:dyDescent="0.25">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2.5" x14ac:dyDescent="0.25">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ht="22.5" x14ac:dyDescent="0.25">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2.5" x14ac:dyDescent="0.25">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2.5" x14ac:dyDescent="0.25">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25">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25">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2.5" x14ac:dyDescent="0.25">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2.5" x14ac:dyDescent="0.25">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ht="22.5" x14ac:dyDescent="0.25">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ht="22.5" x14ac:dyDescent="0.25">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ht="22.5" x14ac:dyDescent="0.25">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ht="22.5" x14ac:dyDescent="0.25">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ht="22.5" x14ac:dyDescent="0.25">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25">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ht="22.5" x14ac:dyDescent="0.25">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2.5" x14ac:dyDescent="0.25">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ht="22.5" x14ac:dyDescent="0.25">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ht="22.5" x14ac:dyDescent="0.25">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ht="22.5" x14ac:dyDescent="0.25">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2.5" x14ac:dyDescent="0.25">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ht="22.5" x14ac:dyDescent="0.25">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ht="22.5" x14ac:dyDescent="0.25">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ht="22.5" x14ac:dyDescent="0.25">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2.5" x14ac:dyDescent="0.25">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ht="22.5" x14ac:dyDescent="0.25">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ht="22.5" x14ac:dyDescent="0.25">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ht="22.5" x14ac:dyDescent="0.25">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2.5" x14ac:dyDescent="0.25">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ht="22.5" x14ac:dyDescent="0.25">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ht="22.5" x14ac:dyDescent="0.25">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ht="22.5" x14ac:dyDescent="0.25">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2.5" x14ac:dyDescent="0.25">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25">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25">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25">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2.5" x14ac:dyDescent="0.25">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2.5" x14ac:dyDescent="0.25">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ht="22.5" x14ac:dyDescent="0.25">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2.5" x14ac:dyDescent="0.25">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2.5" x14ac:dyDescent="0.25">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2.5" x14ac:dyDescent="0.25">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2.5" x14ac:dyDescent="0.25">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2.5" x14ac:dyDescent="0.25">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2.5" x14ac:dyDescent="0.25">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2.5" x14ac:dyDescent="0.25">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2.5" x14ac:dyDescent="0.25">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25">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2.5" x14ac:dyDescent="0.25">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2.5" x14ac:dyDescent="0.25">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3.75" x14ac:dyDescent="0.25">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3.75" x14ac:dyDescent="0.25">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45" x14ac:dyDescent="0.25">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45" x14ac:dyDescent="0.25">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45" x14ac:dyDescent="0.25">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45" x14ac:dyDescent="0.25">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45" x14ac:dyDescent="0.25">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45" x14ac:dyDescent="0.25">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45" x14ac:dyDescent="0.25">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45" x14ac:dyDescent="0.25">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45" x14ac:dyDescent="0.25">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45" x14ac:dyDescent="0.25">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5" x14ac:dyDescent="0.25">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45" x14ac:dyDescent="0.25">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45" x14ac:dyDescent="0.25">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3.75" x14ac:dyDescent="0.25">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3.75" x14ac:dyDescent="0.25">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5" x14ac:dyDescent="0.25">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5" x14ac:dyDescent="0.25">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5" x14ac:dyDescent="0.25">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45" x14ac:dyDescent="0.25">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45" x14ac:dyDescent="0.25">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45" x14ac:dyDescent="0.25">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45" x14ac:dyDescent="0.25">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5" x14ac:dyDescent="0.25">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3.75" x14ac:dyDescent="0.25">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3.75" x14ac:dyDescent="0.25">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3.75" x14ac:dyDescent="0.25">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5" x14ac:dyDescent="0.25">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5" x14ac:dyDescent="0.25">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5" x14ac:dyDescent="0.25">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5" x14ac:dyDescent="0.25">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5" x14ac:dyDescent="0.25">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45" x14ac:dyDescent="0.25">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45" x14ac:dyDescent="0.25">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45" x14ac:dyDescent="0.25">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45" x14ac:dyDescent="0.25">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45" x14ac:dyDescent="0.25">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45" x14ac:dyDescent="0.25">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45" x14ac:dyDescent="0.25">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45" x14ac:dyDescent="0.25">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45" x14ac:dyDescent="0.25">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45" x14ac:dyDescent="0.25">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45" x14ac:dyDescent="0.25">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45" x14ac:dyDescent="0.25">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45" x14ac:dyDescent="0.25">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3.75" x14ac:dyDescent="0.25">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3.75" x14ac:dyDescent="0.25">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3.75" x14ac:dyDescent="0.25">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3.75" x14ac:dyDescent="0.25">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3.75" x14ac:dyDescent="0.25">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3.75" x14ac:dyDescent="0.25">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3.75" x14ac:dyDescent="0.25">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45" x14ac:dyDescent="0.25">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3.75" x14ac:dyDescent="0.25">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3.75" x14ac:dyDescent="0.25">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3.75" x14ac:dyDescent="0.25">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3.75" x14ac:dyDescent="0.25">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3.75" x14ac:dyDescent="0.25">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5" x14ac:dyDescent="0.25">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5" x14ac:dyDescent="0.25">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5" x14ac:dyDescent="0.25">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5" x14ac:dyDescent="0.25">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5" x14ac:dyDescent="0.25">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5" x14ac:dyDescent="0.25">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3.75" x14ac:dyDescent="0.25">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3.75" x14ac:dyDescent="0.25">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3.75" x14ac:dyDescent="0.25">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3.75" x14ac:dyDescent="0.25">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3.75" x14ac:dyDescent="0.25">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45" x14ac:dyDescent="0.25">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45" x14ac:dyDescent="0.25">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45" x14ac:dyDescent="0.25">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45" x14ac:dyDescent="0.25">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45" x14ac:dyDescent="0.25">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45" x14ac:dyDescent="0.25">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45" x14ac:dyDescent="0.25">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45" x14ac:dyDescent="0.25">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45" x14ac:dyDescent="0.25">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45" x14ac:dyDescent="0.25">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3.75" x14ac:dyDescent="0.25">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3.75" x14ac:dyDescent="0.25">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45" x14ac:dyDescent="0.25">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45" x14ac:dyDescent="0.25">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3.75" x14ac:dyDescent="0.25">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3.75" x14ac:dyDescent="0.25">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5" x14ac:dyDescent="0.25">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5" x14ac:dyDescent="0.25">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45" x14ac:dyDescent="0.25">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45" x14ac:dyDescent="0.25">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45" x14ac:dyDescent="0.25">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45" x14ac:dyDescent="0.25">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3.75" x14ac:dyDescent="0.25">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3.75" x14ac:dyDescent="0.25">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3.75" x14ac:dyDescent="0.25">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3.75" x14ac:dyDescent="0.25">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3.75" x14ac:dyDescent="0.25">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5" x14ac:dyDescent="0.25">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5" x14ac:dyDescent="0.25">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45" x14ac:dyDescent="0.25">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45" x14ac:dyDescent="0.25">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45" x14ac:dyDescent="0.25">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45" x14ac:dyDescent="0.25">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5" x14ac:dyDescent="0.25">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5" x14ac:dyDescent="0.25">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45" x14ac:dyDescent="0.25">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45" x14ac:dyDescent="0.25">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5" x14ac:dyDescent="0.25">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5" x14ac:dyDescent="0.25">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5" x14ac:dyDescent="0.25">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5" x14ac:dyDescent="0.25">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45" x14ac:dyDescent="0.25">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45" x14ac:dyDescent="0.25">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45" x14ac:dyDescent="0.25">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45" x14ac:dyDescent="0.25">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3.75" x14ac:dyDescent="0.25">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3.75" x14ac:dyDescent="0.25">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3.75" x14ac:dyDescent="0.25">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3.75" x14ac:dyDescent="0.25">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5" x14ac:dyDescent="0.25">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5" x14ac:dyDescent="0.25">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5" x14ac:dyDescent="0.25">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45" x14ac:dyDescent="0.25">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45" x14ac:dyDescent="0.25">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45" x14ac:dyDescent="0.25">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45" x14ac:dyDescent="0.25">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45" x14ac:dyDescent="0.25">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3.75" x14ac:dyDescent="0.25">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3.75" x14ac:dyDescent="0.25">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5" x14ac:dyDescent="0.25">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5" x14ac:dyDescent="0.25">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5" x14ac:dyDescent="0.25">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3.75" x14ac:dyDescent="0.25">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3.75" x14ac:dyDescent="0.25">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3.75" x14ac:dyDescent="0.25">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5" x14ac:dyDescent="0.25">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5" x14ac:dyDescent="0.25">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5" x14ac:dyDescent="0.25">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45" x14ac:dyDescent="0.25">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45" x14ac:dyDescent="0.25">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45" x14ac:dyDescent="0.25">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45" x14ac:dyDescent="0.25">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45" x14ac:dyDescent="0.25">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45" x14ac:dyDescent="0.25">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3.75" x14ac:dyDescent="0.25">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3.75" x14ac:dyDescent="0.25">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3.75" x14ac:dyDescent="0.25">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3.75" x14ac:dyDescent="0.25">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3.75" x14ac:dyDescent="0.25">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3.75" x14ac:dyDescent="0.25">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3.75" x14ac:dyDescent="0.25">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3.75" x14ac:dyDescent="0.25">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3.75" x14ac:dyDescent="0.25">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3.75" x14ac:dyDescent="0.25">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3.75" x14ac:dyDescent="0.25">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3.75" x14ac:dyDescent="0.25">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3.75" x14ac:dyDescent="0.25">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3.75" x14ac:dyDescent="0.25">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3.75" x14ac:dyDescent="0.25">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3.75" x14ac:dyDescent="0.25">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3.75" x14ac:dyDescent="0.25">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3.75" x14ac:dyDescent="0.25">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3.75" x14ac:dyDescent="0.25">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3.75" x14ac:dyDescent="0.25">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3.75" x14ac:dyDescent="0.25">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3.75" x14ac:dyDescent="0.25">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3.75" x14ac:dyDescent="0.25">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3.75" x14ac:dyDescent="0.25">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3.75" x14ac:dyDescent="0.25">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3.75" x14ac:dyDescent="0.25">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3.75" x14ac:dyDescent="0.25">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3.75" x14ac:dyDescent="0.25">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3.75" x14ac:dyDescent="0.25">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3.75" x14ac:dyDescent="0.25">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3.75" x14ac:dyDescent="0.25">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3.75" x14ac:dyDescent="0.25">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3.75" x14ac:dyDescent="0.25">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3.75" x14ac:dyDescent="0.25">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3.75" x14ac:dyDescent="0.25">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3.75" x14ac:dyDescent="0.25">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3.75" x14ac:dyDescent="0.25">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3.75" x14ac:dyDescent="0.25">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3.75" x14ac:dyDescent="0.25">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3.75" x14ac:dyDescent="0.25">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3.75" x14ac:dyDescent="0.25">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3.75" x14ac:dyDescent="0.25">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3.75" x14ac:dyDescent="0.25">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3.75" x14ac:dyDescent="0.25">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3.75" x14ac:dyDescent="0.25">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3.75" x14ac:dyDescent="0.25">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3.75" x14ac:dyDescent="0.25">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3.75" x14ac:dyDescent="0.25">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3.75" x14ac:dyDescent="0.25">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3.75" x14ac:dyDescent="0.25">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3.75" x14ac:dyDescent="0.25">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3.75" x14ac:dyDescent="0.25">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3.75" x14ac:dyDescent="0.25">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3.75" x14ac:dyDescent="0.25">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3.75" x14ac:dyDescent="0.25">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3.75" x14ac:dyDescent="0.25">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3.75" x14ac:dyDescent="0.25">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3.75" x14ac:dyDescent="0.25">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3.75" x14ac:dyDescent="0.25">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3.75" x14ac:dyDescent="0.25">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3.75" x14ac:dyDescent="0.25">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3.75" x14ac:dyDescent="0.25">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3.75" x14ac:dyDescent="0.25">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3.75" x14ac:dyDescent="0.25">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3.75" x14ac:dyDescent="0.25">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3.75" x14ac:dyDescent="0.25">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3.75" x14ac:dyDescent="0.25">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3.75" x14ac:dyDescent="0.25">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3.75" x14ac:dyDescent="0.25">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3.75" x14ac:dyDescent="0.25">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3.75" x14ac:dyDescent="0.25">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3.75" x14ac:dyDescent="0.25">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3.75" x14ac:dyDescent="0.25">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3.75" x14ac:dyDescent="0.25">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3.75" x14ac:dyDescent="0.25">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3.75" x14ac:dyDescent="0.25">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3.75" x14ac:dyDescent="0.25">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3.75" x14ac:dyDescent="0.25">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45" x14ac:dyDescent="0.25">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45" x14ac:dyDescent="0.25">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3.75" x14ac:dyDescent="0.25">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3.75" x14ac:dyDescent="0.25">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3.75" x14ac:dyDescent="0.25">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3.75" x14ac:dyDescent="0.25">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3.75" x14ac:dyDescent="0.25">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3.75" x14ac:dyDescent="0.25">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3.75" x14ac:dyDescent="0.25">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3.75" x14ac:dyDescent="0.25">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3.75" x14ac:dyDescent="0.25">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3.75" x14ac:dyDescent="0.25">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45" x14ac:dyDescent="0.25">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3.75" x14ac:dyDescent="0.25">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3.75" x14ac:dyDescent="0.25">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3.75" x14ac:dyDescent="0.25">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3.75" x14ac:dyDescent="0.25">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3.75" x14ac:dyDescent="0.25">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3.75" x14ac:dyDescent="0.25">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3.75" x14ac:dyDescent="0.25">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3.75" x14ac:dyDescent="0.25">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3.75" x14ac:dyDescent="0.25">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3.75" x14ac:dyDescent="0.25">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3.75" x14ac:dyDescent="0.25">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3.75" x14ac:dyDescent="0.25">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3.75" x14ac:dyDescent="0.25">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3.75" x14ac:dyDescent="0.25">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3.75" x14ac:dyDescent="0.25">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3.75" x14ac:dyDescent="0.25">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3.75" x14ac:dyDescent="0.25">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3.75" x14ac:dyDescent="0.25">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3.75" x14ac:dyDescent="0.25">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3.75" x14ac:dyDescent="0.25">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3.75" x14ac:dyDescent="0.25">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3.75" x14ac:dyDescent="0.25">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3.75" x14ac:dyDescent="0.25">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3.75" x14ac:dyDescent="0.25">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3.75" x14ac:dyDescent="0.25">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3.75" x14ac:dyDescent="0.25">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45" x14ac:dyDescent="0.25">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3.75" x14ac:dyDescent="0.25">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3.75" x14ac:dyDescent="0.25">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3.75" x14ac:dyDescent="0.25">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3.75" x14ac:dyDescent="0.25">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3.75" x14ac:dyDescent="0.25">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3.75" x14ac:dyDescent="0.25">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3.75" x14ac:dyDescent="0.25">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3.75" x14ac:dyDescent="0.25">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3.75" x14ac:dyDescent="0.25">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3.75" x14ac:dyDescent="0.25">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3.75" x14ac:dyDescent="0.25">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3.75" x14ac:dyDescent="0.25">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3.75" x14ac:dyDescent="0.25">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3.75" x14ac:dyDescent="0.25">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3.75" x14ac:dyDescent="0.25">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3.75" x14ac:dyDescent="0.25">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3.75" x14ac:dyDescent="0.25">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3.75" x14ac:dyDescent="0.25">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3.75" x14ac:dyDescent="0.25">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3.75" x14ac:dyDescent="0.25">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3.75" x14ac:dyDescent="0.25">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3.75" x14ac:dyDescent="0.25">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3.75" x14ac:dyDescent="0.25">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3.75" x14ac:dyDescent="0.25">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3.75" x14ac:dyDescent="0.25">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3.75" x14ac:dyDescent="0.25">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3.75" x14ac:dyDescent="0.25">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3.75" x14ac:dyDescent="0.25">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3.75" x14ac:dyDescent="0.25">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3.75" x14ac:dyDescent="0.25">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3.75" x14ac:dyDescent="0.25">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3.75" x14ac:dyDescent="0.25">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3.75" x14ac:dyDescent="0.25">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3.75" x14ac:dyDescent="0.25">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3.75" x14ac:dyDescent="0.25">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3.75" x14ac:dyDescent="0.25">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3.75" x14ac:dyDescent="0.25">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3.75" x14ac:dyDescent="0.25">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3.75" x14ac:dyDescent="0.25">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3.75" x14ac:dyDescent="0.25">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3.75" x14ac:dyDescent="0.25">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3.75" x14ac:dyDescent="0.25">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3.75" x14ac:dyDescent="0.25">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3.75" x14ac:dyDescent="0.25">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3.75" x14ac:dyDescent="0.25">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3.75" x14ac:dyDescent="0.25">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3.75" x14ac:dyDescent="0.25">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3.75" x14ac:dyDescent="0.25">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3.75" x14ac:dyDescent="0.25">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3.75" x14ac:dyDescent="0.25">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3.75" x14ac:dyDescent="0.25">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3.75" x14ac:dyDescent="0.25">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3.75" x14ac:dyDescent="0.25">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3.75" x14ac:dyDescent="0.25">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3.75" x14ac:dyDescent="0.25">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3.75" x14ac:dyDescent="0.25">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3.75" x14ac:dyDescent="0.25">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3.75" x14ac:dyDescent="0.25">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3.75" x14ac:dyDescent="0.25">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3.75" x14ac:dyDescent="0.25">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3.75" x14ac:dyDescent="0.25">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3.75" x14ac:dyDescent="0.25">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3.75" x14ac:dyDescent="0.25">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3.75" x14ac:dyDescent="0.25">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3.75" x14ac:dyDescent="0.25">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3.75" x14ac:dyDescent="0.25">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3.75" x14ac:dyDescent="0.25">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3.75" x14ac:dyDescent="0.25">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3.75" x14ac:dyDescent="0.25">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3.75" x14ac:dyDescent="0.25">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3.75" x14ac:dyDescent="0.25">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3.75" x14ac:dyDescent="0.25">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3.75" x14ac:dyDescent="0.25">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3.75" x14ac:dyDescent="0.25">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3.75" x14ac:dyDescent="0.25">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3.75" x14ac:dyDescent="0.25">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3.75" x14ac:dyDescent="0.25">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3.75" x14ac:dyDescent="0.25">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3.75" x14ac:dyDescent="0.25">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3.75" x14ac:dyDescent="0.25">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3.75" x14ac:dyDescent="0.25">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3.75" x14ac:dyDescent="0.25">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3.75" x14ac:dyDescent="0.25">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3.75" x14ac:dyDescent="0.25">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3.75" x14ac:dyDescent="0.25">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3.75" x14ac:dyDescent="0.25">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3.75" x14ac:dyDescent="0.25">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3.75" x14ac:dyDescent="0.25">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3.75" x14ac:dyDescent="0.25">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3.75" x14ac:dyDescent="0.25">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3.75" x14ac:dyDescent="0.25">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3.75" x14ac:dyDescent="0.25">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45" x14ac:dyDescent="0.25">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3.75" x14ac:dyDescent="0.25">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3.75" x14ac:dyDescent="0.25">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3.75" x14ac:dyDescent="0.25">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3.75" x14ac:dyDescent="0.25">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3.75" x14ac:dyDescent="0.25">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3.75" x14ac:dyDescent="0.25">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3.75" x14ac:dyDescent="0.25">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3.75" x14ac:dyDescent="0.25">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3.75" x14ac:dyDescent="0.25">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45" x14ac:dyDescent="0.25">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3.75" x14ac:dyDescent="0.25">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3.75" x14ac:dyDescent="0.25">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3.75" x14ac:dyDescent="0.25">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3.75" x14ac:dyDescent="0.25">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3.75" x14ac:dyDescent="0.25">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3.75" x14ac:dyDescent="0.25">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3.75" x14ac:dyDescent="0.25">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3.75" x14ac:dyDescent="0.25">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3.75" x14ac:dyDescent="0.25">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3.75" x14ac:dyDescent="0.25">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45" x14ac:dyDescent="0.25">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3.75" x14ac:dyDescent="0.25">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3.75" x14ac:dyDescent="0.25">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3.75" x14ac:dyDescent="0.25">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3.75" x14ac:dyDescent="0.25">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3.75" x14ac:dyDescent="0.25">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3.75" x14ac:dyDescent="0.25">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3.75" x14ac:dyDescent="0.25">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3.75" x14ac:dyDescent="0.25">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3.75" x14ac:dyDescent="0.25">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3.75" x14ac:dyDescent="0.25">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3.75" x14ac:dyDescent="0.25">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3.75" x14ac:dyDescent="0.25">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3.75" x14ac:dyDescent="0.25">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3.75" x14ac:dyDescent="0.25">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3.75" x14ac:dyDescent="0.25">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5" x14ac:dyDescent="0.25">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3.75" x14ac:dyDescent="0.25">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3.75" x14ac:dyDescent="0.25">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3.75" x14ac:dyDescent="0.25">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3.75" x14ac:dyDescent="0.25">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3.75" x14ac:dyDescent="0.25">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3.75" x14ac:dyDescent="0.25">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3.75" x14ac:dyDescent="0.25">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3.75" x14ac:dyDescent="0.25">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3.75" x14ac:dyDescent="0.25">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3.75" x14ac:dyDescent="0.25">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3.75" x14ac:dyDescent="0.25">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3.75" x14ac:dyDescent="0.25">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3.75" x14ac:dyDescent="0.25">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3.75" x14ac:dyDescent="0.25">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3.75" x14ac:dyDescent="0.25">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3.75" x14ac:dyDescent="0.25">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3.75" x14ac:dyDescent="0.25">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3.75" x14ac:dyDescent="0.25">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3.75" x14ac:dyDescent="0.25">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3.75" x14ac:dyDescent="0.25">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3.75" x14ac:dyDescent="0.25">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3.75" x14ac:dyDescent="0.25">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3.75" x14ac:dyDescent="0.25">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3.75" x14ac:dyDescent="0.25">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3.75" x14ac:dyDescent="0.25">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3.75" x14ac:dyDescent="0.25">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3.75" x14ac:dyDescent="0.25">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3.75" x14ac:dyDescent="0.25">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3.75" x14ac:dyDescent="0.25">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3.75" x14ac:dyDescent="0.25">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3.75" x14ac:dyDescent="0.25">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3.75" x14ac:dyDescent="0.25">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3.75" x14ac:dyDescent="0.25">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3.75" x14ac:dyDescent="0.25">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3.75" x14ac:dyDescent="0.25">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3.75" x14ac:dyDescent="0.25">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3.75" x14ac:dyDescent="0.25">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3.75" x14ac:dyDescent="0.25">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3.75" x14ac:dyDescent="0.25">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3.75" x14ac:dyDescent="0.25">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3.75" x14ac:dyDescent="0.25">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3.75" x14ac:dyDescent="0.25">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3.75" x14ac:dyDescent="0.25">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3.75" x14ac:dyDescent="0.25">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3.75" x14ac:dyDescent="0.25">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3.75" x14ac:dyDescent="0.25">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3.75" x14ac:dyDescent="0.25">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3.75" x14ac:dyDescent="0.25">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3.75" x14ac:dyDescent="0.25">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3.75" x14ac:dyDescent="0.25">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3.75" x14ac:dyDescent="0.25">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3.75" x14ac:dyDescent="0.25">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3.75" x14ac:dyDescent="0.25">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3.75" x14ac:dyDescent="0.25">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3.75" x14ac:dyDescent="0.25">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3.75" x14ac:dyDescent="0.25">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3.75" x14ac:dyDescent="0.25">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3.75" x14ac:dyDescent="0.25">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3.75" x14ac:dyDescent="0.25">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3.75" x14ac:dyDescent="0.25">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3.75" x14ac:dyDescent="0.25">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3.75" x14ac:dyDescent="0.25">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3.75" x14ac:dyDescent="0.25">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3.75" x14ac:dyDescent="0.25">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3.75" x14ac:dyDescent="0.25">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3.75" x14ac:dyDescent="0.25">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3.75" x14ac:dyDescent="0.25">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3.75" x14ac:dyDescent="0.25">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3.75" x14ac:dyDescent="0.25">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3.75" x14ac:dyDescent="0.25">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3.75" x14ac:dyDescent="0.25">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3.75" x14ac:dyDescent="0.25">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3.75" x14ac:dyDescent="0.25">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3.75" x14ac:dyDescent="0.25">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3.75" x14ac:dyDescent="0.25">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3.75" x14ac:dyDescent="0.25">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3.75" x14ac:dyDescent="0.25">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3.75" x14ac:dyDescent="0.25">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3.75" x14ac:dyDescent="0.25">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3.75" x14ac:dyDescent="0.25">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3.75" x14ac:dyDescent="0.25">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3.75" x14ac:dyDescent="0.25">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3.75" x14ac:dyDescent="0.25">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3.75" x14ac:dyDescent="0.25">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3.75" x14ac:dyDescent="0.25">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5" x14ac:dyDescent="0.25">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3.75" x14ac:dyDescent="0.25">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5" x14ac:dyDescent="0.25">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5" x14ac:dyDescent="0.25">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5" x14ac:dyDescent="0.25">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3.75" x14ac:dyDescent="0.25">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3.75" x14ac:dyDescent="0.25">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3.75" x14ac:dyDescent="0.25">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3.75" x14ac:dyDescent="0.25">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3.75" x14ac:dyDescent="0.25">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3.75" x14ac:dyDescent="0.25">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3.75" x14ac:dyDescent="0.25">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3.75" x14ac:dyDescent="0.25">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3.75" x14ac:dyDescent="0.25">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3.75" x14ac:dyDescent="0.25">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3.75" x14ac:dyDescent="0.25">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3.75" x14ac:dyDescent="0.25">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3.75" x14ac:dyDescent="0.25">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3.75" x14ac:dyDescent="0.25">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3.75" x14ac:dyDescent="0.25">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3.75" x14ac:dyDescent="0.25">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45" x14ac:dyDescent="0.25">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3.75" x14ac:dyDescent="0.25">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3.75" x14ac:dyDescent="0.25">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3.75" x14ac:dyDescent="0.25">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3.75" x14ac:dyDescent="0.25">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3.75" x14ac:dyDescent="0.25">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3.75" x14ac:dyDescent="0.25">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3.75" x14ac:dyDescent="0.25">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3.75" x14ac:dyDescent="0.25">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3.75" x14ac:dyDescent="0.25">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3.75" x14ac:dyDescent="0.25">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3.75" x14ac:dyDescent="0.25">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3.75" x14ac:dyDescent="0.25">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3.75" x14ac:dyDescent="0.25">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3.75" x14ac:dyDescent="0.25">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3.75" x14ac:dyDescent="0.25">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3.75" x14ac:dyDescent="0.25">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3.75" x14ac:dyDescent="0.25">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3.75" x14ac:dyDescent="0.25">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3.75" x14ac:dyDescent="0.25">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3.75" x14ac:dyDescent="0.25">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3.75" x14ac:dyDescent="0.25">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3.75" x14ac:dyDescent="0.25">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3.75" x14ac:dyDescent="0.25">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3.75" x14ac:dyDescent="0.25">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3.75" x14ac:dyDescent="0.25">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3.75" x14ac:dyDescent="0.25">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3.75" x14ac:dyDescent="0.25">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3.75" x14ac:dyDescent="0.25">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3.75" x14ac:dyDescent="0.25">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3.75" x14ac:dyDescent="0.25">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3.75" x14ac:dyDescent="0.25">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3.75" x14ac:dyDescent="0.25">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3.75" x14ac:dyDescent="0.25">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3.75" x14ac:dyDescent="0.25">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3.75" x14ac:dyDescent="0.25">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3.75" x14ac:dyDescent="0.25">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3.75" x14ac:dyDescent="0.25">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3.75" x14ac:dyDescent="0.25">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3.75" x14ac:dyDescent="0.25">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3.75" x14ac:dyDescent="0.25">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3.75" x14ac:dyDescent="0.25">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3.75" x14ac:dyDescent="0.25">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3.75" x14ac:dyDescent="0.25">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3.75" x14ac:dyDescent="0.25">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3.75" x14ac:dyDescent="0.25">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3.75" x14ac:dyDescent="0.25">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3.75" x14ac:dyDescent="0.25">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3.75" x14ac:dyDescent="0.25">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3.75" x14ac:dyDescent="0.25">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3.75" x14ac:dyDescent="0.25">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3.75" x14ac:dyDescent="0.25">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3.75" x14ac:dyDescent="0.25">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3.75" x14ac:dyDescent="0.25">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3.75" x14ac:dyDescent="0.25">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3.75" x14ac:dyDescent="0.25">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3.75" x14ac:dyDescent="0.25">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3.75" x14ac:dyDescent="0.25">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3.75" x14ac:dyDescent="0.25">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3.75" x14ac:dyDescent="0.25">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45" x14ac:dyDescent="0.25">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3.75" x14ac:dyDescent="0.25">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3.75" x14ac:dyDescent="0.25">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3.75" x14ac:dyDescent="0.25">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3.75" x14ac:dyDescent="0.25">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3.75" x14ac:dyDescent="0.25">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3.75" x14ac:dyDescent="0.25">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3.75" x14ac:dyDescent="0.25">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45" x14ac:dyDescent="0.25">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3.75" x14ac:dyDescent="0.25">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3.75" x14ac:dyDescent="0.25">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3.75" x14ac:dyDescent="0.25">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3.75" x14ac:dyDescent="0.25">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3.75" x14ac:dyDescent="0.25">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3.75" x14ac:dyDescent="0.25">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3.75" x14ac:dyDescent="0.25">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3.75" x14ac:dyDescent="0.25">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3.75" x14ac:dyDescent="0.25">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3.75" x14ac:dyDescent="0.25">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3.75" x14ac:dyDescent="0.25">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3.75" x14ac:dyDescent="0.25">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3.75" x14ac:dyDescent="0.25">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3.75" x14ac:dyDescent="0.25">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3.75" x14ac:dyDescent="0.25">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3.75" x14ac:dyDescent="0.25">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3.75" x14ac:dyDescent="0.25">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3.75" x14ac:dyDescent="0.25">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3.75" x14ac:dyDescent="0.25">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3.75" x14ac:dyDescent="0.25">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3.75" x14ac:dyDescent="0.25">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3.75" x14ac:dyDescent="0.25">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3.75" x14ac:dyDescent="0.25">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3.75" x14ac:dyDescent="0.25">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3.75" x14ac:dyDescent="0.25">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3.75" x14ac:dyDescent="0.25">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3.75" x14ac:dyDescent="0.25">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3.75" x14ac:dyDescent="0.25">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3.75" x14ac:dyDescent="0.25">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3.75" x14ac:dyDescent="0.25">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3.75" x14ac:dyDescent="0.25">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3.75" x14ac:dyDescent="0.25">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3.75" x14ac:dyDescent="0.25">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3.75" x14ac:dyDescent="0.25">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3.75" x14ac:dyDescent="0.25">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3.75" x14ac:dyDescent="0.25">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3.75" x14ac:dyDescent="0.25">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3.75" x14ac:dyDescent="0.25">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3.75" x14ac:dyDescent="0.25">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3.75" x14ac:dyDescent="0.25">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3.75" x14ac:dyDescent="0.25">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3.75" x14ac:dyDescent="0.25">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3.75" x14ac:dyDescent="0.25">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3.75" x14ac:dyDescent="0.25">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3.75" x14ac:dyDescent="0.25">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3.75" x14ac:dyDescent="0.25">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3.75" x14ac:dyDescent="0.25">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3.75" x14ac:dyDescent="0.25">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3.75" x14ac:dyDescent="0.25">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3.75" x14ac:dyDescent="0.25">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3.75" x14ac:dyDescent="0.25">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3.75" x14ac:dyDescent="0.25">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3.75" x14ac:dyDescent="0.25">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3.75" x14ac:dyDescent="0.25">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3.75" x14ac:dyDescent="0.25">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3.75" x14ac:dyDescent="0.25">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3.75" x14ac:dyDescent="0.25">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3.75" x14ac:dyDescent="0.25">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3.75" x14ac:dyDescent="0.25">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3.75" x14ac:dyDescent="0.25">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3.75" x14ac:dyDescent="0.25">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3.75" x14ac:dyDescent="0.25">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3.75" x14ac:dyDescent="0.25">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3.75" x14ac:dyDescent="0.25">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3.75" x14ac:dyDescent="0.25">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3.75" x14ac:dyDescent="0.25">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3.75" x14ac:dyDescent="0.25">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3.75" x14ac:dyDescent="0.25">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3.75" x14ac:dyDescent="0.25">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3.75" x14ac:dyDescent="0.25">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3.75" x14ac:dyDescent="0.25">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3.75" x14ac:dyDescent="0.25">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3.75" x14ac:dyDescent="0.25">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5" x14ac:dyDescent="0.25">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3.75" x14ac:dyDescent="0.25">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3.75" x14ac:dyDescent="0.25">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45" x14ac:dyDescent="0.25">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3.75" x14ac:dyDescent="0.25">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3.75" x14ac:dyDescent="0.25">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45" x14ac:dyDescent="0.25">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3.75" x14ac:dyDescent="0.25">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3.75" x14ac:dyDescent="0.25">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3.75" x14ac:dyDescent="0.25">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3.75" x14ac:dyDescent="0.25">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3.75" x14ac:dyDescent="0.25">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3.75" x14ac:dyDescent="0.25">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45" x14ac:dyDescent="0.25">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45" x14ac:dyDescent="0.25">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45" x14ac:dyDescent="0.25">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3.75" x14ac:dyDescent="0.25">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3.75" x14ac:dyDescent="0.25">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3.75" x14ac:dyDescent="0.25">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3.75" x14ac:dyDescent="0.25">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5" x14ac:dyDescent="0.25">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5" x14ac:dyDescent="0.25">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5" x14ac:dyDescent="0.25">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5" x14ac:dyDescent="0.25">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5" x14ac:dyDescent="0.25">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5" x14ac:dyDescent="0.25">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5" x14ac:dyDescent="0.25">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3.75" x14ac:dyDescent="0.25">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3.75" x14ac:dyDescent="0.25">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3.75" x14ac:dyDescent="0.25">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3.75" x14ac:dyDescent="0.25">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5" x14ac:dyDescent="0.25">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45" x14ac:dyDescent="0.25">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45" x14ac:dyDescent="0.25">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45" x14ac:dyDescent="0.25">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45" x14ac:dyDescent="0.25">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5" x14ac:dyDescent="0.25">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5" x14ac:dyDescent="0.25">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5" x14ac:dyDescent="0.25">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5" x14ac:dyDescent="0.25">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3.75" x14ac:dyDescent="0.25">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3.75" x14ac:dyDescent="0.25">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3.75" x14ac:dyDescent="0.25">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3.75" x14ac:dyDescent="0.25">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3.75" x14ac:dyDescent="0.25">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3.75" x14ac:dyDescent="0.25">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3.75" x14ac:dyDescent="0.25">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3.75" x14ac:dyDescent="0.25">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3.75" x14ac:dyDescent="0.25">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3.75" x14ac:dyDescent="0.25">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3.75" x14ac:dyDescent="0.25">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3.75" x14ac:dyDescent="0.25">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3.75" x14ac:dyDescent="0.25">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3.75" x14ac:dyDescent="0.25">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3.75" x14ac:dyDescent="0.25">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3.75" x14ac:dyDescent="0.25">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3.75" x14ac:dyDescent="0.25">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3.75" x14ac:dyDescent="0.25">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3.75" x14ac:dyDescent="0.25">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3.75" x14ac:dyDescent="0.25">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3.75" x14ac:dyDescent="0.25">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3.75" x14ac:dyDescent="0.25">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3.75" x14ac:dyDescent="0.25">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3.75" x14ac:dyDescent="0.25">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3.75" x14ac:dyDescent="0.25">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3.75" x14ac:dyDescent="0.25">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3.75" x14ac:dyDescent="0.25">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3.75" x14ac:dyDescent="0.25">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3.75" x14ac:dyDescent="0.25">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3.75" x14ac:dyDescent="0.25">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3.75" x14ac:dyDescent="0.25">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3.75" x14ac:dyDescent="0.25">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3.75" x14ac:dyDescent="0.25">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3.75" x14ac:dyDescent="0.25">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3.75" x14ac:dyDescent="0.25">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3.75" x14ac:dyDescent="0.25">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3.75" x14ac:dyDescent="0.25">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3.75" x14ac:dyDescent="0.25">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3.75" x14ac:dyDescent="0.25">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3.75" x14ac:dyDescent="0.25">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3.75" x14ac:dyDescent="0.25">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3.75" x14ac:dyDescent="0.25">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3.75" x14ac:dyDescent="0.25">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3.75" x14ac:dyDescent="0.25">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3.75" x14ac:dyDescent="0.25">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3.75" x14ac:dyDescent="0.25">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3.75" x14ac:dyDescent="0.25">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3.75" x14ac:dyDescent="0.25">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3.75" x14ac:dyDescent="0.25">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3.75" x14ac:dyDescent="0.25">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3.75" x14ac:dyDescent="0.25">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5" x14ac:dyDescent="0.25">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3.75" x14ac:dyDescent="0.25">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3.75" x14ac:dyDescent="0.25">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3.75" x14ac:dyDescent="0.25">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2.5" x14ac:dyDescent="0.25">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5" x14ac:dyDescent="0.25">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56.25" x14ac:dyDescent="0.25">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56.25" x14ac:dyDescent="0.25">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5" x14ac:dyDescent="0.25">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56.25" x14ac:dyDescent="0.25">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5" x14ac:dyDescent="0.25">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56.25" x14ac:dyDescent="0.25">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5" x14ac:dyDescent="0.25">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5" x14ac:dyDescent="0.25">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56.25" x14ac:dyDescent="0.25">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5" x14ac:dyDescent="0.25">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56.25" x14ac:dyDescent="0.25">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5" x14ac:dyDescent="0.25">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56.25" x14ac:dyDescent="0.25">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5" x14ac:dyDescent="0.25">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56.25" x14ac:dyDescent="0.25">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5" x14ac:dyDescent="0.25">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56.25" x14ac:dyDescent="0.25">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5" x14ac:dyDescent="0.25">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56.25" x14ac:dyDescent="0.25">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5" x14ac:dyDescent="0.25">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6.25" x14ac:dyDescent="0.25">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56.25" x14ac:dyDescent="0.25">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56.25" x14ac:dyDescent="0.25">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45" x14ac:dyDescent="0.25">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56.25" x14ac:dyDescent="0.25">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3.75" x14ac:dyDescent="0.25">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45" x14ac:dyDescent="0.25">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45" x14ac:dyDescent="0.25">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45" x14ac:dyDescent="0.25">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3.75" x14ac:dyDescent="0.25">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3.75" x14ac:dyDescent="0.25">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3.75" x14ac:dyDescent="0.25">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56.25" x14ac:dyDescent="0.25">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56.25" x14ac:dyDescent="0.25">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5" x14ac:dyDescent="0.25">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56.25" x14ac:dyDescent="0.25">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56.25" x14ac:dyDescent="0.25">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56.25" x14ac:dyDescent="0.25">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45" x14ac:dyDescent="0.25">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56.25" x14ac:dyDescent="0.25">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45" x14ac:dyDescent="0.25">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3.75" x14ac:dyDescent="0.25">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56.25" x14ac:dyDescent="0.25">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56.25" x14ac:dyDescent="0.25">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56.25" x14ac:dyDescent="0.25">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56.25" x14ac:dyDescent="0.25">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45" x14ac:dyDescent="0.25">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3.75" x14ac:dyDescent="0.25">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45" x14ac:dyDescent="0.25">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56.25" x14ac:dyDescent="0.25">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56.25" x14ac:dyDescent="0.25">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3.75" x14ac:dyDescent="0.25">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45" x14ac:dyDescent="0.25">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56.25" x14ac:dyDescent="0.25">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45" x14ac:dyDescent="0.25">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45" x14ac:dyDescent="0.25">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45" x14ac:dyDescent="0.25">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56.25" x14ac:dyDescent="0.25">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5" x14ac:dyDescent="0.25">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3.75" x14ac:dyDescent="0.25">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5" x14ac:dyDescent="0.25">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5" x14ac:dyDescent="0.25">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56.25" x14ac:dyDescent="0.25">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5" x14ac:dyDescent="0.25">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5" x14ac:dyDescent="0.25">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5" x14ac:dyDescent="0.25">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45" x14ac:dyDescent="0.25">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56.25" x14ac:dyDescent="0.25">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45" x14ac:dyDescent="0.25">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56.25" x14ac:dyDescent="0.25">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45" x14ac:dyDescent="0.25">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56.25" x14ac:dyDescent="0.25">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56.25" x14ac:dyDescent="0.25">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5" x14ac:dyDescent="0.25">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56.25" x14ac:dyDescent="0.25">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5" x14ac:dyDescent="0.25">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5" x14ac:dyDescent="0.25">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5" x14ac:dyDescent="0.25">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45" x14ac:dyDescent="0.25">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5" x14ac:dyDescent="0.25">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45" x14ac:dyDescent="0.25">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5" x14ac:dyDescent="0.25">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5" x14ac:dyDescent="0.25">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5" x14ac:dyDescent="0.25">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5" x14ac:dyDescent="0.25">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5" x14ac:dyDescent="0.25">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5" x14ac:dyDescent="0.25">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5" x14ac:dyDescent="0.25">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5" x14ac:dyDescent="0.25">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5" x14ac:dyDescent="0.25">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5" x14ac:dyDescent="0.25">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5" x14ac:dyDescent="0.25">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5" x14ac:dyDescent="0.25">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5" x14ac:dyDescent="0.25">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45" x14ac:dyDescent="0.25">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5" x14ac:dyDescent="0.25">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5" x14ac:dyDescent="0.25">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5" x14ac:dyDescent="0.25">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5" x14ac:dyDescent="0.25">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5" x14ac:dyDescent="0.25">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56.25" x14ac:dyDescent="0.25">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56.25" x14ac:dyDescent="0.25">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56.25" x14ac:dyDescent="0.25">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56.25" x14ac:dyDescent="0.25">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56.25" x14ac:dyDescent="0.25">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56.25" x14ac:dyDescent="0.25">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56.25" x14ac:dyDescent="0.25">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5" x14ac:dyDescent="0.25">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5" x14ac:dyDescent="0.25">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5" x14ac:dyDescent="0.25">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5" x14ac:dyDescent="0.25">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56.25" x14ac:dyDescent="0.25">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5" x14ac:dyDescent="0.25">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5" x14ac:dyDescent="0.25">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56.25" x14ac:dyDescent="0.25">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5" x14ac:dyDescent="0.25">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5" x14ac:dyDescent="0.25">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3.75" x14ac:dyDescent="0.25">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5" x14ac:dyDescent="0.25">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5" x14ac:dyDescent="0.25">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5" x14ac:dyDescent="0.25">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5" x14ac:dyDescent="0.25">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56.25" x14ac:dyDescent="0.25">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56.25" x14ac:dyDescent="0.25">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5" x14ac:dyDescent="0.25">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56.25" x14ac:dyDescent="0.25">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5" x14ac:dyDescent="0.25">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5" x14ac:dyDescent="0.25">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56.25" x14ac:dyDescent="0.25">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56.25" x14ac:dyDescent="0.25">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3.75" x14ac:dyDescent="0.25">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3.75" x14ac:dyDescent="0.25">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3.75" x14ac:dyDescent="0.25">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3.75" x14ac:dyDescent="0.25">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3.75" x14ac:dyDescent="0.25">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3.75" x14ac:dyDescent="0.25">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3.75" x14ac:dyDescent="0.25">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3.75" x14ac:dyDescent="0.25">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3.75" x14ac:dyDescent="0.25">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3.75" x14ac:dyDescent="0.25">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3.75" x14ac:dyDescent="0.25">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3.75" x14ac:dyDescent="0.25">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3.75" x14ac:dyDescent="0.25">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3.75" x14ac:dyDescent="0.25">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3.75" x14ac:dyDescent="0.25">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3.75" x14ac:dyDescent="0.25">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3.75" x14ac:dyDescent="0.25">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3.75" x14ac:dyDescent="0.25">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3.75" x14ac:dyDescent="0.25">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3.75" x14ac:dyDescent="0.25">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3.75" x14ac:dyDescent="0.25">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3.75" x14ac:dyDescent="0.25">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3.75" x14ac:dyDescent="0.25">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3.75" x14ac:dyDescent="0.25">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3.75" x14ac:dyDescent="0.25">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3.75" x14ac:dyDescent="0.25">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3.75" x14ac:dyDescent="0.25">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3.75" x14ac:dyDescent="0.25">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3.75" x14ac:dyDescent="0.25">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3.75" x14ac:dyDescent="0.25">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3.75" x14ac:dyDescent="0.25">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3.75" x14ac:dyDescent="0.25">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3.75" x14ac:dyDescent="0.25">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3.75" x14ac:dyDescent="0.25">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3.75" x14ac:dyDescent="0.25">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3.75" x14ac:dyDescent="0.25">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3.75" x14ac:dyDescent="0.25">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3.75" x14ac:dyDescent="0.25">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3.75" x14ac:dyDescent="0.25">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3.75" x14ac:dyDescent="0.25">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3.75" x14ac:dyDescent="0.25">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3.75" x14ac:dyDescent="0.25">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3.75" x14ac:dyDescent="0.25">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3.75" x14ac:dyDescent="0.25">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3.75" x14ac:dyDescent="0.25">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3.75" x14ac:dyDescent="0.25">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3.75" x14ac:dyDescent="0.25">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3.75" x14ac:dyDescent="0.25">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3.75" x14ac:dyDescent="0.25">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3.75" x14ac:dyDescent="0.25">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3.75" x14ac:dyDescent="0.25">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3.75" x14ac:dyDescent="0.25">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3.75" x14ac:dyDescent="0.25">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3.75" x14ac:dyDescent="0.25">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3.75" x14ac:dyDescent="0.25">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3.75" x14ac:dyDescent="0.25">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3.75" x14ac:dyDescent="0.25">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3.75" x14ac:dyDescent="0.25">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3.75" x14ac:dyDescent="0.25">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3.75" x14ac:dyDescent="0.25">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3.75" x14ac:dyDescent="0.25">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3.75" x14ac:dyDescent="0.25">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3.75" x14ac:dyDescent="0.25">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3.75" x14ac:dyDescent="0.25">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3.75" x14ac:dyDescent="0.25">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3.75" x14ac:dyDescent="0.25">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3.75" x14ac:dyDescent="0.25">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3.75" x14ac:dyDescent="0.25">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3.75" x14ac:dyDescent="0.25">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3.75" x14ac:dyDescent="0.25">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3.75" x14ac:dyDescent="0.25">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3.75" x14ac:dyDescent="0.25">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2.5" x14ac:dyDescent="0.25">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ht="22.5" x14ac:dyDescent="0.25">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ht="22.5" x14ac:dyDescent="0.25">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2.5" x14ac:dyDescent="0.25">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2.5" x14ac:dyDescent="0.25">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ht="22.5" x14ac:dyDescent="0.25">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ht="22.5" x14ac:dyDescent="0.25">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ht="22.5" x14ac:dyDescent="0.25">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ht="22.5" x14ac:dyDescent="0.25">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2.5" x14ac:dyDescent="0.25">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2.5" x14ac:dyDescent="0.25">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ht="22.5" x14ac:dyDescent="0.25">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2.5" x14ac:dyDescent="0.25">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2.5" x14ac:dyDescent="0.25">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2.5" x14ac:dyDescent="0.25">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2.5" x14ac:dyDescent="0.25">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2.5" x14ac:dyDescent="0.25">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2.5" x14ac:dyDescent="0.25">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2.5" x14ac:dyDescent="0.25">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2.5" x14ac:dyDescent="0.25">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2.5" x14ac:dyDescent="0.25">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2.5" x14ac:dyDescent="0.25">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2.5" x14ac:dyDescent="0.25">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2.5" x14ac:dyDescent="0.25">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2.5" x14ac:dyDescent="0.25">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ht="22.5" x14ac:dyDescent="0.25">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ht="22.5" x14ac:dyDescent="0.25">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2.5" x14ac:dyDescent="0.25">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2.5" x14ac:dyDescent="0.25">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2.5" x14ac:dyDescent="0.25">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2.5" x14ac:dyDescent="0.25">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2.5" x14ac:dyDescent="0.25">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2.5" x14ac:dyDescent="0.25">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2.5" x14ac:dyDescent="0.25">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2.5" x14ac:dyDescent="0.25">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2.5" x14ac:dyDescent="0.25">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2.5" x14ac:dyDescent="0.25">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2.5" x14ac:dyDescent="0.25">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2.5" x14ac:dyDescent="0.25">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2.5" x14ac:dyDescent="0.25">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2.5" x14ac:dyDescent="0.25">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2.5" x14ac:dyDescent="0.25">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2.5" x14ac:dyDescent="0.25">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2.5" x14ac:dyDescent="0.25">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2.5" x14ac:dyDescent="0.25">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2.5" x14ac:dyDescent="0.25">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2.5" x14ac:dyDescent="0.25">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2.5" x14ac:dyDescent="0.25">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2.5" x14ac:dyDescent="0.25">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2.5" x14ac:dyDescent="0.25">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2.5" x14ac:dyDescent="0.25">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2.5" x14ac:dyDescent="0.25">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2.5" x14ac:dyDescent="0.25">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2.5" x14ac:dyDescent="0.25">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2.5" x14ac:dyDescent="0.25">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2.5" x14ac:dyDescent="0.25">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2.5" x14ac:dyDescent="0.25">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2.5" x14ac:dyDescent="0.25">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2.5" x14ac:dyDescent="0.25">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ht="22.5" x14ac:dyDescent="0.25">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2.5" x14ac:dyDescent="0.25">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2.5" x14ac:dyDescent="0.25">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2.5" x14ac:dyDescent="0.25">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ht="22.5" x14ac:dyDescent="0.25">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ht="22.5" x14ac:dyDescent="0.25">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2.5" x14ac:dyDescent="0.25">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2.5" x14ac:dyDescent="0.25">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ht="22.5" x14ac:dyDescent="0.25">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2.5" x14ac:dyDescent="0.25">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ht="22.5" x14ac:dyDescent="0.25">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ht="22.5" x14ac:dyDescent="0.25">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ht="22.5" x14ac:dyDescent="0.25">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2.5" x14ac:dyDescent="0.25">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2.5" x14ac:dyDescent="0.25">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2.5" x14ac:dyDescent="0.25">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2.5" x14ac:dyDescent="0.25">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2.5" x14ac:dyDescent="0.25">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ht="22.5" x14ac:dyDescent="0.25">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ht="22.5" x14ac:dyDescent="0.25">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ht="22.5" x14ac:dyDescent="0.25">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2.5" x14ac:dyDescent="0.25">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2.5" x14ac:dyDescent="0.25">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2.5" x14ac:dyDescent="0.25">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2.5" x14ac:dyDescent="0.25">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2.5" x14ac:dyDescent="0.25">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2.5" x14ac:dyDescent="0.25">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2.5" x14ac:dyDescent="0.25">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2.5" x14ac:dyDescent="0.25">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2.5" x14ac:dyDescent="0.25">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ht="22.5" x14ac:dyDescent="0.25">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ht="22.5" x14ac:dyDescent="0.25">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2.5" x14ac:dyDescent="0.25">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2.5" x14ac:dyDescent="0.25">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2.5" x14ac:dyDescent="0.25">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2.5" x14ac:dyDescent="0.25">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2.5" x14ac:dyDescent="0.25">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2.5" x14ac:dyDescent="0.25">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2.5" x14ac:dyDescent="0.25">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2.5" x14ac:dyDescent="0.25">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2.5" x14ac:dyDescent="0.25">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2.5" x14ac:dyDescent="0.25">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ht="22.5" x14ac:dyDescent="0.25">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2.5" x14ac:dyDescent="0.25">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2.5" x14ac:dyDescent="0.25">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2.5" x14ac:dyDescent="0.25">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2.5" x14ac:dyDescent="0.25">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ht="22.5" x14ac:dyDescent="0.25">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2.5" x14ac:dyDescent="0.25">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ht="22.5" x14ac:dyDescent="0.25">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2.5" x14ac:dyDescent="0.25">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2.5" x14ac:dyDescent="0.25">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ht="22.5" x14ac:dyDescent="0.25">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2.5" x14ac:dyDescent="0.25">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ht="22.5" x14ac:dyDescent="0.25">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ht="22.5" x14ac:dyDescent="0.25">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2.5" x14ac:dyDescent="0.25">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ht="22.5" x14ac:dyDescent="0.25">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2.5" x14ac:dyDescent="0.25">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2.5" x14ac:dyDescent="0.25">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2.5" x14ac:dyDescent="0.25">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2.5" x14ac:dyDescent="0.25">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2.5" x14ac:dyDescent="0.25">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2.5" x14ac:dyDescent="0.25">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2.5" x14ac:dyDescent="0.25">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2.5" x14ac:dyDescent="0.25">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2.5" x14ac:dyDescent="0.25">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2.5" x14ac:dyDescent="0.25">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2.5" x14ac:dyDescent="0.25">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2.5" x14ac:dyDescent="0.25">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2.5" x14ac:dyDescent="0.25">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2.5" x14ac:dyDescent="0.25">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2.5" x14ac:dyDescent="0.25">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2.5" x14ac:dyDescent="0.25">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2.5" x14ac:dyDescent="0.25">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2.5" x14ac:dyDescent="0.25">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2.5" x14ac:dyDescent="0.25">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2.5" x14ac:dyDescent="0.25">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2.5" x14ac:dyDescent="0.25">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2.5" x14ac:dyDescent="0.25">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2.5" x14ac:dyDescent="0.25">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2.5" x14ac:dyDescent="0.25">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2.5" x14ac:dyDescent="0.25">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2.5" x14ac:dyDescent="0.25">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2.5" x14ac:dyDescent="0.25">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2.5" x14ac:dyDescent="0.25">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2.5" x14ac:dyDescent="0.25">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2.5" x14ac:dyDescent="0.25">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2.5" x14ac:dyDescent="0.25">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2.5" x14ac:dyDescent="0.25">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2.5" x14ac:dyDescent="0.25">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2.5" x14ac:dyDescent="0.25">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2.5" x14ac:dyDescent="0.25">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2.5" x14ac:dyDescent="0.25">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2.5" x14ac:dyDescent="0.25">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2.5" x14ac:dyDescent="0.25">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2.5" x14ac:dyDescent="0.25">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2.5" x14ac:dyDescent="0.25">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2.5" x14ac:dyDescent="0.25">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2.5" x14ac:dyDescent="0.25">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2.5" x14ac:dyDescent="0.25">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2.5" x14ac:dyDescent="0.25">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2.5" x14ac:dyDescent="0.25">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2.5" x14ac:dyDescent="0.25">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2.5" x14ac:dyDescent="0.25">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2.5" x14ac:dyDescent="0.25">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2.5" x14ac:dyDescent="0.25">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2.5" x14ac:dyDescent="0.25">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2.5" x14ac:dyDescent="0.25">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2.5" x14ac:dyDescent="0.25">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2.5" x14ac:dyDescent="0.25">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2.5" x14ac:dyDescent="0.25">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2.5" x14ac:dyDescent="0.25">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2.5" x14ac:dyDescent="0.25">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2.5" x14ac:dyDescent="0.25">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2.5" x14ac:dyDescent="0.25">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2.5" x14ac:dyDescent="0.25">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2.5" x14ac:dyDescent="0.25">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2.5" x14ac:dyDescent="0.25">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2.5" x14ac:dyDescent="0.25">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2.5" x14ac:dyDescent="0.25">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2.5" x14ac:dyDescent="0.25">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2.5" x14ac:dyDescent="0.25">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2.5" x14ac:dyDescent="0.25">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2.5" x14ac:dyDescent="0.25">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2.5" x14ac:dyDescent="0.25">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2.5" x14ac:dyDescent="0.25">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2.5" x14ac:dyDescent="0.25">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2.5" x14ac:dyDescent="0.25">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2.5" x14ac:dyDescent="0.25">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2.5" x14ac:dyDescent="0.25">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2.5" x14ac:dyDescent="0.25">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2.5" x14ac:dyDescent="0.25">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2.5" x14ac:dyDescent="0.25">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2.5" x14ac:dyDescent="0.25">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2.5" x14ac:dyDescent="0.25">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2.5" x14ac:dyDescent="0.25">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2.5" x14ac:dyDescent="0.25">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2.5" x14ac:dyDescent="0.25">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2.5" x14ac:dyDescent="0.25">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2.5" x14ac:dyDescent="0.25">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2.5" x14ac:dyDescent="0.25">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2.5" x14ac:dyDescent="0.25">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2.5" x14ac:dyDescent="0.25">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2.5" x14ac:dyDescent="0.25">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2.5" x14ac:dyDescent="0.25">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2.5" x14ac:dyDescent="0.25">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2.5" x14ac:dyDescent="0.25">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2.5" x14ac:dyDescent="0.25">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2.5" x14ac:dyDescent="0.25">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2.5" x14ac:dyDescent="0.25">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2.5" x14ac:dyDescent="0.25">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2.5" x14ac:dyDescent="0.25">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2.5" x14ac:dyDescent="0.25">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2.5" x14ac:dyDescent="0.25">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2.5" x14ac:dyDescent="0.25">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2.5" x14ac:dyDescent="0.25">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2.5" x14ac:dyDescent="0.25">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2.5" x14ac:dyDescent="0.25">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2.5" x14ac:dyDescent="0.25">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2.5" x14ac:dyDescent="0.25">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2.5" x14ac:dyDescent="0.25">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2.5" x14ac:dyDescent="0.25">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2.5" x14ac:dyDescent="0.25">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2.5" x14ac:dyDescent="0.25">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2.5" x14ac:dyDescent="0.25">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2.5" x14ac:dyDescent="0.25">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2.5" x14ac:dyDescent="0.25">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2.5" x14ac:dyDescent="0.25">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2.5" x14ac:dyDescent="0.25">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2.5" x14ac:dyDescent="0.25">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2.5" x14ac:dyDescent="0.25">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2.5" x14ac:dyDescent="0.25">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2.5" x14ac:dyDescent="0.25">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2.5" x14ac:dyDescent="0.25">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2.5" x14ac:dyDescent="0.25">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2.5" x14ac:dyDescent="0.25">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2.5" x14ac:dyDescent="0.25">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2.5" x14ac:dyDescent="0.25">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2.5" x14ac:dyDescent="0.25">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2.5" x14ac:dyDescent="0.25">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2.5" x14ac:dyDescent="0.25">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2.5" x14ac:dyDescent="0.25">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2.5" x14ac:dyDescent="0.25">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2.5" x14ac:dyDescent="0.25">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2.5" x14ac:dyDescent="0.25">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2.5" x14ac:dyDescent="0.25">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2.5" x14ac:dyDescent="0.25">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2.5" x14ac:dyDescent="0.25">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2.5" x14ac:dyDescent="0.25">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2.5" x14ac:dyDescent="0.25">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2.5" x14ac:dyDescent="0.25">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2.5" x14ac:dyDescent="0.25">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2.5" x14ac:dyDescent="0.25">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2.5" x14ac:dyDescent="0.25">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2.5" x14ac:dyDescent="0.25">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2.5" x14ac:dyDescent="0.25">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2.5" x14ac:dyDescent="0.25">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2.5" x14ac:dyDescent="0.25">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2.5" x14ac:dyDescent="0.25">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2.5" x14ac:dyDescent="0.25">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2.5" x14ac:dyDescent="0.25">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2.5" x14ac:dyDescent="0.25">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2.5" x14ac:dyDescent="0.25">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2.5" x14ac:dyDescent="0.25">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2.5" x14ac:dyDescent="0.25">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2.5" x14ac:dyDescent="0.25">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2.5" x14ac:dyDescent="0.25">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2.5" x14ac:dyDescent="0.25">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2.5" x14ac:dyDescent="0.25">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2.5" x14ac:dyDescent="0.25">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2.5" x14ac:dyDescent="0.25">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2.5" x14ac:dyDescent="0.25">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2.5" x14ac:dyDescent="0.25">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2.5" x14ac:dyDescent="0.25">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2.5" x14ac:dyDescent="0.25">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2.5" x14ac:dyDescent="0.25">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2.5" x14ac:dyDescent="0.25">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2.5" x14ac:dyDescent="0.25">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2.5" x14ac:dyDescent="0.25">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2.5" x14ac:dyDescent="0.25">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2.5" x14ac:dyDescent="0.25">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2.5" x14ac:dyDescent="0.25">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2.5" x14ac:dyDescent="0.25">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2.5" x14ac:dyDescent="0.25">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2.5" x14ac:dyDescent="0.25">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2.5" x14ac:dyDescent="0.25">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2.5" x14ac:dyDescent="0.25">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2.5" x14ac:dyDescent="0.25">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2.5" x14ac:dyDescent="0.25">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2.5" x14ac:dyDescent="0.25">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2.5" x14ac:dyDescent="0.25">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2.5" x14ac:dyDescent="0.25">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2.5" x14ac:dyDescent="0.25">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2.5" x14ac:dyDescent="0.25">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2.5" x14ac:dyDescent="0.25">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2.5" x14ac:dyDescent="0.25">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2.5" x14ac:dyDescent="0.25">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2.5" x14ac:dyDescent="0.25">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2.5" x14ac:dyDescent="0.25">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2.5" x14ac:dyDescent="0.25">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2.5" x14ac:dyDescent="0.25">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2.5" x14ac:dyDescent="0.25">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2.5" x14ac:dyDescent="0.25">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2.5" x14ac:dyDescent="0.25">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2.5" x14ac:dyDescent="0.25">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2.5" x14ac:dyDescent="0.25">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2.5" x14ac:dyDescent="0.25">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2.5" x14ac:dyDescent="0.25">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2.5" x14ac:dyDescent="0.25">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2.5" x14ac:dyDescent="0.25">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2.5" x14ac:dyDescent="0.25">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2.5" x14ac:dyDescent="0.25">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2.5" x14ac:dyDescent="0.25">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2.5" x14ac:dyDescent="0.25">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2.5" x14ac:dyDescent="0.25">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2.5" x14ac:dyDescent="0.25">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2.5" x14ac:dyDescent="0.25">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2.5" x14ac:dyDescent="0.25">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2.5" x14ac:dyDescent="0.25">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2.5" x14ac:dyDescent="0.25">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2.5" x14ac:dyDescent="0.25">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2.5" x14ac:dyDescent="0.25">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2.5" x14ac:dyDescent="0.25">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2.5" x14ac:dyDescent="0.25">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2.5" x14ac:dyDescent="0.25">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2.5" x14ac:dyDescent="0.25">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2.5" x14ac:dyDescent="0.25">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2.5" x14ac:dyDescent="0.25">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2.5" x14ac:dyDescent="0.25">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2.5" x14ac:dyDescent="0.25">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2.5" x14ac:dyDescent="0.25">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2.5" x14ac:dyDescent="0.25">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2.5" x14ac:dyDescent="0.25">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2.5" x14ac:dyDescent="0.25">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2.5" x14ac:dyDescent="0.25">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2.5" x14ac:dyDescent="0.25">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2.5" x14ac:dyDescent="0.25">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2.5" x14ac:dyDescent="0.25">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2.5" x14ac:dyDescent="0.25">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2.5" x14ac:dyDescent="0.25">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2.5" x14ac:dyDescent="0.25">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2.5" x14ac:dyDescent="0.25">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2.5" x14ac:dyDescent="0.25">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2.5" x14ac:dyDescent="0.25">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2.5" x14ac:dyDescent="0.25">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2.5" x14ac:dyDescent="0.25">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2.5" x14ac:dyDescent="0.25">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2.5" x14ac:dyDescent="0.25">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2.5" x14ac:dyDescent="0.25">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2.5" x14ac:dyDescent="0.25">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2.5" x14ac:dyDescent="0.25">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2.5" x14ac:dyDescent="0.25">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2.5" x14ac:dyDescent="0.25">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2.5" x14ac:dyDescent="0.25">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2.5" x14ac:dyDescent="0.25">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2.5" x14ac:dyDescent="0.25">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2.5" x14ac:dyDescent="0.25">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2.5" x14ac:dyDescent="0.25">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2.5" x14ac:dyDescent="0.25">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2.5" x14ac:dyDescent="0.25">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2.5" x14ac:dyDescent="0.25">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2.5" x14ac:dyDescent="0.25">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2.5" x14ac:dyDescent="0.25">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2.5" x14ac:dyDescent="0.25">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2.5" x14ac:dyDescent="0.25">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2.5" x14ac:dyDescent="0.25">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2.5" x14ac:dyDescent="0.25">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2.5" x14ac:dyDescent="0.25">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2.5" x14ac:dyDescent="0.25">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2.5" x14ac:dyDescent="0.25">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2.5" x14ac:dyDescent="0.25">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2.5" x14ac:dyDescent="0.25">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2.5" x14ac:dyDescent="0.25">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2.5" x14ac:dyDescent="0.25">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2.5" x14ac:dyDescent="0.25">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2.5" x14ac:dyDescent="0.25">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2.5" x14ac:dyDescent="0.25">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2.5" x14ac:dyDescent="0.25">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2.5" x14ac:dyDescent="0.25">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2.5" x14ac:dyDescent="0.25">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2.5" x14ac:dyDescent="0.25">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2.5" x14ac:dyDescent="0.25">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2.5" x14ac:dyDescent="0.25">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2.5" x14ac:dyDescent="0.25">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2.5" x14ac:dyDescent="0.25">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2.5" x14ac:dyDescent="0.25">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2.5" x14ac:dyDescent="0.25">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2.5" x14ac:dyDescent="0.25">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2.5" x14ac:dyDescent="0.25">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2.5" x14ac:dyDescent="0.25">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2.5" x14ac:dyDescent="0.25">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2.5" x14ac:dyDescent="0.25">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2.5" x14ac:dyDescent="0.25">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2.5" x14ac:dyDescent="0.25">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2.5" x14ac:dyDescent="0.25">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2.5" x14ac:dyDescent="0.25">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2.5" x14ac:dyDescent="0.25">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2.5" x14ac:dyDescent="0.25">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2.5" x14ac:dyDescent="0.25">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2.5" x14ac:dyDescent="0.25">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2.5" x14ac:dyDescent="0.25">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2.5" x14ac:dyDescent="0.25">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2.5" x14ac:dyDescent="0.25">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2.5" x14ac:dyDescent="0.25">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2.5" x14ac:dyDescent="0.25">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2.5" x14ac:dyDescent="0.25">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2.5" x14ac:dyDescent="0.25">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2.5" x14ac:dyDescent="0.25">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2.5" x14ac:dyDescent="0.25">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2.5" x14ac:dyDescent="0.25">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2.5" x14ac:dyDescent="0.25">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2.5" x14ac:dyDescent="0.25">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2.5" x14ac:dyDescent="0.25">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2.5" x14ac:dyDescent="0.25">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2.5" x14ac:dyDescent="0.25">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2.5" x14ac:dyDescent="0.25">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2.5" x14ac:dyDescent="0.25">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2.5" x14ac:dyDescent="0.25">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2.5" x14ac:dyDescent="0.25">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2.5" x14ac:dyDescent="0.25">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2.5" x14ac:dyDescent="0.25">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2.5" x14ac:dyDescent="0.25">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2.5" x14ac:dyDescent="0.25">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2.5" x14ac:dyDescent="0.25">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2.5" x14ac:dyDescent="0.25">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2.5" x14ac:dyDescent="0.25">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2.5" x14ac:dyDescent="0.25">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2.5" x14ac:dyDescent="0.25">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2.5" x14ac:dyDescent="0.25">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2.5" x14ac:dyDescent="0.25">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2.5" x14ac:dyDescent="0.25">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2.5" x14ac:dyDescent="0.25">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2.5" x14ac:dyDescent="0.25">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2.5" x14ac:dyDescent="0.25">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2.5" x14ac:dyDescent="0.25">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2.5" x14ac:dyDescent="0.25">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2.5" x14ac:dyDescent="0.25">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2.5" x14ac:dyDescent="0.25">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2.5" x14ac:dyDescent="0.25">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2.5" x14ac:dyDescent="0.25">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2.5" x14ac:dyDescent="0.25">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2.5" x14ac:dyDescent="0.25">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2.5" x14ac:dyDescent="0.25">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2.5" x14ac:dyDescent="0.25">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2.5" x14ac:dyDescent="0.25">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2.5" x14ac:dyDescent="0.25">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2.5" x14ac:dyDescent="0.25">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2.5" x14ac:dyDescent="0.25">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2.5" x14ac:dyDescent="0.25">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2.5" x14ac:dyDescent="0.25">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2.5" x14ac:dyDescent="0.25">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2.5" x14ac:dyDescent="0.25">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2.5" x14ac:dyDescent="0.25">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2.5" x14ac:dyDescent="0.25">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2.5" x14ac:dyDescent="0.25">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2.5" x14ac:dyDescent="0.25">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2.5" x14ac:dyDescent="0.25">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2.5" x14ac:dyDescent="0.25">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2.5" x14ac:dyDescent="0.25">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2.5" x14ac:dyDescent="0.25">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2.5" x14ac:dyDescent="0.25">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2.5" x14ac:dyDescent="0.25">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2.5" x14ac:dyDescent="0.25">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2.5" x14ac:dyDescent="0.25">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2.5" x14ac:dyDescent="0.25">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2.5" x14ac:dyDescent="0.25">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2.5" x14ac:dyDescent="0.25">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2.5" x14ac:dyDescent="0.25">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2.5" x14ac:dyDescent="0.25">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2.5" x14ac:dyDescent="0.25">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2.5" x14ac:dyDescent="0.25">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2.5" x14ac:dyDescent="0.25">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2.5" x14ac:dyDescent="0.25">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2.5" x14ac:dyDescent="0.25">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2.5" x14ac:dyDescent="0.25">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2.5" x14ac:dyDescent="0.25">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2.5" x14ac:dyDescent="0.25">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2.5" x14ac:dyDescent="0.25">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2.5" x14ac:dyDescent="0.25">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2.5" x14ac:dyDescent="0.25">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2.5" x14ac:dyDescent="0.25">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2.5" x14ac:dyDescent="0.25">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2.5" x14ac:dyDescent="0.25">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2.5" x14ac:dyDescent="0.25">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2.5" x14ac:dyDescent="0.25">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2.5" x14ac:dyDescent="0.25">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2.5" x14ac:dyDescent="0.25">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2.5" x14ac:dyDescent="0.25">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2.5" x14ac:dyDescent="0.25">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2.5" x14ac:dyDescent="0.25">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2.5" x14ac:dyDescent="0.25">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25">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2.5" x14ac:dyDescent="0.25">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2.5" x14ac:dyDescent="0.25">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2.5" x14ac:dyDescent="0.25">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2.5" x14ac:dyDescent="0.25">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2.5" x14ac:dyDescent="0.25">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2.5" x14ac:dyDescent="0.25">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2.5" x14ac:dyDescent="0.25">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2.5" x14ac:dyDescent="0.25">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2.5" x14ac:dyDescent="0.25">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2.5" x14ac:dyDescent="0.25">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2.5" x14ac:dyDescent="0.25">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2.5" x14ac:dyDescent="0.25">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2.5" x14ac:dyDescent="0.25">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2.5" x14ac:dyDescent="0.25">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2.5" x14ac:dyDescent="0.25">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2.5" x14ac:dyDescent="0.25">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2.5" x14ac:dyDescent="0.25">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2.5" x14ac:dyDescent="0.25">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2.5" x14ac:dyDescent="0.25">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2.5" x14ac:dyDescent="0.25">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2.5" x14ac:dyDescent="0.25">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2.5" x14ac:dyDescent="0.25">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2.5" x14ac:dyDescent="0.25">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2.5" x14ac:dyDescent="0.25">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2.5" x14ac:dyDescent="0.25">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2.5" x14ac:dyDescent="0.25">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2.5" x14ac:dyDescent="0.25">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2.5" x14ac:dyDescent="0.25">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2.5" x14ac:dyDescent="0.25">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2.5" x14ac:dyDescent="0.25">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2.5" x14ac:dyDescent="0.25">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2.5" x14ac:dyDescent="0.25">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2.5" x14ac:dyDescent="0.25">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2.5" x14ac:dyDescent="0.25">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2.5" x14ac:dyDescent="0.25">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2.5" x14ac:dyDescent="0.25">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2.5" x14ac:dyDescent="0.25">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2.5" x14ac:dyDescent="0.25">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2.5" x14ac:dyDescent="0.25">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2.5" x14ac:dyDescent="0.25">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2.5" x14ac:dyDescent="0.25">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2.5" x14ac:dyDescent="0.25">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2.5" x14ac:dyDescent="0.25">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2.5" x14ac:dyDescent="0.25">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2.5" x14ac:dyDescent="0.25">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2.5" x14ac:dyDescent="0.25">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2.5" x14ac:dyDescent="0.25">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2.5" x14ac:dyDescent="0.25">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2.5" x14ac:dyDescent="0.25">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2.5" x14ac:dyDescent="0.25">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2.5" x14ac:dyDescent="0.25">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2.5" x14ac:dyDescent="0.25">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2.5" x14ac:dyDescent="0.25">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2.5" x14ac:dyDescent="0.25">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2.5" x14ac:dyDescent="0.25">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2.5" x14ac:dyDescent="0.25">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2.5" x14ac:dyDescent="0.25">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2.5" x14ac:dyDescent="0.25">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2.5" x14ac:dyDescent="0.25">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2.5" x14ac:dyDescent="0.25">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2.5" x14ac:dyDescent="0.25">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2.5" x14ac:dyDescent="0.25">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2.5" x14ac:dyDescent="0.25">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2.5" x14ac:dyDescent="0.25">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2.5" x14ac:dyDescent="0.25">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2.5" x14ac:dyDescent="0.25">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2.5" x14ac:dyDescent="0.25">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2.5" x14ac:dyDescent="0.25">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2.5" x14ac:dyDescent="0.25">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2.5" x14ac:dyDescent="0.25">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2.5" x14ac:dyDescent="0.25">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2.5" x14ac:dyDescent="0.25">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2.5" x14ac:dyDescent="0.25">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2.5" x14ac:dyDescent="0.25">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2.5" x14ac:dyDescent="0.25">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2.5" x14ac:dyDescent="0.25">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2.5" x14ac:dyDescent="0.25">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2.5" x14ac:dyDescent="0.25">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2.5" x14ac:dyDescent="0.25">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2.5" x14ac:dyDescent="0.25">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2.5" x14ac:dyDescent="0.25">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2.5" x14ac:dyDescent="0.25">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2.5" x14ac:dyDescent="0.25">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2.5" x14ac:dyDescent="0.25">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2.5" x14ac:dyDescent="0.25">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2.5" x14ac:dyDescent="0.25">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2.5" x14ac:dyDescent="0.25">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2.5" x14ac:dyDescent="0.25">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2.5" x14ac:dyDescent="0.25">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2.5" x14ac:dyDescent="0.25">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2.5" x14ac:dyDescent="0.25">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2.5" x14ac:dyDescent="0.25">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2.5" x14ac:dyDescent="0.25">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2.5" x14ac:dyDescent="0.25">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2.5" x14ac:dyDescent="0.25">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2.5" x14ac:dyDescent="0.25">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2.5" x14ac:dyDescent="0.25">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2.5" x14ac:dyDescent="0.25">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2.5" x14ac:dyDescent="0.25">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2.5" x14ac:dyDescent="0.25">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2.5" x14ac:dyDescent="0.25">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2.5" x14ac:dyDescent="0.25">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2.5" x14ac:dyDescent="0.25">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2.5" x14ac:dyDescent="0.25">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2.5" x14ac:dyDescent="0.25">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2.5" x14ac:dyDescent="0.25">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2.5" x14ac:dyDescent="0.25">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2.5" x14ac:dyDescent="0.25">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2.5" x14ac:dyDescent="0.25">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2.5" x14ac:dyDescent="0.25">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2.5" x14ac:dyDescent="0.25">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2.5" x14ac:dyDescent="0.25">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2.5" x14ac:dyDescent="0.25">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2.5" x14ac:dyDescent="0.25">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2.5" x14ac:dyDescent="0.25">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2.5" x14ac:dyDescent="0.25">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2.5" x14ac:dyDescent="0.25">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2.5" x14ac:dyDescent="0.25">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2.5" x14ac:dyDescent="0.25">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2.5" x14ac:dyDescent="0.25">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2.5" x14ac:dyDescent="0.25">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2.5" x14ac:dyDescent="0.25">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2.5" x14ac:dyDescent="0.25">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2.5" x14ac:dyDescent="0.25">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2.5" x14ac:dyDescent="0.25">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2.5" x14ac:dyDescent="0.25">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2.5" x14ac:dyDescent="0.25">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2.5" x14ac:dyDescent="0.25">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2.5" x14ac:dyDescent="0.25">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2.5" x14ac:dyDescent="0.25">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2.5" x14ac:dyDescent="0.25">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2.5" x14ac:dyDescent="0.25">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2.5" x14ac:dyDescent="0.25">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2.5" x14ac:dyDescent="0.25">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2.5" x14ac:dyDescent="0.25">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2.5" x14ac:dyDescent="0.25">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2.5" x14ac:dyDescent="0.25">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2.5" x14ac:dyDescent="0.25">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2.5" x14ac:dyDescent="0.25">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2.5" x14ac:dyDescent="0.25">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2.5" x14ac:dyDescent="0.25">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2.5" x14ac:dyDescent="0.25">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2.5" x14ac:dyDescent="0.25">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2.5" x14ac:dyDescent="0.25">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2.5" x14ac:dyDescent="0.25">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2.5" x14ac:dyDescent="0.25">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2.5" x14ac:dyDescent="0.25">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2.5" x14ac:dyDescent="0.25">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2.5" x14ac:dyDescent="0.25">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2.5" x14ac:dyDescent="0.25">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2.5" x14ac:dyDescent="0.25">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2.5" x14ac:dyDescent="0.25">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2.5" x14ac:dyDescent="0.25">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2.5" x14ac:dyDescent="0.25">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2.5" x14ac:dyDescent="0.25">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2.5" x14ac:dyDescent="0.25">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2.5" x14ac:dyDescent="0.25">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2.5" x14ac:dyDescent="0.25">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2.5" x14ac:dyDescent="0.25">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2.5" x14ac:dyDescent="0.25">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2.5" x14ac:dyDescent="0.25">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2.5" x14ac:dyDescent="0.25">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2.5" x14ac:dyDescent="0.25">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2.5" x14ac:dyDescent="0.25">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2.5" x14ac:dyDescent="0.25">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2.5" x14ac:dyDescent="0.25">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2.5" x14ac:dyDescent="0.25">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2.5" x14ac:dyDescent="0.25">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2.5" x14ac:dyDescent="0.25">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2.5" x14ac:dyDescent="0.25">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2.5" x14ac:dyDescent="0.25">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2.5" x14ac:dyDescent="0.25">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2.5" x14ac:dyDescent="0.25">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2.5" x14ac:dyDescent="0.25">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2.5" x14ac:dyDescent="0.25">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2.5" x14ac:dyDescent="0.25">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2.5" x14ac:dyDescent="0.25">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2.5" x14ac:dyDescent="0.25">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2.5" x14ac:dyDescent="0.25">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2.5" x14ac:dyDescent="0.25">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2.5" x14ac:dyDescent="0.25">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2.5" x14ac:dyDescent="0.25">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2.5" x14ac:dyDescent="0.25">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2.5" x14ac:dyDescent="0.25">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2.5" x14ac:dyDescent="0.25">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2.5" x14ac:dyDescent="0.25">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2.5" x14ac:dyDescent="0.25">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2.5" x14ac:dyDescent="0.25">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2.5" x14ac:dyDescent="0.25">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2.5" x14ac:dyDescent="0.25">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2.5" x14ac:dyDescent="0.25">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2.5" x14ac:dyDescent="0.25">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2.5" x14ac:dyDescent="0.25">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2.5" x14ac:dyDescent="0.25">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2.5" x14ac:dyDescent="0.25">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2.5" x14ac:dyDescent="0.25">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2.5" x14ac:dyDescent="0.25">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2.5" x14ac:dyDescent="0.25">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2.5" x14ac:dyDescent="0.25">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2.5" x14ac:dyDescent="0.25">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2.5" x14ac:dyDescent="0.25">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2.5" x14ac:dyDescent="0.25">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2.5" x14ac:dyDescent="0.25">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2.5" x14ac:dyDescent="0.25">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2.5" x14ac:dyDescent="0.25">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2.5" x14ac:dyDescent="0.25">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2.5" x14ac:dyDescent="0.25">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2.5" x14ac:dyDescent="0.25">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2.5" x14ac:dyDescent="0.25">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2.5" x14ac:dyDescent="0.25">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2.5" x14ac:dyDescent="0.25">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2.5" x14ac:dyDescent="0.25">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2.5" x14ac:dyDescent="0.25">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2.5" x14ac:dyDescent="0.25">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2.5" x14ac:dyDescent="0.25">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2.5" x14ac:dyDescent="0.25">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2.5" x14ac:dyDescent="0.25">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2.5" x14ac:dyDescent="0.25">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2.5" x14ac:dyDescent="0.25">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2.5" x14ac:dyDescent="0.25">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2.5" x14ac:dyDescent="0.25">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2.5" x14ac:dyDescent="0.25">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2.5" x14ac:dyDescent="0.25">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2.5" x14ac:dyDescent="0.25">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2.5" x14ac:dyDescent="0.25">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2.5" x14ac:dyDescent="0.25">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2.5" x14ac:dyDescent="0.25">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2.5" x14ac:dyDescent="0.25">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2.5" x14ac:dyDescent="0.25">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2.5" x14ac:dyDescent="0.25">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2.5" x14ac:dyDescent="0.25">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2.5" x14ac:dyDescent="0.25">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2.5" x14ac:dyDescent="0.25">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2.5" x14ac:dyDescent="0.25">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2.5" x14ac:dyDescent="0.25">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2.5" x14ac:dyDescent="0.25">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2.5" x14ac:dyDescent="0.25">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2.5" x14ac:dyDescent="0.25">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2.5" x14ac:dyDescent="0.25">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2.5" x14ac:dyDescent="0.25">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2.5" x14ac:dyDescent="0.25">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2.5" x14ac:dyDescent="0.25">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2.5" x14ac:dyDescent="0.25">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2.5" x14ac:dyDescent="0.25">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2.5" x14ac:dyDescent="0.25">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2.5" x14ac:dyDescent="0.25">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2.5" x14ac:dyDescent="0.25">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2.5" x14ac:dyDescent="0.25">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ht="22.5" x14ac:dyDescent="0.25">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2.5" x14ac:dyDescent="0.25">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2.5" x14ac:dyDescent="0.25">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ht="22.5" x14ac:dyDescent="0.25">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2.5" x14ac:dyDescent="0.25">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2.5" x14ac:dyDescent="0.25">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2.5" x14ac:dyDescent="0.25">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2.5" x14ac:dyDescent="0.25">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2.5" x14ac:dyDescent="0.25">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ht="22.5" x14ac:dyDescent="0.25">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2.5" x14ac:dyDescent="0.25">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ht="22.5" x14ac:dyDescent="0.25">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2.5" x14ac:dyDescent="0.25">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2.5" x14ac:dyDescent="0.25">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2.5" x14ac:dyDescent="0.25">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2.5" x14ac:dyDescent="0.25">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ht="22.5" x14ac:dyDescent="0.25">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ht="22.5" x14ac:dyDescent="0.25">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2.5" x14ac:dyDescent="0.25">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2.5" x14ac:dyDescent="0.25">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ht="22.5" x14ac:dyDescent="0.25">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ht="22.5" x14ac:dyDescent="0.25">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2.5" x14ac:dyDescent="0.25">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2.5" x14ac:dyDescent="0.25">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2.5" x14ac:dyDescent="0.25">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2.5" x14ac:dyDescent="0.25">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2.5" x14ac:dyDescent="0.25">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2.5" x14ac:dyDescent="0.25">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2.5" x14ac:dyDescent="0.25">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2.5" x14ac:dyDescent="0.25">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2.5" x14ac:dyDescent="0.25">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2.5" x14ac:dyDescent="0.25">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2.5" x14ac:dyDescent="0.25">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2.5" x14ac:dyDescent="0.25">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2.5" x14ac:dyDescent="0.25">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2.5" x14ac:dyDescent="0.25">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2.5" x14ac:dyDescent="0.25">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2.5" x14ac:dyDescent="0.25">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2.5" x14ac:dyDescent="0.25">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2.5" x14ac:dyDescent="0.25">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2.5" x14ac:dyDescent="0.25">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2.5" x14ac:dyDescent="0.25">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ht="22.5" x14ac:dyDescent="0.25">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2.5" x14ac:dyDescent="0.25">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2.5" x14ac:dyDescent="0.25">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2.5" x14ac:dyDescent="0.25">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2.5" x14ac:dyDescent="0.25">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2.5" x14ac:dyDescent="0.25">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ht="22.5" x14ac:dyDescent="0.25">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2.5" x14ac:dyDescent="0.25">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2.5" x14ac:dyDescent="0.25">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2.5" x14ac:dyDescent="0.25">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2.5" x14ac:dyDescent="0.25">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2.5" x14ac:dyDescent="0.25">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ht="22.5" x14ac:dyDescent="0.25">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ht="22.5" x14ac:dyDescent="0.25">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2.5" x14ac:dyDescent="0.25">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2.5" x14ac:dyDescent="0.25">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2.5" x14ac:dyDescent="0.25">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2.5" x14ac:dyDescent="0.25">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2.5" x14ac:dyDescent="0.25">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2.5" x14ac:dyDescent="0.25">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ht="22.5" x14ac:dyDescent="0.25">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2.5" x14ac:dyDescent="0.25">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2.5" x14ac:dyDescent="0.25">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2.5" x14ac:dyDescent="0.25">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2.5" x14ac:dyDescent="0.25">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ht="22.5" x14ac:dyDescent="0.25">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ht="22.5" x14ac:dyDescent="0.25">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ht="22.5" x14ac:dyDescent="0.25">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ht="22.5" x14ac:dyDescent="0.25">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ht="22.5" x14ac:dyDescent="0.25">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ht="22.5" x14ac:dyDescent="0.25">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ht="22.5" x14ac:dyDescent="0.25">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2.5" x14ac:dyDescent="0.25">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2.5" x14ac:dyDescent="0.25">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2.5" x14ac:dyDescent="0.25">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2.5" x14ac:dyDescent="0.25">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2.5" x14ac:dyDescent="0.25">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2.5" x14ac:dyDescent="0.25">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2.5" x14ac:dyDescent="0.25">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2.5" x14ac:dyDescent="0.25">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2.5" x14ac:dyDescent="0.25">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2.5" x14ac:dyDescent="0.25">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2.5" x14ac:dyDescent="0.25">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2.5" x14ac:dyDescent="0.25">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2.5" x14ac:dyDescent="0.25">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2.5" x14ac:dyDescent="0.25">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2.5" x14ac:dyDescent="0.25">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2.5" x14ac:dyDescent="0.25">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2.5" x14ac:dyDescent="0.25">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2.5" x14ac:dyDescent="0.25">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2.5" x14ac:dyDescent="0.25">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2.5" x14ac:dyDescent="0.25">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2.5" x14ac:dyDescent="0.25">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2.5" x14ac:dyDescent="0.25">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2.5" x14ac:dyDescent="0.25">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2.5" x14ac:dyDescent="0.25">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2.5" x14ac:dyDescent="0.25">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2.5" x14ac:dyDescent="0.25">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2.5" x14ac:dyDescent="0.25">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2.5" x14ac:dyDescent="0.25">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2.5" x14ac:dyDescent="0.25">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2.5" x14ac:dyDescent="0.25">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2.5" x14ac:dyDescent="0.25">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2.5" x14ac:dyDescent="0.25">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2.5" x14ac:dyDescent="0.25">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ht="22.5" x14ac:dyDescent="0.25">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2.5" x14ac:dyDescent="0.25">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2.5" x14ac:dyDescent="0.25">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2.5" x14ac:dyDescent="0.25">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2.5" x14ac:dyDescent="0.25">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2.5" x14ac:dyDescent="0.25">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2.5" x14ac:dyDescent="0.25">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2.5" x14ac:dyDescent="0.25">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2.5" x14ac:dyDescent="0.25">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2.5" x14ac:dyDescent="0.25">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2.5" x14ac:dyDescent="0.25">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2.5" x14ac:dyDescent="0.25">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2.5" x14ac:dyDescent="0.25">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ht="22.5" x14ac:dyDescent="0.25">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2.5" x14ac:dyDescent="0.25">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2.5" x14ac:dyDescent="0.25">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2.5" x14ac:dyDescent="0.25">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2.5" x14ac:dyDescent="0.25">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ht="22.5" x14ac:dyDescent="0.25">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2.5" x14ac:dyDescent="0.25">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2.5" x14ac:dyDescent="0.25">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2.5" x14ac:dyDescent="0.25">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2.5" x14ac:dyDescent="0.25">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2.5" x14ac:dyDescent="0.25">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2.5" x14ac:dyDescent="0.25">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2.5" x14ac:dyDescent="0.25">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2.5" x14ac:dyDescent="0.25">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2.5" x14ac:dyDescent="0.25">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2.5" x14ac:dyDescent="0.25">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2.5" x14ac:dyDescent="0.25">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2.5" x14ac:dyDescent="0.25">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2.5" x14ac:dyDescent="0.25">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2.5" x14ac:dyDescent="0.25">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2.5" x14ac:dyDescent="0.25">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2.5" x14ac:dyDescent="0.25">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2.5" x14ac:dyDescent="0.25">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2.5" x14ac:dyDescent="0.25">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2.5" x14ac:dyDescent="0.25">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2.5" x14ac:dyDescent="0.25">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2.5" x14ac:dyDescent="0.25">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2.5" x14ac:dyDescent="0.25">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2.5" x14ac:dyDescent="0.25">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2.5" x14ac:dyDescent="0.25">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2.5" x14ac:dyDescent="0.25">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2.5" x14ac:dyDescent="0.25">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2.5" x14ac:dyDescent="0.25">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2.5" x14ac:dyDescent="0.25">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2.5" x14ac:dyDescent="0.25">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2.5" x14ac:dyDescent="0.25">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2.5" x14ac:dyDescent="0.25">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2.5" x14ac:dyDescent="0.25">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2.5" x14ac:dyDescent="0.25">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2.5" x14ac:dyDescent="0.25">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2.5" x14ac:dyDescent="0.25">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2.5" x14ac:dyDescent="0.25">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2.5" x14ac:dyDescent="0.25">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2.5" x14ac:dyDescent="0.25">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2.5" x14ac:dyDescent="0.25">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2.5" x14ac:dyDescent="0.25">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2.5" x14ac:dyDescent="0.25">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2.5" x14ac:dyDescent="0.25">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2.5" x14ac:dyDescent="0.25">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2.5" x14ac:dyDescent="0.25">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2.5" x14ac:dyDescent="0.25">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2.5" x14ac:dyDescent="0.25">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2.5" x14ac:dyDescent="0.25">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2.5" x14ac:dyDescent="0.25">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2.5" x14ac:dyDescent="0.25">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2.5" x14ac:dyDescent="0.25">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2.5" x14ac:dyDescent="0.25">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2.5" x14ac:dyDescent="0.25">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2.5" x14ac:dyDescent="0.25">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2.5" x14ac:dyDescent="0.25">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2.5" x14ac:dyDescent="0.25">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2.5" x14ac:dyDescent="0.25">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2.5" x14ac:dyDescent="0.25">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2.5" x14ac:dyDescent="0.25">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2.5" x14ac:dyDescent="0.25">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2.5" x14ac:dyDescent="0.25">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2.5" x14ac:dyDescent="0.25">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2.5" x14ac:dyDescent="0.25">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2.5" x14ac:dyDescent="0.25">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2.5" x14ac:dyDescent="0.25">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2.5" x14ac:dyDescent="0.25">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2.5" x14ac:dyDescent="0.25">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2.5" x14ac:dyDescent="0.25">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2.5" x14ac:dyDescent="0.25">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2.5" x14ac:dyDescent="0.25">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2.5" x14ac:dyDescent="0.25">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2.5" x14ac:dyDescent="0.25">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2.5" x14ac:dyDescent="0.25">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2.5" x14ac:dyDescent="0.25">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2.5" x14ac:dyDescent="0.25">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2.5" x14ac:dyDescent="0.25">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2.5" x14ac:dyDescent="0.25">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2.5" x14ac:dyDescent="0.25">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2.5" x14ac:dyDescent="0.25">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2.5" x14ac:dyDescent="0.25">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2.5" x14ac:dyDescent="0.25">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2.5" x14ac:dyDescent="0.25">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2.5" x14ac:dyDescent="0.25">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2.5" x14ac:dyDescent="0.25">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2.5" x14ac:dyDescent="0.25">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2.5" x14ac:dyDescent="0.25">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2.5" x14ac:dyDescent="0.25">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2.5" x14ac:dyDescent="0.25">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2.5" x14ac:dyDescent="0.25">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2.5" x14ac:dyDescent="0.25">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2.5" x14ac:dyDescent="0.25">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2.5" x14ac:dyDescent="0.25">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2.5" x14ac:dyDescent="0.25">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2.5" x14ac:dyDescent="0.25">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2.5" x14ac:dyDescent="0.25">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2.5" x14ac:dyDescent="0.25">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2.5" x14ac:dyDescent="0.25">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2.5" x14ac:dyDescent="0.25">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2.5" x14ac:dyDescent="0.25">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2.5" x14ac:dyDescent="0.25">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2.5" x14ac:dyDescent="0.25">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2.5" x14ac:dyDescent="0.25">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2.5" x14ac:dyDescent="0.25">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2.5" x14ac:dyDescent="0.25">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2.5" x14ac:dyDescent="0.25">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2.5" x14ac:dyDescent="0.25">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2.5" x14ac:dyDescent="0.25">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2.5" x14ac:dyDescent="0.25">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2.5" x14ac:dyDescent="0.25">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2.5" x14ac:dyDescent="0.25">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2.5" x14ac:dyDescent="0.25">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2.5" x14ac:dyDescent="0.25">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2.5" x14ac:dyDescent="0.25">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2.5" x14ac:dyDescent="0.25">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2.5" x14ac:dyDescent="0.25">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2.5" x14ac:dyDescent="0.25">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2.5" x14ac:dyDescent="0.25">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2.5" x14ac:dyDescent="0.25">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2.5" x14ac:dyDescent="0.25">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2.5" x14ac:dyDescent="0.25">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33.75" x14ac:dyDescent="0.25">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2.5" x14ac:dyDescent="0.25">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2.5" x14ac:dyDescent="0.25">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2.5" x14ac:dyDescent="0.25">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33.75" x14ac:dyDescent="0.25">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33.75" x14ac:dyDescent="0.25">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2.5" x14ac:dyDescent="0.25">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33.75" x14ac:dyDescent="0.25">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33.75" x14ac:dyDescent="0.25">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2.5" x14ac:dyDescent="0.25">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33.75" x14ac:dyDescent="0.25">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2.5" x14ac:dyDescent="0.25">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2.5" x14ac:dyDescent="0.25">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2.5" x14ac:dyDescent="0.25">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33.75" x14ac:dyDescent="0.25">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2.5" x14ac:dyDescent="0.25">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2.5" x14ac:dyDescent="0.25">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2.5" x14ac:dyDescent="0.25">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2.5" x14ac:dyDescent="0.25">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2.5" x14ac:dyDescent="0.25">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33.75" x14ac:dyDescent="0.25">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2.5" x14ac:dyDescent="0.25">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2.5" x14ac:dyDescent="0.25">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2.5" x14ac:dyDescent="0.25">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2.5" x14ac:dyDescent="0.25">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2.5" x14ac:dyDescent="0.25">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2.5" x14ac:dyDescent="0.25">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2.5" x14ac:dyDescent="0.25">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2.5" x14ac:dyDescent="0.25">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2.5" x14ac:dyDescent="0.25">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2.5" x14ac:dyDescent="0.25">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2.5" x14ac:dyDescent="0.25">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33.75" x14ac:dyDescent="0.25">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2.5" x14ac:dyDescent="0.25">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2.5" x14ac:dyDescent="0.25">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2.5" x14ac:dyDescent="0.25">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2.5" x14ac:dyDescent="0.25">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2.5" x14ac:dyDescent="0.25">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2.5" x14ac:dyDescent="0.25">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2.5" x14ac:dyDescent="0.25">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2.5" x14ac:dyDescent="0.25">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2.5" x14ac:dyDescent="0.25">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2.5" x14ac:dyDescent="0.25">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2.5" x14ac:dyDescent="0.25">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2.5" x14ac:dyDescent="0.25">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2.5" x14ac:dyDescent="0.25">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2.5" x14ac:dyDescent="0.25">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2.5" x14ac:dyDescent="0.25">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2.5" x14ac:dyDescent="0.25">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2.5" x14ac:dyDescent="0.25">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2.5" x14ac:dyDescent="0.25">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2.5" x14ac:dyDescent="0.25">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2.5" x14ac:dyDescent="0.25">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2.5" x14ac:dyDescent="0.25">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33.75" x14ac:dyDescent="0.25">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2.5" x14ac:dyDescent="0.25">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33.75" x14ac:dyDescent="0.25">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2.5" x14ac:dyDescent="0.25">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33.75" x14ac:dyDescent="0.25">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2.5" x14ac:dyDescent="0.25">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2.5" x14ac:dyDescent="0.25">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2.5" x14ac:dyDescent="0.25">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2.5" x14ac:dyDescent="0.25">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2.5" x14ac:dyDescent="0.25">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2.5" x14ac:dyDescent="0.25">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2.5" x14ac:dyDescent="0.25">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2.5" x14ac:dyDescent="0.25">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2.5" x14ac:dyDescent="0.25">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2.5" x14ac:dyDescent="0.25">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2.5" x14ac:dyDescent="0.25">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2.5" x14ac:dyDescent="0.25">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2.5" x14ac:dyDescent="0.25">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2.5" x14ac:dyDescent="0.25">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2.5" x14ac:dyDescent="0.25">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2.5" x14ac:dyDescent="0.25">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2.5" x14ac:dyDescent="0.25">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2.5" x14ac:dyDescent="0.25">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2.5" x14ac:dyDescent="0.25">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2.5" x14ac:dyDescent="0.25">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2.5" x14ac:dyDescent="0.25">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2.5" x14ac:dyDescent="0.25">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2.5" x14ac:dyDescent="0.25">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2.5" x14ac:dyDescent="0.25">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2.5" x14ac:dyDescent="0.25">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2.5" x14ac:dyDescent="0.25">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2.5" x14ac:dyDescent="0.25">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2.5" x14ac:dyDescent="0.25">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25">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25">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2.5" x14ac:dyDescent="0.25">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25">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25">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25">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2.5" x14ac:dyDescent="0.25">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2.5" x14ac:dyDescent="0.25">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25">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2.5" x14ac:dyDescent="0.25">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25">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25">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2.5" x14ac:dyDescent="0.25">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25">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25">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25">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25">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25">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25">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25">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25">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25">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25">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25">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25">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25">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2.5" x14ac:dyDescent="0.25">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2.5" x14ac:dyDescent="0.25">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2.5" x14ac:dyDescent="0.25">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2.5" x14ac:dyDescent="0.25">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2.5" x14ac:dyDescent="0.25">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2.5" x14ac:dyDescent="0.25">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2.5" x14ac:dyDescent="0.25">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2.5" x14ac:dyDescent="0.25">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2.5" x14ac:dyDescent="0.25">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2.5" x14ac:dyDescent="0.25">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2.5" x14ac:dyDescent="0.25">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2.5" x14ac:dyDescent="0.25">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2.5" x14ac:dyDescent="0.25">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2.5" x14ac:dyDescent="0.25">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2.5" x14ac:dyDescent="0.25">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2.5" x14ac:dyDescent="0.25">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2.5" x14ac:dyDescent="0.25">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2.5" x14ac:dyDescent="0.25">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2.5" x14ac:dyDescent="0.25">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2.5" x14ac:dyDescent="0.25">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2.5" x14ac:dyDescent="0.25">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2.5" x14ac:dyDescent="0.25">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2.5" x14ac:dyDescent="0.25">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2.5" x14ac:dyDescent="0.25">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2.5" x14ac:dyDescent="0.25">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2.5" x14ac:dyDescent="0.25">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2.5" x14ac:dyDescent="0.25">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2.5" x14ac:dyDescent="0.25">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2.5" x14ac:dyDescent="0.25">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2.5" x14ac:dyDescent="0.25">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2.5" x14ac:dyDescent="0.25">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2.5" x14ac:dyDescent="0.25">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2.5" x14ac:dyDescent="0.25">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2.5" x14ac:dyDescent="0.25">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2.5" x14ac:dyDescent="0.25">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2.5" x14ac:dyDescent="0.25">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2.5" x14ac:dyDescent="0.25">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2.5" x14ac:dyDescent="0.25">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2.5" x14ac:dyDescent="0.25">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2.5" x14ac:dyDescent="0.25">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2.5" x14ac:dyDescent="0.25">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2.5" x14ac:dyDescent="0.25">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2.5" x14ac:dyDescent="0.25">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2.5" x14ac:dyDescent="0.25">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2.5" x14ac:dyDescent="0.25">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2.5" x14ac:dyDescent="0.25">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2.5" x14ac:dyDescent="0.25">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25">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2.5" x14ac:dyDescent="0.25">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25">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25">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2.5" x14ac:dyDescent="0.25">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2.5" x14ac:dyDescent="0.25">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25">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25">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25">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25">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2.5" x14ac:dyDescent="0.25">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2.5" x14ac:dyDescent="0.25">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25">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2.5" x14ac:dyDescent="0.25">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2.5" x14ac:dyDescent="0.25">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25">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25">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25">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25">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2.5" x14ac:dyDescent="0.25">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25">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25">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25">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2.5" x14ac:dyDescent="0.25">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25">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25">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25">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25">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25">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25">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25">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25">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2.5" x14ac:dyDescent="0.25">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25">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25">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2.5" x14ac:dyDescent="0.25">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2.5" x14ac:dyDescent="0.25">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2.5" x14ac:dyDescent="0.25">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2.5" x14ac:dyDescent="0.25">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25">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25">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25">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25">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25">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2.5" x14ac:dyDescent="0.25">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2.5" x14ac:dyDescent="0.25">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2.5" x14ac:dyDescent="0.25">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2.5" x14ac:dyDescent="0.25">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2.5" x14ac:dyDescent="0.25">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2.5" x14ac:dyDescent="0.25">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2.5" x14ac:dyDescent="0.25">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2.5" x14ac:dyDescent="0.25">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2.5" x14ac:dyDescent="0.25">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25">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2.5" x14ac:dyDescent="0.25">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2.5" x14ac:dyDescent="0.25">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2.5" x14ac:dyDescent="0.25">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2.5" x14ac:dyDescent="0.25">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2.5" x14ac:dyDescent="0.25">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2.5" x14ac:dyDescent="0.25">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2.5" x14ac:dyDescent="0.25">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2.5" x14ac:dyDescent="0.25">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2.5" x14ac:dyDescent="0.25">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2.5" x14ac:dyDescent="0.25">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2.5" x14ac:dyDescent="0.25">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2.5" x14ac:dyDescent="0.25">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2.5" x14ac:dyDescent="0.25">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2.5" x14ac:dyDescent="0.25">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2.5" x14ac:dyDescent="0.25">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2.5" x14ac:dyDescent="0.25">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2.5" x14ac:dyDescent="0.25">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2.5" x14ac:dyDescent="0.25">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2.5" x14ac:dyDescent="0.25">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2.5" x14ac:dyDescent="0.25">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2.5" x14ac:dyDescent="0.25">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2.5" x14ac:dyDescent="0.25">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2.5" x14ac:dyDescent="0.25">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2.5" x14ac:dyDescent="0.25">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2.5" x14ac:dyDescent="0.25">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2.5" x14ac:dyDescent="0.25">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2.5" x14ac:dyDescent="0.25">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2.5" x14ac:dyDescent="0.25">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2.5" x14ac:dyDescent="0.25">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2.5" x14ac:dyDescent="0.25">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2.5" x14ac:dyDescent="0.25">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2.5" x14ac:dyDescent="0.25">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2.5" x14ac:dyDescent="0.25">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2.5" x14ac:dyDescent="0.25">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2.5" x14ac:dyDescent="0.25">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2.5" x14ac:dyDescent="0.25">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2.5" x14ac:dyDescent="0.25">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25">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2.5" x14ac:dyDescent="0.25">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2.5" x14ac:dyDescent="0.25">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2.5" x14ac:dyDescent="0.25">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2.5" x14ac:dyDescent="0.25">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25">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25">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25">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2.5" x14ac:dyDescent="0.25">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25">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2.5" x14ac:dyDescent="0.25">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25">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2.5" x14ac:dyDescent="0.25">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2.5" x14ac:dyDescent="0.25">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25">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25">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2.5" x14ac:dyDescent="0.25">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2.5" x14ac:dyDescent="0.25">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2.5" x14ac:dyDescent="0.25">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2.5" x14ac:dyDescent="0.25">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2.5" x14ac:dyDescent="0.25">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25">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25">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2.5" x14ac:dyDescent="0.25">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2.5" x14ac:dyDescent="0.25">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2.5" x14ac:dyDescent="0.25">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2.5" x14ac:dyDescent="0.25">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2.5" x14ac:dyDescent="0.25">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2.5" x14ac:dyDescent="0.25">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2.5" x14ac:dyDescent="0.25">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2.5" x14ac:dyDescent="0.25">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2.5" x14ac:dyDescent="0.25">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2.5" x14ac:dyDescent="0.25">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2.5" x14ac:dyDescent="0.25">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2.5" x14ac:dyDescent="0.25">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2.5" x14ac:dyDescent="0.25">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2.5" x14ac:dyDescent="0.25">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2.5" x14ac:dyDescent="0.25">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2.5" x14ac:dyDescent="0.25">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2.5" x14ac:dyDescent="0.25">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2.5" x14ac:dyDescent="0.25">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2.5" x14ac:dyDescent="0.25">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2.5" x14ac:dyDescent="0.25">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2.5" x14ac:dyDescent="0.25">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2.5" x14ac:dyDescent="0.25">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2.5" x14ac:dyDescent="0.25">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2.5" x14ac:dyDescent="0.25">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2.5" x14ac:dyDescent="0.25">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2.5" x14ac:dyDescent="0.25">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2.5" x14ac:dyDescent="0.25">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2.5" x14ac:dyDescent="0.25">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2.5" x14ac:dyDescent="0.25">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2.5" x14ac:dyDescent="0.25">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2.5" x14ac:dyDescent="0.25">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2.5" x14ac:dyDescent="0.25">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2.5" x14ac:dyDescent="0.25">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2.5" x14ac:dyDescent="0.25">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2.5" x14ac:dyDescent="0.25">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2.5" x14ac:dyDescent="0.25">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2.5" x14ac:dyDescent="0.25">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2.5" x14ac:dyDescent="0.25">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2.5" x14ac:dyDescent="0.25">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2.5" x14ac:dyDescent="0.25">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2.5" x14ac:dyDescent="0.25">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2.5" x14ac:dyDescent="0.25">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2.5" x14ac:dyDescent="0.25">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2.5" x14ac:dyDescent="0.25">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2.5" x14ac:dyDescent="0.25">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2.5" x14ac:dyDescent="0.25">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2.5" x14ac:dyDescent="0.25">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2.5" x14ac:dyDescent="0.25">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2.5" x14ac:dyDescent="0.25">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2.5" x14ac:dyDescent="0.25">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2.5" x14ac:dyDescent="0.25">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2.5" x14ac:dyDescent="0.25">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2.5" x14ac:dyDescent="0.25">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2.5" x14ac:dyDescent="0.25">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2.5" x14ac:dyDescent="0.25">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2.5" x14ac:dyDescent="0.25">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2.5" x14ac:dyDescent="0.25">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2.5" x14ac:dyDescent="0.25">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2.5" x14ac:dyDescent="0.25">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2.5" x14ac:dyDescent="0.25">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2.5" x14ac:dyDescent="0.25">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2.5" x14ac:dyDescent="0.25">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2.5" x14ac:dyDescent="0.25">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2.5" x14ac:dyDescent="0.25">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2.5" x14ac:dyDescent="0.25">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2.5" x14ac:dyDescent="0.25">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2.5" x14ac:dyDescent="0.25">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2.5" x14ac:dyDescent="0.25">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2.5" x14ac:dyDescent="0.25">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2.5" x14ac:dyDescent="0.25">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2.5" x14ac:dyDescent="0.25">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2.5" x14ac:dyDescent="0.25">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2.5" x14ac:dyDescent="0.25">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2.5" x14ac:dyDescent="0.25">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2.5" x14ac:dyDescent="0.25">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2.5" x14ac:dyDescent="0.25">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2.5" x14ac:dyDescent="0.25">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2.5" x14ac:dyDescent="0.25">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2.5" x14ac:dyDescent="0.25">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2.5" x14ac:dyDescent="0.25">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2.5" x14ac:dyDescent="0.25">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25">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25">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25">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25">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25">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25">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25">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25">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25">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25">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25">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25">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25">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25">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25">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25">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25">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25">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25">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25">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25">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25">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25">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25">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2.5" x14ac:dyDescent="0.25">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25">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25">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25">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25">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25">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2.5" x14ac:dyDescent="0.25">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2.5" x14ac:dyDescent="0.25">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2.5" x14ac:dyDescent="0.25">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2.5" x14ac:dyDescent="0.25">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2.5" x14ac:dyDescent="0.25">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2.5" x14ac:dyDescent="0.25">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2.5" x14ac:dyDescent="0.25">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2.5" x14ac:dyDescent="0.25">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2.5" x14ac:dyDescent="0.25">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2.5" x14ac:dyDescent="0.25">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2.5" x14ac:dyDescent="0.25">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2.5" x14ac:dyDescent="0.25">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3.75" x14ac:dyDescent="0.25">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3.75" x14ac:dyDescent="0.25">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3.75" x14ac:dyDescent="0.25">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3.75" x14ac:dyDescent="0.25">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3.75" x14ac:dyDescent="0.25">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3.75" x14ac:dyDescent="0.25">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3.75" x14ac:dyDescent="0.25">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3.75" x14ac:dyDescent="0.25">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3.75" x14ac:dyDescent="0.25">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3.75" x14ac:dyDescent="0.25">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3.75" x14ac:dyDescent="0.25">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3.75" x14ac:dyDescent="0.25">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3.75" x14ac:dyDescent="0.25">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3.75" x14ac:dyDescent="0.25">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3.75" x14ac:dyDescent="0.25">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3.75" x14ac:dyDescent="0.25">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3.75" x14ac:dyDescent="0.25">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3.75" x14ac:dyDescent="0.25">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3.75" x14ac:dyDescent="0.25">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3.75" x14ac:dyDescent="0.25">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3.75" x14ac:dyDescent="0.25">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3.75" x14ac:dyDescent="0.25">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3.75" x14ac:dyDescent="0.25">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3.75" x14ac:dyDescent="0.25">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3.75" x14ac:dyDescent="0.25">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3.75" x14ac:dyDescent="0.25">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3.75" x14ac:dyDescent="0.25">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3.75" x14ac:dyDescent="0.25">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3.75" x14ac:dyDescent="0.25">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3.75" x14ac:dyDescent="0.25">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3.75" x14ac:dyDescent="0.25">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3.75" x14ac:dyDescent="0.25">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3.75" x14ac:dyDescent="0.25">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3.75" x14ac:dyDescent="0.25">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3.75" x14ac:dyDescent="0.25">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3.75" x14ac:dyDescent="0.25">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3.75" x14ac:dyDescent="0.25">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3.75" x14ac:dyDescent="0.25">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3.75" x14ac:dyDescent="0.25">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3.75" x14ac:dyDescent="0.25">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3.75" x14ac:dyDescent="0.25">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3.75" x14ac:dyDescent="0.25">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3.75" x14ac:dyDescent="0.25">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3.75" x14ac:dyDescent="0.25">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3.75" x14ac:dyDescent="0.25">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3.75" x14ac:dyDescent="0.25">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3.75" x14ac:dyDescent="0.25">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3.75" x14ac:dyDescent="0.25">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3.75" x14ac:dyDescent="0.25">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3.75" x14ac:dyDescent="0.25">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3.75" x14ac:dyDescent="0.25">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3.75" x14ac:dyDescent="0.25">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3.75" x14ac:dyDescent="0.25">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3.75" x14ac:dyDescent="0.25">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3.75" x14ac:dyDescent="0.25">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3.75" x14ac:dyDescent="0.25">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3.75" x14ac:dyDescent="0.25">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3.75" x14ac:dyDescent="0.25">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3.75" x14ac:dyDescent="0.25">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3.75" x14ac:dyDescent="0.25">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3.75" x14ac:dyDescent="0.25">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3.75" x14ac:dyDescent="0.25">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3.75" x14ac:dyDescent="0.25">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3.75" x14ac:dyDescent="0.25">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3.75" x14ac:dyDescent="0.25">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3.75" x14ac:dyDescent="0.25">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3.75" x14ac:dyDescent="0.25">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3.75" x14ac:dyDescent="0.25">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3.75" x14ac:dyDescent="0.25">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3.75" x14ac:dyDescent="0.25">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33.75" x14ac:dyDescent="0.25">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3.75" x14ac:dyDescent="0.25">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3.75" x14ac:dyDescent="0.25">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33.75" x14ac:dyDescent="0.25">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3.75" x14ac:dyDescent="0.25">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33.75" x14ac:dyDescent="0.25">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3.75" x14ac:dyDescent="0.25">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3.75" x14ac:dyDescent="0.25">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33.75" x14ac:dyDescent="0.25">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3.75" x14ac:dyDescent="0.25">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3.75" x14ac:dyDescent="0.25">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3.75" x14ac:dyDescent="0.25">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3.75" x14ac:dyDescent="0.25">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33.75" x14ac:dyDescent="0.25">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3.75" x14ac:dyDescent="0.25">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3.75" x14ac:dyDescent="0.25">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3.75" x14ac:dyDescent="0.25">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3.75" x14ac:dyDescent="0.25">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3.75" x14ac:dyDescent="0.25">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3.75" x14ac:dyDescent="0.25">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3.75" x14ac:dyDescent="0.25">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3.75" x14ac:dyDescent="0.25">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3.75" x14ac:dyDescent="0.25">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3.75" x14ac:dyDescent="0.25">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3.75" x14ac:dyDescent="0.25">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3.75" x14ac:dyDescent="0.25">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3.75" x14ac:dyDescent="0.25">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3.75" x14ac:dyDescent="0.25">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3.75" x14ac:dyDescent="0.25">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3.75" x14ac:dyDescent="0.25">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33.75" x14ac:dyDescent="0.25">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3.75" x14ac:dyDescent="0.25">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3.75" x14ac:dyDescent="0.25">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3.75" x14ac:dyDescent="0.25">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33.75" x14ac:dyDescent="0.25">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3.75" x14ac:dyDescent="0.25">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33.75" x14ac:dyDescent="0.25">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3.75" x14ac:dyDescent="0.25">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3.75" x14ac:dyDescent="0.25">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3.75" x14ac:dyDescent="0.25">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3.75" x14ac:dyDescent="0.25">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3.75" x14ac:dyDescent="0.25">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3.75" x14ac:dyDescent="0.25">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3.75" x14ac:dyDescent="0.25">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3.75" x14ac:dyDescent="0.25">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3.75" x14ac:dyDescent="0.25">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3.75" x14ac:dyDescent="0.25">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33.75" x14ac:dyDescent="0.25">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33.75" x14ac:dyDescent="0.25">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33.75" x14ac:dyDescent="0.25">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3.75" x14ac:dyDescent="0.25">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3.75" x14ac:dyDescent="0.25">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3.75" x14ac:dyDescent="0.25">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2.5" x14ac:dyDescent="0.25">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2.5" x14ac:dyDescent="0.25">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2.5" x14ac:dyDescent="0.25">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2.5" x14ac:dyDescent="0.25">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2.5" x14ac:dyDescent="0.25">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2.5" x14ac:dyDescent="0.25">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2.5" x14ac:dyDescent="0.25">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2.5" x14ac:dyDescent="0.25">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25">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25">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25">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25">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25">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25">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2.5" x14ac:dyDescent="0.25">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2.5" x14ac:dyDescent="0.25">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2.5" x14ac:dyDescent="0.25">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2.5" x14ac:dyDescent="0.25">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2.5" x14ac:dyDescent="0.25">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2.5" x14ac:dyDescent="0.25">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2.5" x14ac:dyDescent="0.25">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2.5" x14ac:dyDescent="0.25">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2.5" x14ac:dyDescent="0.25">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2.5" x14ac:dyDescent="0.25">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2.5" x14ac:dyDescent="0.25">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2.5" x14ac:dyDescent="0.25">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2.5" x14ac:dyDescent="0.25">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2.5" x14ac:dyDescent="0.25">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2.5" x14ac:dyDescent="0.25">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2.5" x14ac:dyDescent="0.25">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2.5" x14ac:dyDescent="0.25">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2.5" x14ac:dyDescent="0.25">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2.5" x14ac:dyDescent="0.25">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2.5" x14ac:dyDescent="0.25">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2.5" x14ac:dyDescent="0.25">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2.5" x14ac:dyDescent="0.25">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2.5" x14ac:dyDescent="0.25">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2.5" x14ac:dyDescent="0.25">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2.5" x14ac:dyDescent="0.25">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2.5" x14ac:dyDescent="0.25">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2.5" x14ac:dyDescent="0.25">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ht="22.5" x14ac:dyDescent="0.25">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ht="22.5" x14ac:dyDescent="0.25">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ht="22.5" x14ac:dyDescent="0.25">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ht="22.5" x14ac:dyDescent="0.25">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ht="22.5" x14ac:dyDescent="0.25">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ht="22.5" x14ac:dyDescent="0.25">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ht="22.5" x14ac:dyDescent="0.25">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25">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ht="22.5" x14ac:dyDescent="0.25">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25">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25">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25">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25">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ht="22.5" x14ac:dyDescent="0.25">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ht="22.5" x14ac:dyDescent="0.25">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ht="22.5" x14ac:dyDescent="0.25">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ht="22.5" x14ac:dyDescent="0.25">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ht="22.5" x14ac:dyDescent="0.25">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25">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25">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25">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2.5" x14ac:dyDescent="0.25">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2.5" x14ac:dyDescent="0.25">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2.5" x14ac:dyDescent="0.25">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25">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25">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ht="22.5" x14ac:dyDescent="0.25">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ht="22.5" x14ac:dyDescent="0.25">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ht="22.5" x14ac:dyDescent="0.25">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25">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25">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25">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25">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25">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25">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25">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ht="21" x14ac:dyDescent="0.25">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ht="21" x14ac:dyDescent="0.25">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1" x14ac:dyDescent="0.25">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31.5" x14ac:dyDescent="0.25">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1" x14ac:dyDescent="0.25">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31.5" x14ac:dyDescent="0.25">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31.5" x14ac:dyDescent="0.25">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31.5" x14ac:dyDescent="0.25">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1" x14ac:dyDescent="0.25">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1" x14ac:dyDescent="0.25">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1" x14ac:dyDescent="0.25">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52.5" x14ac:dyDescent="0.25">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2" x14ac:dyDescent="0.25">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2" x14ac:dyDescent="0.25">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63" x14ac:dyDescent="0.25">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5546875" defaultRowHeight="19.5" customHeight="1" x14ac:dyDescent="0.25"/>
  <cols>
    <col min="1" max="1" width="3.85546875" style="21" customWidth="1"/>
    <col min="2" max="2" width="57.85546875" style="19" customWidth="1"/>
    <col min="3" max="3" width="2.5703125" style="19" customWidth="1"/>
    <col min="4" max="4" width="134.42578125" style="20" customWidth="1"/>
    <col min="5" max="5" width="2.5703125" style="21" customWidth="1"/>
    <col min="6" max="6" width="22.42578125" style="21" customWidth="1"/>
    <col min="7" max="7" width="2.5703125" style="21" customWidth="1"/>
    <col min="8" max="8" width="54" style="21" customWidth="1"/>
    <col min="9" max="9" width="2.5703125" style="21" customWidth="1"/>
    <col min="10" max="10" width="59.42578125" style="21" customWidth="1"/>
    <col min="11" max="11" width="4.5703125" style="21" customWidth="1"/>
    <col min="12" max="12" width="50.85546875" style="21" customWidth="1"/>
    <col min="13" max="13" width="5.5703125" style="21" customWidth="1"/>
    <col min="14" max="14" width="51.5703125" style="21" customWidth="1"/>
    <col min="15" max="15" width="5.5703125" style="21" customWidth="1"/>
    <col min="16" max="16" width="51.42578125" style="21" customWidth="1"/>
    <col min="17" max="16384" width="8.85546875" style="21"/>
  </cols>
  <sheetData>
    <row r="1" spans="2:10" ht="37.5" customHeight="1" x14ac:dyDescent="0.25">
      <c r="B1" s="18" t="s">
        <v>10597</v>
      </c>
    </row>
    <row r="2" spans="2:10" s="22" customFormat="1" ht="31.5" customHeight="1" x14ac:dyDescent="0.25">
      <c r="B2" s="22">
        <v>1</v>
      </c>
      <c r="D2" s="22">
        <v>2</v>
      </c>
      <c r="F2" s="22">
        <v>3</v>
      </c>
    </row>
    <row r="3" spans="2:10" s="13" customFormat="1" ht="28.5" customHeight="1" x14ac:dyDescent="0.25">
      <c r="B3" s="23" t="s">
        <v>10598</v>
      </c>
      <c r="C3" s="23"/>
      <c r="D3" s="23" t="s">
        <v>10599</v>
      </c>
      <c r="E3" s="23"/>
      <c r="F3" s="23" t="s">
        <v>10600</v>
      </c>
      <c r="G3" s="23"/>
      <c r="H3" s="23"/>
    </row>
    <row r="4" spans="2:10" ht="19.5" customHeight="1" x14ac:dyDescent="0.25">
      <c r="B4" s="53" t="s">
        <v>10601</v>
      </c>
      <c r="F4" s="24" t="s">
        <v>10602</v>
      </c>
      <c r="G4" s="24" t="s">
        <v>10603</v>
      </c>
      <c r="H4" s="20" t="s">
        <v>10604</v>
      </c>
    </row>
    <row r="5" spans="2:10" ht="19.5" customHeight="1" x14ac:dyDescent="0.25">
      <c r="B5" s="53"/>
      <c r="F5" s="25" t="s">
        <v>10605</v>
      </c>
      <c r="G5" s="25"/>
      <c r="H5" s="26" t="s">
        <v>10606</v>
      </c>
    </row>
    <row r="6" spans="2:10" ht="19.5" customHeight="1" x14ac:dyDescent="0.25">
      <c r="F6" s="25" t="s">
        <v>10607</v>
      </c>
      <c r="G6" s="25"/>
      <c r="H6" s="26" t="s">
        <v>6828</v>
      </c>
    </row>
    <row r="7" spans="2:10" ht="19.5" customHeight="1" x14ac:dyDescent="0.25">
      <c r="F7" s="25" t="s">
        <v>10608</v>
      </c>
      <c r="G7" s="25"/>
      <c r="H7" s="26" t="s">
        <v>10609</v>
      </c>
    </row>
    <row r="8" spans="2:10" ht="19.5" customHeight="1" x14ac:dyDescent="0.25">
      <c r="F8" s="25" t="s">
        <v>10610</v>
      </c>
      <c r="G8" s="25"/>
      <c r="H8" s="26">
        <v>5432</v>
      </c>
    </row>
    <row r="9" spans="2:10" ht="19.5" customHeight="1" x14ac:dyDescent="0.25">
      <c r="F9" s="25" t="s">
        <v>10611</v>
      </c>
      <c r="G9" s="25"/>
      <c r="H9" s="26" t="s">
        <v>10612</v>
      </c>
    </row>
    <row r="10" spans="2:10" ht="19.5" customHeight="1" x14ac:dyDescent="0.25">
      <c r="F10" s="25" t="s">
        <v>10613</v>
      </c>
      <c r="G10" s="25"/>
      <c r="H10" s="26" t="s">
        <v>10614</v>
      </c>
      <c r="J10" s="13"/>
    </row>
    <row r="11" spans="2:10" ht="20.25" customHeight="1" x14ac:dyDescent="0.25">
      <c r="J11" s="13"/>
    </row>
    <row r="12" spans="2:10" ht="20.25" customHeight="1" x14ac:dyDescent="0.25"/>
    <row r="13" spans="2:10" ht="20.25" customHeight="1" x14ac:dyDescent="0.25"/>
    <row r="14" spans="2:10" ht="20.25" customHeight="1" x14ac:dyDescent="0.25"/>
    <row r="15" spans="2:10" ht="20.25" customHeight="1" x14ac:dyDescent="0.25"/>
    <row r="16" spans="2:10" ht="20.25" customHeight="1" x14ac:dyDescent="0.25"/>
    <row r="17" spans="2:8" ht="20.25" customHeight="1" x14ac:dyDescent="0.25"/>
    <row r="18" spans="2:8" ht="20.25" customHeight="1" x14ac:dyDescent="0.25"/>
    <row r="19" spans="2:8" ht="20.25" customHeight="1" x14ac:dyDescent="0.25"/>
    <row r="20" spans="2:8" ht="20.25" customHeight="1" x14ac:dyDescent="0.25"/>
    <row r="21" spans="2:8" ht="20.25" customHeight="1" x14ac:dyDescent="0.25"/>
    <row r="22" spans="2:8" ht="20.25" customHeight="1" x14ac:dyDescent="0.25"/>
    <row r="23" spans="2:8" ht="20.25" customHeight="1" x14ac:dyDescent="0.25"/>
    <row r="24" spans="2:8" ht="20.25" customHeight="1" x14ac:dyDescent="0.25"/>
    <row r="25" spans="2:8" ht="20.25" customHeight="1" x14ac:dyDescent="0.25"/>
    <row r="26" spans="2:8" ht="20.25" customHeight="1" x14ac:dyDescent="0.25"/>
    <row r="27" spans="2:8" ht="27.75" customHeight="1" x14ac:dyDescent="0.25">
      <c r="B27" s="18" t="s">
        <v>10615</v>
      </c>
      <c r="C27" s="21"/>
      <c r="D27" s="21"/>
    </row>
    <row r="28" spans="2:8" ht="33" customHeight="1" x14ac:dyDescent="0.25">
      <c r="B28" s="22">
        <v>4</v>
      </c>
      <c r="C28" s="22"/>
      <c r="D28" s="22"/>
      <c r="E28" s="22"/>
      <c r="F28" s="22"/>
      <c r="G28" s="22"/>
      <c r="H28" s="22"/>
    </row>
    <row r="29" spans="2:8" ht="33.75" x14ac:dyDescent="0.25">
      <c r="B29" s="13" t="s">
        <v>10616</v>
      </c>
      <c r="C29" s="13"/>
      <c r="D29" s="13"/>
      <c r="E29" s="13"/>
      <c r="F29" s="13"/>
      <c r="G29" s="13"/>
      <c r="H29" s="13"/>
    </row>
    <row r="30" spans="2:8" ht="19.5" customHeight="1" x14ac:dyDescent="0.25">
      <c r="B30" s="13"/>
      <c r="C30" s="21"/>
      <c r="D30" s="13"/>
      <c r="F30" s="13"/>
      <c r="H30" s="13"/>
    </row>
    <row r="31" spans="2:8" ht="19.5" customHeight="1" x14ac:dyDescent="0.25">
      <c r="B31" s="13"/>
      <c r="C31" s="21"/>
      <c r="D31" s="13"/>
      <c r="F31" s="13"/>
      <c r="H31" s="13"/>
    </row>
    <row r="32" spans="2:8" ht="19.5" customHeight="1" x14ac:dyDescent="0.25">
      <c r="B32" s="13"/>
      <c r="C32" s="21"/>
      <c r="D32" s="13"/>
      <c r="F32" s="13"/>
      <c r="H32" s="13"/>
    </row>
    <row r="33" spans="2:8" ht="19.5" customHeight="1" x14ac:dyDescent="0.25">
      <c r="B33" s="13"/>
      <c r="C33" s="21"/>
      <c r="D33" s="13"/>
      <c r="F33" s="13"/>
      <c r="H33" s="13"/>
    </row>
    <row r="34" spans="2:8" ht="19.5" customHeight="1" x14ac:dyDescent="0.25">
      <c r="B34" s="13"/>
      <c r="C34" s="21"/>
      <c r="D34" s="13"/>
      <c r="F34" s="13"/>
      <c r="H34" s="13"/>
    </row>
    <row r="35" spans="2:8" ht="19.5" customHeight="1" x14ac:dyDescent="0.25">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Yasemin Agi</cp:lastModifiedBy>
  <cp:revision/>
  <dcterms:created xsi:type="dcterms:W3CDTF">2022-11-07T18:03:41Z</dcterms:created>
  <dcterms:modified xsi:type="dcterms:W3CDTF">2026-06-26T16:42:04Z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