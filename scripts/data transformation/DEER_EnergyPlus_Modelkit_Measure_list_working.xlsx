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D-EPP\scripts\data transformation\"/>
    </mc:Choice>
  </mc:AlternateContent>
  <xr:revisionPtr revIDLastSave="0" documentId="13_ncr:1_{677E8281-76BF-4793-9E4C-DB968513C1E0}" xr6:coauthVersionLast="47" xr6:coauthVersionMax="47" xr10:uidLastSave="{00000000-0000-0000-0000-000000000000}"/>
  <bookViews>
    <workbookView xWindow="-108" yWindow="-108" windowWidth="23256" windowHeight="12456" firstSheet="1"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Measure_list!$A$5:$AG$843</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3" i="1" l="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s="1"/>
  <c r="J786" i="1"/>
  <c r="H786" i="1"/>
  <c r="D786" i="1"/>
  <c r="E786" i="1" s="1"/>
  <c r="U785" i="1"/>
  <c r="T785" i="1"/>
  <c r="N785" i="1" s="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N709" i="1" l="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U702" i="1"/>
  <c r="T702" i="1"/>
  <c r="U701" i="1"/>
  <c r="T701" i="1"/>
  <c r="S701" i="1" s="1"/>
  <c r="N701" i="1" s="1"/>
  <c r="U700" i="1"/>
  <c r="T700" i="1"/>
  <c r="U699" i="1"/>
  <c r="T699" i="1"/>
  <c r="U698" i="1"/>
  <c r="T698" i="1"/>
  <c r="S698" i="1" s="1"/>
  <c r="N698" i="1" s="1"/>
  <c r="U697" i="1"/>
  <c r="T697" i="1"/>
  <c r="U696" i="1"/>
  <c r="T696" i="1"/>
  <c r="G707" i="1"/>
  <c r="G706" i="1"/>
  <c r="G705" i="1"/>
  <c r="G704" i="1"/>
  <c r="G703" i="1"/>
  <c r="G702" i="1"/>
  <c r="G701" i="1"/>
  <c r="G700" i="1"/>
  <c r="G699" i="1"/>
  <c r="G698" i="1"/>
  <c r="G697" i="1"/>
  <c r="G696" i="1"/>
  <c r="S703" i="1" l="1"/>
  <c r="N703" i="1" s="1"/>
  <c r="S704" i="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c r="D687" i="1"/>
  <c r="E687" i="1" s="1"/>
  <c r="D688" i="1"/>
  <c r="E688" i="1" s="1"/>
  <c r="D689" i="1"/>
  <c r="E689" i="1" s="1"/>
  <c r="D690" i="1"/>
  <c r="E690" i="1"/>
  <c r="D691" i="1"/>
  <c r="E691" i="1" s="1"/>
  <c r="D692" i="1"/>
  <c r="E692" i="1" s="1"/>
  <c r="D693" i="1"/>
  <c r="E693" i="1" s="1"/>
  <c r="D694" i="1"/>
  <c r="E694" i="1" s="1"/>
  <c r="D695" i="1"/>
  <c r="E695" i="1" s="1"/>
  <c r="D676" i="1"/>
  <c r="E676" i="1" s="1"/>
  <c r="U695" i="1"/>
  <c r="T695" i="1"/>
  <c r="S695" i="1" s="1"/>
  <c r="N695" i="1" s="1"/>
  <c r="U694" i="1"/>
  <c r="T694" i="1"/>
  <c r="U693" i="1"/>
  <c r="T693" i="1"/>
  <c r="U692" i="1"/>
  <c r="T692" i="1"/>
  <c r="U691" i="1"/>
  <c r="T691" i="1"/>
  <c r="U690" i="1"/>
  <c r="T690" i="1"/>
  <c r="U689" i="1"/>
  <c r="T689" i="1"/>
  <c r="U688" i="1"/>
  <c r="T688" i="1"/>
  <c r="U687" i="1"/>
  <c r="T687" i="1"/>
  <c r="S687" i="1" s="1"/>
  <c r="N687" i="1" s="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3" i="1" l="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S383" i="1" s="1"/>
  <c r="N383" i="1" s="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S400" i="1" s="1"/>
  <c r="N400" i="1" s="1"/>
  <c r="T401" i="1"/>
  <c r="S401" i="1" s="1"/>
  <c r="N401" i="1" s="1"/>
  <c r="T402" i="1"/>
  <c r="S402" i="1" s="1"/>
  <c r="N402" i="1" s="1"/>
  <c r="T403" i="1"/>
  <c r="S403" i="1" s="1"/>
  <c r="N403" i="1" s="1"/>
  <c r="T404" i="1"/>
  <c r="S404" i="1" s="1"/>
  <c r="N404" i="1" s="1"/>
  <c r="T405" i="1"/>
  <c r="S405" i="1" s="1"/>
  <c r="N405" i="1" s="1"/>
  <c r="T406" i="1"/>
  <c r="T407" i="1"/>
  <c r="S407" i="1" s="1"/>
  <c r="N407" i="1" s="1"/>
  <c r="T408" i="1"/>
  <c r="S408" i="1" s="1"/>
  <c r="N408" i="1" s="1"/>
  <c r="T409" i="1"/>
  <c r="T410" i="1"/>
  <c r="T411" i="1"/>
  <c r="T412" i="1"/>
  <c r="T413" i="1"/>
  <c r="T414" i="1"/>
  <c r="T415" i="1"/>
  <c r="T416" i="1"/>
  <c r="T417" i="1"/>
  <c r="T418" i="1"/>
  <c r="S418" i="1" s="1"/>
  <c r="N418" i="1" s="1"/>
  <c r="T419" i="1"/>
  <c r="S419" i="1" s="1"/>
  <c r="N419" i="1" s="1"/>
  <c r="T420" i="1"/>
  <c r="S420" i="1" s="1"/>
  <c r="N420" i="1" s="1"/>
  <c r="T421" i="1"/>
  <c r="S421" i="1" s="1"/>
  <c r="N421" i="1" s="1"/>
  <c r="T422" i="1"/>
  <c r="S422" i="1" s="1"/>
  <c r="N422" i="1" s="1"/>
  <c r="T423" i="1"/>
  <c r="S423" i="1" s="1"/>
  <c r="N423" i="1" s="1"/>
  <c r="T424" i="1"/>
  <c r="T425" i="1"/>
  <c r="S425" i="1" s="1"/>
  <c r="N425" i="1" s="1"/>
  <c r="T426" i="1"/>
  <c r="T427" i="1"/>
  <c r="S427" i="1" s="1"/>
  <c r="N427" i="1" s="1"/>
  <c r="T428" i="1"/>
  <c r="S428" i="1" s="1"/>
  <c r="N428" i="1" s="1"/>
  <c r="T429" i="1"/>
  <c r="T430" i="1"/>
  <c r="T431" i="1"/>
  <c r="T432" i="1"/>
  <c r="T433" i="1"/>
  <c r="T434" i="1"/>
  <c r="T435" i="1"/>
  <c r="T436" i="1"/>
  <c r="T437" i="1"/>
  <c r="T438" i="1"/>
  <c r="S438" i="1" s="1"/>
  <c r="N438" i="1" s="1"/>
  <c r="T439" i="1"/>
  <c r="S439" i="1" s="1"/>
  <c r="N439" i="1" s="1"/>
  <c r="T440" i="1"/>
  <c r="S440" i="1" s="1"/>
  <c r="N440" i="1" s="1"/>
  <c r="T441" i="1"/>
  <c r="S441" i="1" s="1"/>
  <c r="N441" i="1" s="1"/>
  <c r="T442" i="1"/>
  <c r="S442" i="1" s="1"/>
  <c r="N442" i="1" s="1"/>
  <c r="T443" i="1"/>
  <c r="S443" i="1" s="1"/>
  <c r="N443" i="1" s="1"/>
  <c r="T444" i="1"/>
  <c r="T445" i="1"/>
  <c r="S445" i="1" s="1"/>
  <c r="N445" i="1" s="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S460" i="1" s="1"/>
  <c r="N460" i="1" s="1"/>
  <c r="T461" i="1"/>
  <c r="S461" i="1" s="1"/>
  <c r="N461" i="1" s="1"/>
  <c r="T462" i="1"/>
  <c r="S462" i="1" s="1"/>
  <c r="N462" i="1" s="1"/>
  <c r="T463" i="1"/>
  <c r="S463" i="1" s="1"/>
  <c r="N463" i="1" s="1"/>
  <c r="T464" i="1"/>
  <c r="S464" i="1" s="1"/>
  <c r="N464" i="1" s="1"/>
  <c r="T465" i="1"/>
  <c r="S465" i="1" s="1"/>
  <c r="N465" i="1" s="1"/>
  <c r="T466" i="1"/>
  <c r="T467" i="1"/>
  <c r="S467" i="1" s="1"/>
  <c r="N467" i="1" s="1"/>
  <c r="T468" i="1"/>
  <c r="S468" i="1" s="1"/>
  <c r="N468" i="1" s="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S484" i="1" s="1"/>
  <c r="N484" i="1" s="1"/>
  <c r="T485" i="1"/>
  <c r="S485" i="1" s="1"/>
  <c r="N485" i="1" s="1"/>
  <c r="T486" i="1"/>
  <c r="T487" i="1"/>
  <c r="T488" i="1"/>
  <c r="S488" i="1" s="1"/>
  <c r="N488" i="1" s="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S503" i="1" s="1"/>
  <c r="N503" i="1" s="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S520" i="1" s="1"/>
  <c r="N520" i="1" s="1"/>
  <c r="T521" i="1"/>
  <c r="S521" i="1" s="1"/>
  <c r="N521" i="1" s="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S559" i="1" s="1"/>
  <c r="N559" i="1" s="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T580" i="1"/>
  <c r="S580" i="1" s="1"/>
  <c r="N580" i="1" s="1"/>
  <c r="T581" i="1"/>
  <c r="S581" i="1" s="1"/>
  <c r="N581" i="1" s="1"/>
  <c r="T582" i="1"/>
  <c r="S582" i="1" s="1"/>
  <c r="N582" i="1" s="1"/>
  <c r="T583" i="1"/>
  <c r="S583" i="1" s="1"/>
  <c r="N583" i="1" s="1"/>
  <c r="T584" i="1"/>
  <c r="S584" i="1" s="1"/>
  <c r="N584" i="1" s="1"/>
  <c r="T585" i="1"/>
  <c r="S585" i="1" s="1"/>
  <c r="N585" i="1" s="1"/>
  <c r="T586" i="1"/>
  <c r="T587" i="1"/>
  <c r="S587" i="1" s="1"/>
  <c r="N587" i="1" s="1"/>
  <c r="T588" i="1"/>
  <c r="S588" i="1" s="1"/>
  <c r="N588" i="1" s="1"/>
  <c r="T589" i="1"/>
  <c r="T590" i="1"/>
  <c r="T591" i="1"/>
  <c r="T592" i="1"/>
  <c r="T593" i="1"/>
  <c r="T594" i="1"/>
  <c r="T595" i="1"/>
  <c r="T596" i="1"/>
  <c r="T597" i="1"/>
  <c r="T598" i="1"/>
  <c r="S598" i="1" s="1"/>
  <c r="N598" i="1" s="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S648" i="1" s="1"/>
  <c r="N648" i="1" s="1"/>
  <c r="T649" i="1"/>
  <c r="T650" i="1"/>
  <c r="T651" i="1"/>
  <c r="T652" i="1"/>
  <c r="T653" i="1"/>
  <c r="T654" i="1"/>
  <c r="T655" i="1"/>
  <c r="T656" i="1"/>
  <c r="T657" i="1"/>
  <c r="T658" i="1"/>
  <c r="S658" i="1" s="1"/>
  <c r="N658" i="1" s="1"/>
  <c r="T659" i="1"/>
  <c r="S659" i="1" s="1"/>
  <c r="N659" i="1" s="1"/>
  <c r="T660" i="1"/>
  <c r="S660" i="1" s="1"/>
  <c r="N660" i="1" s="1"/>
  <c r="T661" i="1"/>
  <c r="S661" i="1" s="1"/>
  <c r="N661" i="1" s="1"/>
  <c r="T662" i="1"/>
  <c r="S662" i="1" s="1"/>
  <c r="N662" i="1" s="1"/>
  <c r="T663" i="1"/>
  <c r="S663" i="1" s="1"/>
  <c r="N663" i="1" s="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579" i="1" l="1"/>
  <c r="N579"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<sst xmlns="http://schemas.openxmlformats.org/spreadsheetml/2006/main" count="77967" uniqueCount="10770">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</sst>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574381" y="1321596"/>
          <a:ext cx="7800975" cy="5364955"/>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53,'-2'1,"1"2,1-1,-1 2,-1 0,1-2,-1 2,-1-2,2-1,-2 3,-7 13,-29 53,29-54,2-2,1 3,1 0,-1-1,2 0,0 1,0 12,4-24,1 2,0 3,1-3,1-2,-1 5,0-2,1-3,1 1,0-1,0 1,1 2,-1 1,1-5,1 2,4 7,-5-9,1 0,-1-2,2 4,-1-2,0 1,1-1,-1-2,2 3,-1-2,-1-1,2 0,-1 2,1-2,-1 0,2 0,-1-1,0-1,4 1,43 0,-2-1,22-2,-69 2,-1-1,1 1,-2-1,2 1,-1-1,0 0,0-1,0-1,1 2,-2-1,1 0,-1 1,0-1,3 1,-5-4,3 4,0-2,-1-1,1-2,-1 0,0 3,1 0,-3-2,2-1,-2 0,3 1,-3 1,-1-1,1-4,-1 4,0-5,2 2,-1-3,1-2,1 2,0-3,0 5,2-4,0 2,0-1,4-2,-1 3,0-4,-1 1,0-4,0-6,-4 20,-1-3,-1 3,-1-2,1 1,-1-2,0 2,0-2,-1 3,1-3,-1 2,-1-2,-1 3,0-6,0 4,2 0,-3 2,0 2,1-2,0 0,-2 0,1-1,-1 3,1 0,-1-1,1 1,-1 0,0-1,-4-2,-3 0,1-1,-1 3,2 0,-3 0,1 1,-6 1,-24-5,31 3,1 1,-3 0,3 1,-1 0,-9 1,16 0,2 1,-3 0,2-1,-1 0,1 1,-2 1,4-1,-3-1,0 3,3-2,-3 0,2 2,-2-2,2 0,-1 1,1 0,0 0,-1 0,0 1,0 3,-2 2,-23 23,19-26</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88,'-3'0,"0"2,0 1,2-2,-3 2,2-2,0 3,-1-2,0-1,2 0,-1 1,0-1,0 2,0-1,0 2,-1 2,-5 1,3 2,0 2,-1-2,2-2,-1 2,3 3,-3-5,3 2,0 4,1-4,-1 3,2-3,0 1,0 0,1 0,1-2,-1 3,2 3,0-10,0 1,0 3,0-3,1 2,-1-3,1 0,0 3,1-3,-1 1,1-1,1 0,0-2,1-1,-3 5,2-3,4 2,5 1,-1 3,3-4,-1 0,-1 0,0-1,10 2,6-3,0-2,2-1,-2 0,7 0,18 0,-44-1,-1 0,-1-1,1 0,0-2,1 0,-2-1,0 1,0 1,0-2,-1-3,7 0,42-19,-49 23,-2 1,0 2,-1-3,1 2,-1 0,1-1,-2-2,2 1,-3 0,2-2,0 2,-2 1,1-2,-1 0,1-1,1-2,0 1,-5-1,4 2,-4 0,3 0,-2 0,0 0,0-1,-1 0,0 0,0-3,-1 2,-1 1,0 2,0-2,-1-1,1 2,-2-1,2 1,-3-1,1-1,1 2,-3-1,1 2,-3-6,-10-16,15 22,0 1,0 0,0-1,-1 2,0-1,0 0,-1 2,1-2,-1 0,0 2,0-3,0 2,-1 1,1-2,-1-1,0 3,0 0,-2-1,-24-2,1 0,-2 1,0 0,1 3,-1 0,-29 3,-4-2,56 0,2 1,0 0,-2 1,2-2,1 2,-3 0,2 1,0-2,1 0,0 2,-1 1,-1-1,-2 6,1-4,0 2,0-1,1 0,1 0,-1 2,-2 3,2-2</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4.4" x14ac:dyDescent="0.3"/>
  <sheetData>
    <row r="1" spans="1:2" x14ac:dyDescent="0.3">
      <c r="A1" s="2" t="s">
        <v>0</v>
      </c>
    </row>
    <row r="3" spans="1:2" x14ac:dyDescent="0.3">
      <c r="A3" t="s">
        <v>1</v>
      </c>
    </row>
    <row r="4" spans="1:2" x14ac:dyDescent="0.3">
      <c r="A4" t="s">
        <v>2</v>
      </c>
    </row>
    <row r="6" spans="1:2" x14ac:dyDescent="0.3">
      <c r="A6" t="s">
        <v>3</v>
      </c>
    </row>
    <row r="7" spans="1:2" x14ac:dyDescent="0.3">
      <c r="A7" t="s">
        <v>4</v>
      </c>
      <c r="B7" t="s">
        <v>5</v>
      </c>
    </row>
    <row r="8" spans="1:2" x14ac:dyDescent="0.3">
      <c r="B8" t="s">
        <v>6</v>
      </c>
    </row>
    <row r="9" spans="1:2" x14ac:dyDescent="0.3">
      <c r="B9" t="s">
        <v>7</v>
      </c>
    </row>
    <row r="10" spans="1:2" x14ac:dyDescent="0.3">
      <c r="B10" t="s">
        <v>8</v>
      </c>
    </row>
    <row r="12" spans="1:2" x14ac:dyDescent="0.3">
      <c r="A12" t="s">
        <v>9</v>
      </c>
    </row>
    <row r="29" spans="1:1" x14ac:dyDescent="0.3">
      <c r="A29" s="2" t="s">
        <v>10</v>
      </c>
    </row>
    <row r="31" spans="1:1" x14ac:dyDescent="0.3">
      <c r="A31" t="s">
        <v>11</v>
      </c>
    </row>
    <row r="32" spans="1:1" x14ac:dyDescent="0.3">
      <c r="A32" t="s">
        <v>12</v>
      </c>
    </row>
    <row r="33" spans="1:1" x14ac:dyDescent="0.3">
      <c r="A33" t="s">
        <v>13</v>
      </c>
    </row>
    <row r="34" spans="1:1" x14ac:dyDescent="0.3">
      <c r="A34" t="s">
        <v>14</v>
      </c>
    </row>
    <row r="38" spans="1:1" x14ac:dyDescent="0.3">
      <c r="A38" s="27" t="s">
        <v>15</v>
      </c>
    </row>
    <row r="39" spans="1:1" x14ac:dyDescent="0.3">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2:AG843"/>
  <sheetViews>
    <sheetView tabSelected="1" workbookViewId="0">
      <pane ySplit="5" topLeftCell="A834" activePane="bottomLeft" state="frozen"/>
      <selection pane="bottomLeft" activeCell="B849" sqref="B849"/>
    </sheetView>
  </sheetViews>
  <sheetFormatPr defaultRowHeight="14.4" outlineLevelCol="1" x14ac:dyDescent="0.3"/>
  <cols>
    <col min="1" max="3" width="24.44140625" customWidth="1"/>
    <col min="4" max="4" width="33.88671875" customWidth="1"/>
    <col min="5" max="5" width="41.5546875" customWidth="1"/>
    <col min="6" max="6" width="41.44140625" customWidth="1"/>
    <col min="7" max="7" width="34.44140625" customWidth="1"/>
    <col min="8" max="8" width="34.5546875" bestFit="1" customWidth="1"/>
    <col min="9" max="9" width="34" bestFit="1" customWidth="1"/>
    <col min="10" max="10" width="39.44140625" bestFit="1" customWidth="1"/>
    <col min="11" max="11" width="34.5546875" customWidth="1" outlineLevel="1"/>
    <col min="12" max="12" width="29.44140625" customWidth="1" outlineLevel="1"/>
    <col min="13" max="13" width="37.44140625" customWidth="1" outlineLevel="1"/>
    <col min="14" max="14" width="71.109375" customWidth="1"/>
    <col min="15" max="15" width="11.109375" bestFit="1" customWidth="1"/>
    <col min="16" max="17" width="11.5546875" bestFit="1" customWidth="1"/>
    <col min="18" max="18" width="10.5546875" bestFit="1" customWidth="1"/>
    <col min="19" max="19" width="19.5546875" customWidth="1"/>
    <col min="20" max="20" width="31.5546875" customWidth="1"/>
    <col min="21" max="21" width="28.5546875" bestFit="1" customWidth="1"/>
    <col min="22" max="22" width="16" bestFit="1" customWidth="1"/>
    <col min="23" max="23" width="14.5546875" bestFit="1" customWidth="1"/>
    <col min="24" max="24" width="17.5546875" bestFit="1" customWidth="1"/>
    <col min="25" max="25" width="16.5546875" bestFit="1" customWidth="1"/>
    <col min="26" max="26" width="22.109375" customWidth="1"/>
    <col min="27" max="27" width="11" customWidth="1"/>
    <col min="28" max="28" width="31.88671875" customWidth="1"/>
    <col min="29" max="29" width="11.5546875" customWidth="1"/>
    <col min="30" max="30" width="20.88671875" customWidth="1"/>
    <col min="33" max="33" width="8.88671875" customWidth="1"/>
  </cols>
  <sheetData>
    <row r="2" spans="1:33" x14ac:dyDescent="0.3">
      <c r="AF2" s="36"/>
    </row>
    <row r="3" spans="1:33" x14ac:dyDescent="0.3">
      <c r="A3" t="s">
        <v>17</v>
      </c>
    </row>
    <row r="4" spans="1:33" ht="15" thickBot="1" x14ac:dyDescent="0.35">
      <c r="H4" s="52" t="s">
        <v>18</v>
      </c>
      <c r="I4" s="52"/>
      <c r="J4" s="52"/>
      <c r="K4" s="52" t="s">
        <v>19</v>
      </c>
      <c r="L4" s="52"/>
      <c r="M4" s="52"/>
      <c r="N4" s="1" t="s">
        <v>20</v>
      </c>
    </row>
    <row r="5" spans="1:33" ht="29.4" thickBot="1" x14ac:dyDescent="0.35">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x14ac:dyDescent="0.3">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x14ac:dyDescent="0.3">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x14ac:dyDescent="0.3">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x14ac:dyDescent="0.3">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x14ac:dyDescent="0.3">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x14ac:dyDescent="0.3">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x14ac:dyDescent="0.3">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x14ac:dyDescent="0.3">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x14ac:dyDescent="0.3">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x14ac:dyDescent="0.3">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x14ac:dyDescent="0.3">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x14ac:dyDescent="0.3">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x14ac:dyDescent="0.3">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x14ac:dyDescent="0.3">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x14ac:dyDescent="0.3">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x14ac:dyDescent="0.3">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x14ac:dyDescent="0.3">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x14ac:dyDescent="0.3">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x14ac:dyDescent="0.3">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x14ac:dyDescent="0.3">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x14ac:dyDescent="0.3">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x14ac:dyDescent="0.3">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x14ac:dyDescent="0.3">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x14ac:dyDescent="0.3">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x14ac:dyDescent="0.3">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x14ac:dyDescent="0.3">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x14ac:dyDescent="0.3">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x14ac:dyDescent="0.3">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x14ac:dyDescent="0.3">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x14ac:dyDescent="0.3">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x14ac:dyDescent="0.3">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x14ac:dyDescent="0.3">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x14ac:dyDescent="0.3">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x14ac:dyDescent="0.3">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x14ac:dyDescent="0.3">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x14ac:dyDescent="0.3">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x14ac:dyDescent="0.3">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x14ac:dyDescent="0.3">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x14ac:dyDescent="0.3">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x14ac:dyDescent="0.3">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x14ac:dyDescent="0.3">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x14ac:dyDescent="0.3">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x14ac:dyDescent="0.3">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x14ac:dyDescent="0.3">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x14ac:dyDescent="0.3">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x14ac:dyDescent="0.3">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x14ac:dyDescent="0.3">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x14ac:dyDescent="0.3">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x14ac:dyDescent="0.3">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x14ac:dyDescent="0.3">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x14ac:dyDescent="0.3">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x14ac:dyDescent="0.3">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x14ac:dyDescent="0.3">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x14ac:dyDescent="0.3">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x14ac:dyDescent="0.3">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x14ac:dyDescent="0.3">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x14ac:dyDescent="0.3">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x14ac:dyDescent="0.3">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x14ac:dyDescent="0.3">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x14ac:dyDescent="0.3">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x14ac:dyDescent="0.3">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x14ac:dyDescent="0.3">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x14ac:dyDescent="0.3">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x14ac:dyDescent="0.3">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x14ac:dyDescent="0.3">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x14ac:dyDescent="0.3">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x14ac:dyDescent="0.3">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x14ac:dyDescent="0.3">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x14ac:dyDescent="0.3">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x14ac:dyDescent="0.3">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x14ac:dyDescent="0.3">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x14ac:dyDescent="0.3">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x14ac:dyDescent="0.3">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x14ac:dyDescent="0.3">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x14ac:dyDescent="0.3">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x14ac:dyDescent="0.3">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x14ac:dyDescent="0.3">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x14ac:dyDescent="0.3">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x14ac:dyDescent="0.3">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x14ac:dyDescent="0.3">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x14ac:dyDescent="0.3">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x14ac:dyDescent="0.3">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x14ac:dyDescent="0.3">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x14ac:dyDescent="0.3">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x14ac:dyDescent="0.3">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x14ac:dyDescent="0.3">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x14ac:dyDescent="0.3">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x14ac:dyDescent="0.3">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x14ac:dyDescent="0.3">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x14ac:dyDescent="0.3">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x14ac:dyDescent="0.3">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x14ac:dyDescent="0.3">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x14ac:dyDescent="0.3">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x14ac:dyDescent="0.3">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x14ac:dyDescent="0.3">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x14ac:dyDescent="0.3">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x14ac:dyDescent="0.3">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x14ac:dyDescent="0.3">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x14ac:dyDescent="0.3">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x14ac:dyDescent="0.3">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x14ac:dyDescent="0.3">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x14ac:dyDescent="0.3">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x14ac:dyDescent="0.3">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x14ac:dyDescent="0.3">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x14ac:dyDescent="0.3">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x14ac:dyDescent="0.3">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x14ac:dyDescent="0.3">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x14ac:dyDescent="0.3">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x14ac:dyDescent="0.3">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x14ac:dyDescent="0.3">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x14ac:dyDescent="0.3">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x14ac:dyDescent="0.3">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x14ac:dyDescent="0.3">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x14ac:dyDescent="0.3">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x14ac:dyDescent="0.3">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x14ac:dyDescent="0.3">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x14ac:dyDescent="0.3">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x14ac:dyDescent="0.3">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x14ac:dyDescent="0.3">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x14ac:dyDescent="0.3">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x14ac:dyDescent="0.3">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x14ac:dyDescent="0.3">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x14ac:dyDescent="0.3">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x14ac:dyDescent="0.3">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x14ac:dyDescent="0.3">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x14ac:dyDescent="0.3">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x14ac:dyDescent="0.3">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x14ac:dyDescent="0.3">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x14ac:dyDescent="0.3">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x14ac:dyDescent="0.3">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x14ac:dyDescent="0.3">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x14ac:dyDescent="0.3">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x14ac:dyDescent="0.3">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x14ac:dyDescent="0.3">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x14ac:dyDescent="0.3">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x14ac:dyDescent="0.3">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x14ac:dyDescent="0.3">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x14ac:dyDescent="0.3">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x14ac:dyDescent="0.3">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x14ac:dyDescent="0.3">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x14ac:dyDescent="0.3">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x14ac:dyDescent="0.3">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x14ac:dyDescent="0.3">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x14ac:dyDescent="0.3">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x14ac:dyDescent="0.3">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x14ac:dyDescent="0.3">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x14ac:dyDescent="0.3">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x14ac:dyDescent="0.3">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x14ac:dyDescent="0.3">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x14ac:dyDescent="0.3">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x14ac:dyDescent="0.3">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x14ac:dyDescent="0.3">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x14ac:dyDescent="0.3">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x14ac:dyDescent="0.3">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x14ac:dyDescent="0.3">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x14ac:dyDescent="0.3">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x14ac:dyDescent="0.3">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x14ac:dyDescent="0.3">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x14ac:dyDescent="0.3">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x14ac:dyDescent="0.3">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x14ac:dyDescent="0.3">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x14ac:dyDescent="0.3">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x14ac:dyDescent="0.3">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x14ac:dyDescent="0.3">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x14ac:dyDescent="0.3">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x14ac:dyDescent="0.3">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x14ac:dyDescent="0.3">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x14ac:dyDescent="0.3">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x14ac:dyDescent="0.3">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x14ac:dyDescent="0.3">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x14ac:dyDescent="0.3">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x14ac:dyDescent="0.3">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x14ac:dyDescent="0.3">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x14ac:dyDescent="0.3">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x14ac:dyDescent="0.3">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x14ac:dyDescent="0.3">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x14ac:dyDescent="0.3">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x14ac:dyDescent="0.3">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x14ac:dyDescent="0.3">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x14ac:dyDescent="0.3">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x14ac:dyDescent="0.3">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x14ac:dyDescent="0.3">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x14ac:dyDescent="0.3">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x14ac:dyDescent="0.3">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x14ac:dyDescent="0.3">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x14ac:dyDescent="0.3">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x14ac:dyDescent="0.3">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x14ac:dyDescent="0.3">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x14ac:dyDescent="0.3">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x14ac:dyDescent="0.3">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x14ac:dyDescent="0.3">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x14ac:dyDescent="0.3">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x14ac:dyDescent="0.3">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x14ac:dyDescent="0.3">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x14ac:dyDescent="0.3">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x14ac:dyDescent="0.3">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x14ac:dyDescent="0.3">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x14ac:dyDescent="0.3">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x14ac:dyDescent="0.3">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x14ac:dyDescent="0.3">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x14ac:dyDescent="0.3">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x14ac:dyDescent="0.3">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x14ac:dyDescent="0.3">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x14ac:dyDescent="0.3">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x14ac:dyDescent="0.3">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x14ac:dyDescent="0.3">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x14ac:dyDescent="0.3">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x14ac:dyDescent="0.3">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x14ac:dyDescent="0.3">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x14ac:dyDescent="0.3">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x14ac:dyDescent="0.3">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x14ac:dyDescent="0.3">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5"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x14ac:dyDescent="0.3">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x14ac:dyDescent="0.3">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x14ac:dyDescent="0.3">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x14ac:dyDescent="0.3">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x14ac:dyDescent="0.3">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x14ac:dyDescent="0.3">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x14ac:dyDescent="0.3">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x14ac:dyDescent="0.3">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x14ac:dyDescent="0.3">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x14ac:dyDescent="0.3">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x14ac:dyDescent="0.3">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x14ac:dyDescent="0.3">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x14ac:dyDescent="0.3">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x14ac:dyDescent="0.3">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x14ac:dyDescent="0.3">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x14ac:dyDescent="0.3">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x14ac:dyDescent="0.3">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x14ac:dyDescent="0.3">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 t="shared" si="72"/>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x14ac:dyDescent="0.3">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x14ac:dyDescent="0.3">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x14ac:dyDescent="0.3">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x14ac:dyDescent="0.3">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x14ac:dyDescent="0.3">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x14ac:dyDescent="0.3">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x14ac:dyDescent="0.3">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x14ac:dyDescent="0.3">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x14ac:dyDescent="0.3">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x14ac:dyDescent="0.3">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x14ac:dyDescent="0.3">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x14ac:dyDescent="0.3">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x14ac:dyDescent="0.3">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x14ac:dyDescent="0.3">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x14ac:dyDescent="0.3">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x14ac:dyDescent="0.3">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x14ac:dyDescent="0.3">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x14ac:dyDescent="0.3">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x14ac:dyDescent="0.3">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x14ac:dyDescent="0.3">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x14ac:dyDescent="0.3">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x14ac:dyDescent="0.3">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x14ac:dyDescent="0.3">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x14ac:dyDescent="0.3">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x14ac:dyDescent="0.3">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x14ac:dyDescent="0.3">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x14ac:dyDescent="0.3">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x14ac:dyDescent="0.3">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x14ac:dyDescent="0.3">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x14ac:dyDescent="0.3">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x14ac:dyDescent="0.3">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x14ac:dyDescent="0.3">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x14ac:dyDescent="0.3">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x14ac:dyDescent="0.3">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x14ac:dyDescent="0.3">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x14ac:dyDescent="0.3">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x14ac:dyDescent="0.3">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x14ac:dyDescent="0.3">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x14ac:dyDescent="0.3">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x14ac:dyDescent="0.3">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x14ac:dyDescent="0.3">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x14ac:dyDescent="0.3">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x14ac:dyDescent="0.3">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x14ac:dyDescent="0.3">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x14ac:dyDescent="0.3">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x14ac:dyDescent="0.3">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x14ac:dyDescent="0.3">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x14ac:dyDescent="0.3">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x14ac:dyDescent="0.3">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x14ac:dyDescent="0.3">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x14ac:dyDescent="0.3">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x14ac:dyDescent="0.3">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x14ac:dyDescent="0.3">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x14ac:dyDescent="0.3">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x14ac:dyDescent="0.3">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x14ac:dyDescent="0.3">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x14ac:dyDescent="0.3">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x14ac:dyDescent="0.3">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x14ac:dyDescent="0.3">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x14ac:dyDescent="0.3">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x14ac:dyDescent="0.3">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x14ac:dyDescent="0.3">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x14ac:dyDescent="0.3">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x14ac:dyDescent="0.3">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x14ac:dyDescent="0.3">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x14ac:dyDescent="0.3">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x14ac:dyDescent="0.3">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x14ac:dyDescent="0.3">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x14ac:dyDescent="0.3">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x14ac:dyDescent="0.3">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x14ac:dyDescent="0.3">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x14ac:dyDescent="0.3">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x14ac:dyDescent="0.3">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x14ac:dyDescent="0.3">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x14ac:dyDescent="0.3">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x14ac:dyDescent="0.3">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x14ac:dyDescent="0.3">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x14ac:dyDescent="0.3">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x14ac:dyDescent="0.3">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x14ac:dyDescent="0.3">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x14ac:dyDescent="0.3">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x14ac:dyDescent="0.3">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x14ac:dyDescent="0.3">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x14ac:dyDescent="0.3">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x14ac:dyDescent="0.3">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x14ac:dyDescent="0.3">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x14ac:dyDescent="0.3">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x14ac:dyDescent="0.3">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x14ac:dyDescent="0.3">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x14ac:dyDescent="0.3">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x14ac:dyDescent="0.3">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x14ac:dyDescent="0.3">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x14ac:dyDescent="0.3">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x14ac:dyDescent="0.3">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x14ac:dyDescent="0.3">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x14ac:dyDescent="0.3">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x14ac:dyDescent="0.3">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x14ac:dyDescent="0.3">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x14ac:dyDescent="0.3">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x14ac:dyDescent="0.3">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x14ac:dyDescent="0.3">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x14ac:dyDescent="0.3">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x14ac:dyDescent="0.3">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x14ac:dyDescent="0.3">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x14ac:dyDescent="0.3">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x14ac:dyDescent="0.3">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x14ac:dyDescent="0.3">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x14ac:dyDescent="0.3">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x14ac:dyDescent="0.3">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x14ac:dyDescent="0.3">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x14ac:dyDescent="0.3">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x14ac:dyDescent="0.3">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x14ac:dyDescent="0.3">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x14ac:dyDescent="0.3">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x14ac:dyDescent="0.3">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x14ac:dyDescent="0.3">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x14ac:dyDescent="0.3">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x14ac:dyDescent="0.3">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x14ac:dyDescent="0.3">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x14ac:dyDescent="0.3">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x14ac:dyDescent="0.3">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x14ac:dyDescent="0.3">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x14ac:dyDescent="0.3">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x14ac:dyDescent="0.3">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x14ac:dyDescent="0.3">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x14ac:dyDescent="0.3">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x14ac:dyDescent="0.3">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x14ac:dyDescent="0.3">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x14ac:dyDescent="0.3">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x14ac:dyDescent="0.3">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x14ac:dyDescent="0.3">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x14ac:dyDescent="0.3">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x14ac:dyDescent="0.3">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x14ac:dyDescent="0.3">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x14ac:dyDescent="0.3">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x14ac:dyDescent="0.3">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x14ac:dyDescent="0.3">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x14ac:dyDescent="0.3">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x14ac:dyDescent="0.3">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x14ac:dyDescent="0.3">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x14ac:dyDescent="0.3">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x14ac:dyDescent="0.3">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x14ac:dyDescent="0.3">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x14ac:dyDescent="0.3">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x14ac:dyDescent="0.3">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x14ac:dyDescent="0.3">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x14ac:dyDescent="0.3">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x14ac:dyDescent="0.3">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x14ac:dyDescent="0.3">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x14ac:dyDescent="0.3">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x14ac:dyDescent="0.3">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x14ac:dyDescent="0.3">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x14ac:dyDescent="0.3">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x14ac:dyDescent="0.3">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x14ac:dyDescent="0.3">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x14ac:dyDescent="0.3">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x14ac:dyDescent="0.3">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x14ac:dyDescent="0.3">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x14ac:dyDescent="0.3">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x14ac:dyDescent="0.3">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x14ac:dyDescent="0.3">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x14ac:dyDescent="0.3">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x14ac:dyDescent="0.3">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x14ac:dyDescent="0.3">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x14ac:dyDescent="0.3">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x14ac:dyDescent="0.3">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x14ac:dyDescent="0.3">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x14ac:dyDescent="0.3">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x14ac:dyDescent="0.3">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x14ac:dyDescent="0.3">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x14ac:dyDescent="0.3">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x14ac:dyDescent="0.3">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x14ac:dyDescent="0.3">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x14ac:dyDescent="0.3">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x14ac:dyDescent="0.3">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x14ac:dyDescent="0.3">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x14ac:dyDescent="0.3">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x14ac:dyDescent="0.3">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x14ac:dyDescent="0.3">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x14ac:dyDescent="0.3">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x14ac:dyDescent="0.3">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x14ac:dyDescent="0.3">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x14ac:dyDescent="0.3">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x14ac:dyDescent="0.3">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x14ac:dyDescent="0.3">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x14ac:dyDescent="0.3">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x14ac:dyDescent="0.3">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x14ac:dyDescent="0.3">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x14ac:dyDescent="0.3">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x14ac:dyDescent="0.3">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x14ac:dyDescent="0.3">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x14ac:dyDescent="0.3">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x14ac:dyDescent="0.3">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x14ac:dyDescent="0.3">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x14ac:dyDescent="0.3">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x14ac:dyDescent="0.3">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x14ac:dyDescent="0.3">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x14ac:dyDescent="0.3">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x14ac:dyDescent="0.3">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x14ac:dyDescent="0.3">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x14ac:dyDescent="0.3">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x14ac:dyDescent="0.3">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x14ac:dyDescent="0.3">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x14ac:dyDescent="0.3">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x14ac:dyDescent="0.3">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x14ac:dyDescent="0.3">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x14ac:dyDescent="0.3">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x14ac:dyDescent="0.3">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x14ac:dyDescent="0.3">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x14ac:dyDescent="0.3">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x14ac:dyDescent="0.3">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x14ac:dyDescent="0.3">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x14ac:dyDescent="0.3">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x14ac:dyDescent="0.3">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x14ac:dyDescent="0.3">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x14ac:dyDescent="0.3">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x14ac:dyDescent="0.3">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x14ac:dyDescent="0.3">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x14ac:dyDescent="0.3">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x14ac:dyDescent="0.3">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x14ac:dyDescent="0.3">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x14ac:dyDescent="0.3">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x14ac:dyDescent="0.3">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x14ac:dyDescent="0.3">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x14ac:dyDescent="0.3">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x14ac:dyDescent="0.3">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x14ac:dyDescent="0.3">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x14ac:dyDescent="0.3">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x14ac:dyDescent="0.3">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x14ac:dyDescent="0.3">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x14ac:dyDescent="0.3">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x14ac:dyDescent="0.3">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x14ac:dyDescent="0.3">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x14ac:dyDescent="0.3">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x14ac:dyDescent="0.3">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x14ac:dyDescent="0.3">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x14ac:dyDescent="0.3">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x14ac:dyDescent="0.3">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x14ac:dyDescent="0.3">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x14ac:dyDescent="0.3">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x14ac:dyDescent="0.3">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x14ac:dyDescent="0.3">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x14ac:dyDescent="0.3">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x14ac:dyDescent="0.3">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x14ac:dyDescent="0.3">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x14ac:dyDescent="0.3">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x14ac:dyDescent="0.3">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x14ac:dyDescent="0.3">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x14ac:dyDescent="0.3">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x14ac:dyDescent="0.3">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x14ac:dyDescent="0.3">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x14ac:dyDescent="0.3">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x14ac:dyDescent="0.3">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x14ac:dyDescent="0.3">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x14ac:dyDescent="0.3">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x14ac:dyDescent="0.3">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x14ac:dyDescent="0.3">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x14ac:dyDescent="0.3">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x14ac:dyDescent="0.3">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x14ac:dyDescent="0.3">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x14ac:dyDescent="0.3">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x14ac:dyDescent="0.3">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x14ac:dyDescent="0.3">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x14ac:dyDescent="0.3">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x14ac:dyDescent="0.3">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x14ac:dyDescent="0.3">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x14ac:dyDescent="0.3">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x14ac:dyDescent="0.3">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x14ac:dyDescent="0.3">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x14ac:dyDescent="0.3">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x14ac:dyDescent="0.3">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x14ac:dyDescent="0.3">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x14ac:dyDescent="0.3">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x14ac:dyDescent="0.3">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x14ac:dyDescent="0.3">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x14ac:dyDescent="0.3">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x14ac:dyDescent="0.3">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x14ac:dyDescent="0.3">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x14ac:dyDescent="0.3">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x14ac:dyDescent="0.3">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x14ac:dyDescent="0.3">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x14ac:dyDescent="0.3">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x14ac:dyDescent="0.3">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x14ac:dyDescent="0.3">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x14ac:dyDescent="0.3">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x14ac:dyDescent="0.3">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x14ac:dyDescent="0.3">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x14ac:dyDescent="0.3">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x14ac:dyDescent="0.3">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x14ac:dyDescent="0.3">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x14ac:dyDescent="0.3">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x14ac:dyDescent="0.3">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x14ac:dyDescent="0.3">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x14ac:dyDescent="0.3">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x14ac:dyDescent="0.3">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x14ac:dyDescent="0.3">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x14ac:dyDescent="0.3">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x14ac:dyDescent="0.3">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x14ac:dyDescent="0.3">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x14ac:dyDescent="0.3">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x14ac:dyDescent="0.3">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x14ac:dyDescent="0.3">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x14ac:dyDescent="0.3">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x14ac:dyDescent="0.3">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x14ac:dyDescent="0.3">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x14ac:dyDescent="0.3">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x14ac:dyDescent="0.3">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x14ac:dyDescent="0.3">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x14ac:dyDescent="0.3">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x14ac:dyDescent="0.3">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x14ac:dyDescent="0.3">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x14ac:dyDescent="0.3">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x14ac:dyDescent="0.3">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x14ac:dyDescent="0.3">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x14ac:dyDescent="0.3">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x14ac:dyDescent="0.3">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x14ac:dyDescent="0.3">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x14ac:dyDescent="0.3">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x14ac:dyDescent="0.3">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x14ac:dyDescent="0.3">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x14ac:dyDescent="0.3">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x14ac:dyDescent="0.3">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x14ac:dyDescent="0.3">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x14ac:dyDescent="0.3">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x14ac:dyDescent="0.3">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x14ac:dyDescent="0.3">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x14ac:dyDescent="0.3">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x14ac:dyDescent="0.3">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x14ac:dyDescent="0.3">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x14ac:dyDescent="0.3">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x14ac:dyDescent="0.3">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x14ac:dyDescent="0.3">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x14ac:dyDescent="0.3">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x14ac:dyDescent="0.3">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x14ac:dyDescent="0.3">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x14ac:dyDescent="0.3">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x14ac:dyDescent="0.3">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x14ac:dyDescent="0.3">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x14ac:dyDescent="0.3">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x14ac:dyDescent="0.3">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x14ac:dyDescent="0.3">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x14ac:dyDescent="0.3">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x14ac:dyDescent="0.3">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x14ac:dyDescent="0.3">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x14ac:dyDescent="0.3">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x14ac:dyDescent="0.3">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x14ac:dyDescent="0.3">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x14ac:dyDescent="0.3">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x14ac:dyDescent="0.3">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x14ac:dyDescent="0.3">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x14ac:dyDescent="0.3">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x14ac:dyDescent="0.3">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x14ac:dyDescent="0.3">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x14ac:dyDescent="0.3">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x14ac:dyDescent="0.3">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x14ac:dyDescent="0.3">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x14ac:dyDescent="0.3">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x14ac:dyDescent="0.3">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x14ac:dyDescent="0.3">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x14ac:dyDescent="0.3">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x14ac:dyDescent="0.3">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x14ac:dyDescent="0.3">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x14ac:dyDescent="0.3">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x14ac:dyDescent="0.3">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x14ac:dyDescent="0.3">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x14ac:dyDescent="0.3">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x14ac:dyDescent="0.3">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x14ac:dyDescent="0.3">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x14ac:dyDescent="0.3">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x14ac:dyDescent="0.3">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x14ac:dyDescent="0.3">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x14ac:dyDescent="0.3">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x14ac:dyDescent="0.3">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x14ac:dyDescent="0.3">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x14ac:dyDescent="0.3">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x14ac:dyDescent="0.3">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x14ac:dyDescent="0.3">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x14ac:dyDescent="0.3">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x14ac:dyDescent="0.3">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x14ac:dyDescent="0.3">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x14ac:dyDescent="0.3">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x14ac:dyDescent="0.3">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x14ac:dyDescent="0.3">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x14ac:dyDescent="0.3">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x14ac:dyDescent="0.3">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x14ac:dyDescent="0.3">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x14ac:dyDescent="0.3">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x14ac:dyDescent="0.3">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x14ac:dyDescent="0.3">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x14ac:dyDescent="0.3">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x14ac:dyDescent="0.3">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x14ac:dyDescent="0.3">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x14ac:dyDescent="0.3">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x14ac:dyDescent="0.3">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x14ac:dyDescent="0.3">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x14ac:dyDescent="0.3">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x14ac:dyDescent="0.3">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x14ac:dyDescent="0.3">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x14ac:dyDescent="0.3">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x14ac:dyDescent="0.3">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x14ac:dyDescent="0.3">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x14ac:dyDescent="0.3">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x14ac:dyDescent="0.3">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x14ac:dyDescent="0.3">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x14ac:dyDescent="0.3">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x14ac:dyDescent="0.3">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x14ac:dyDescent="0.3">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x14ac:dyDescent="0.3">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x14ac:dyDescent="0.3">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x14ac:dyDescent="0.3">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x14ac:dyDescent="0.3">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x14ac:dyDescent="0.3">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x14ac:dyDescent="0.3">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x14ac:dyDescent="0.3">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x14ac:dyDescent="0.3">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x14ac:dyDescent="0.3">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x14ac:dyDescent="0.3">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x14ac:dyDescent="0.3">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x14ac:dyDescent="0.3">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x14ac:dyDescent="0.3">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x14ac:dyDescent="0.3">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x14ac:dyDescent="0.3">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x14ac:dyDescent="0.3">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x14ac:dyDescent="0.3">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x14ac:dyDescent="0.3">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x14ac:dyDescent="0.3">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x14ac:dyDescent="0.3">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x14ac:dyDescent="0.3">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x14ac:dyDescent="0.3">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x14ac:dyDescent="0.3">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x14ac:dyDescent="0.3">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x14ac:dyDescent="0.3">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x14ac:dyDescent="0.3">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x14ac:dyDescent="0.3">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x14ac:dyDescent="0.3">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x14ac:dyDescent="0.3">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x14ac:dyDescent="0.3">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x14ac:dyDescent="0.3">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x14ac:dyDescent="0.3">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x14ac:dyDescent="0.3">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x14ac:dyDescent="0.3">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x14ac:dyDescent="0.3">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x14ac:dyDescent="0.3">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x14ac:dyDescent="0.3">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x14ac:dyDescent="0.3">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x14ac:dyDescent="0.3">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x14ac:dyDescent="0.3">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x14ac:dyDescent="0.3">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x14ac:dyDescent="0.3">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x14ac:dyDescent="0.3">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x14ac:dyDescent="0.3">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x14ac:dyDescent="0.3">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x14ac:dyDescent="0.3">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x14ac:dyDescent="0.3">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x14ac:dyDescent="0.3">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x14ac:dyDescent="0.3">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x14ac:dyDescent="0.3">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x14ac:dyDescent="0.3">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x14ac:dyDescent="0.3">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x14ac:dyDescent="0.3">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x14ac:dyDescent="0.3">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x14ac:dyDescent="0.3">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x14ac:dyDescent="0.3">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x14ac:dyDescent="0.3">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x14ac:dyDescent="0.3">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x14ac:dyDescent="0.3">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x14ac:dyDescent="0.3">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x14ac:dyDescent="0.3">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x14ac:dyDescent="0.3">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x14ac:dyDescent="0.3">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x14ac:dyDescent="0.3">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x14ac:dyDescent="0.3">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x14ac:dyDescent="0.3">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65"/>
        <v>Asm&amp;0&amp;cDXGF&amp;Ex&amp;HV_AirDist</v>
      </c>
      <c r="O708" t="s">
        <v>10670</v>
      </c>
      <c r="P708">
        <v>0</v>
      </c>
      <c r="Q708" t="s">
        <v>10666</v>
      </c>
      <c r="R708" t="s">
        <v>52</v>
      </c>
      <c r="S708" t="s">
        <v>10734</v>
      </c>
      <c r="T708" t="s">
        <v>53</v>
      </c>
      <c r="U708" t="s">
        <v>53</v>
      </c>
    </row>
    <row r="709" spans="1:28" x14ac:dyDescent="0.3">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65"/>
        <v>ECC&amp;0&amp;cDXGF&amp;Ex&amp;HV_AirDist</v>
      </c>
      <c r="O709" t="s">
        <v>10671</v>
      </c>
      <c r="P709">
        <v>0</v>
      </c>
      <c r="Q709" t="s">
        <v>10666</v>
      </c>
      <c r="R709" t="s">
        <v>52</v>
      </c>
      <c r="S709" t="s">
        <v>10734</v>
      </c>
      <c r="T709" t="s">
        <v>53</v>
      </c>
      <c r="U709" t="s">
        <v>53</v>
      </c>
    </row>
    <row r="710" spans="1:28" x14ac:dyDescent="0.3">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65"/>
        <v>EPr&amp;0&amp;cDXGF&amp;Ex&amp;HV_AirDist</v>
      </c>
      <c r="O710" t="s">
        <v>10672</v>
      </c>
      <c r="P710">
        <v>0</v>
      </c>
      <c r="Q710" t="s">
        <v>10666</v>
      </c>
      <c r="R710" t="s">
        <v>52</v>
      </c>
      <c r="S710" t="s">
        <v>10734</v>
      </c>
      <c r="T710" t="s">
        <v>53</v>
      </c>
      <c r="U710" t="s">
        <v>53</v>
      </c>
    </row>
    <row r="711" spans="1:28" x14ac:dyDescent="0.3">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65"/>
        <v>ERC&amp;0&amp;cDXGF&amp;Ex&amp;HV_AirDist</v>
      </c>
      <c r="O711" t="s">
        <v>10735</v>
      </c>
      <c r="P711">
        <v>0</v>
      </c>
      <c r="Q711" t="s">
        <v>10666</v>
      </c>
      <c r="R711" t="s">
        <v>52</v>
      </c>
      <c r="S711" t="s">
        <v>10734</v>
      </c>
      <c r="T711" t="s">
        <v>53</v>
      </c>
      <c r="U711" t="s">
        <v>53</v>
      </c>
    </row>
    <row r="712" spans="1:28" x14ac:dyDescent="0.3">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65"/>
        <v>ESe&amp;0&amp;cDXGF&amp;Ex&amp;HV_AirDist</v>
      </c>
      <c r="O712" t="s">
        <v>10736</v>
      </c>
      <c r="P712">
        <v>0</v>
      </c>
      <c r="Q712" t="s">
        <v>10666</v>
      </c>
      <c r="R712" t="s">
        <v>52</v>
      </c>
      <c r="S712" t="s">
        <v>10734</v>
      </c>
      <c r="T712" t="s">
        <v>53</v>
      </c>
      <c r="U712" t="s">
        <v>53</v>
      </c>
    </row>
    <row r="713" spans="1:28" x14ac:dyDescent="0.3">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65"/>
        <v>EUn&amp;0&amp;cDXGF&amp;Ex&amp;HV_AirDist</v>
      </c>
      <c r="O713" t="s">
        <v>10737</v>
      </c>
      <c r="P713">
        <v>0</v>
      </c>
      <c r="Q713" t="s">
        <v>10666</v>
      </c>
      <c r="R713" t="s">
        <v>52</v>
      </c>
      <c r="S713" t="s">
        <v>10734</v>
      </c>
      <c r="T713" t="s">
        <v>53</v>
      </c>
      <c r="U713" t="s">
        <v>53</v>
      </c>
    </row>
    <row r="714" spans="1:28" x14ac:dyDescent="0.3">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65"/>
        <v>Gro&amp;0&amp;cDXGF&amp;Ex&amp;HV_AirDist</v>
      </c>
      <c r="O714" t="s">
        <v>10738</v>
      </c>
      <c r="P714">
        <v>0</v>
      </c>
      <c r="Q714" t="s">
        <v>10666</v>
      </c>
      <c r="R714" t="s">
        <v>52</v>
      </c>
      <c r="S714" t="s">
        <v>10734</v>
      </c>
      <c r="T714" t="s">
        <v>53</v>
      </c>
      <c r="U714" t="s">
        <v>53</v>
      </c>
    </row>
    <row r="715" spans="1:28" x14ac:dyDescent="0.3">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65"/>
        <v>Hsp&amp;0&amp;cDXGF&amp;Ex&amp;HV_AirDist</v>
      </c>
      <c r="O715" t="s">
        <v>10739</v>
      </c>
      <c r="P715">
        <v>0</v>
      </c>
      <c r="Q715" t="s">
        <v>10666</v>
      </c>
      <c r="R715" t="s">
        <v>52</v>
      </c>
      <c r="S715" t="s">
        <v>10734</v>
      </c>
      <c r="T715" t="s">
        <v>53</v>
      </c>
      <c r="U715" t="s">
        <v>53</v>
      </c>
    </row>
    <row r="716" spans="1:28" x14ac:dyDescent="0.3">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65"/>
        <v>Htl&amp;0&amp;cDXGF&amp;Ex&amp;HV_AirDist</v>
      </c>
      <c r="O716" t="s">
        <v>10673</v>
      </c>
      <c r="P716">
        <v>0</v>
      </c>
      <c r="Q716" t="s">
        <v>10666</v>
      </c>
      <c r="R716" t="s">
        <v>52</v>
      </c>
      <c r="S716" t="s">
        <v>10734</v>
      </c>
      <c r="T716" t="s">
        <v>53</v>
      </c>
      <c r="U716" t="s">
        <v>53</v>
      </c>
    </row>
    <row r="717" spans="1:28" x14ac:dyDescent="0.3">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65"/>
        <v>MBT&amp;0&amp;cDXGF&amp;Ex&amp;HV_AirDist</v>
      </c>
      <c r="O717" t="s">
        <v>10740</v>
      </c>
      <c r="P717">
        <v>0</v>
      </c>
      <c r="Q717" t="s">
        <v>10666</v>
      </c>
      <c r="R717" t="s">
        <v>52</v>
      </c>
      <c r="S717" t="s">
        <v>10734</v>
      </c>
      <c r="T717" t="s">
        <v>53</v>
      </c>
      <c r="U717" t="s">
        <v>53</v>
      </c>
    </row>
    <row r="718" spans="1:28" x14ac:dyDescent="0.3">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65"/>
        <v>MLI&amp;0&amp;cDXGF&amp;Ex&amp;HV_AirDist</v>
      </c>
      <c r="O718" t="s">
        <v>10741</v>
      </c>
      <c r="P718">
        <v>0</v>
      </c>
      <c r="Q718" t="s">
        <v>10666</v>
      </c>
      <c r="R718" t="s">
        <v>52</v>
      </c>
      <c r="S718" t="s">
        <v>10734</v>
      </c>
      <c r="T718" t="s">
        <v>53</v>
      </c>
      <c r="U718" t="s">
        <v>53</v>
      </c>
    </row>
    <row r="719" spans="1:28" x14ac:dyDescent="0.3">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65"/>
        <v>Mtl&amp;0&amp;cDXGF&amp;Ex&amp;HV_AirDist</v>
      </c>
      <c r="O719" t="s">
        <v>10742</v>
      </c>
      <c r="P719">
        <v>0</v>
      </c>
      <c r="Q719" t="s">
        <v>10666</v>
      </c>
      <c r="R719" t="s">
        <v>52</v>
      </c>
      <c r="S719" t="s">
        <v>10734</v>
      </c>
      <c r="T719" t="s">
        <v>53</v>
      </c>
      <c r="U719" t="s">
        <v>53</v>
      </c>
    </row>
    <row r="720" spans="1:28" x14ac:dyDescent="0.3">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65"/>
        <v>Nrs&amp;0&amp;cDXGF&amp;Ex&amp;HV_AirDist</v>
      </c>
      <c r="O720" t="s">
        <v>10743</v>
      </c>
      <c r="P720">
        <v>0</v>
      </c>
      <c r="Q720" t="s">
        <v>10666</v>
      </c>
      <c r="R720" t="s">
        <v>52</v>
      </c>
      <c r="S720" t="s">
        <v>10734</v>
      </c>
      <c r="T720" t="s">
        <v>53</v>
      </c>
      <c r="U720" t="s">
        <v>53</v>
      </c>
    </row>
    <row r="721" spans="1:21" x14ac:dyDescent="0.3">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65"/>
        <v>OfL&amp;0&amp;cDXGF&amp;Ex&amp;HV_AirDist</v>
      </c>
      <c r="O721" t="s">
        <v>10744</v>
      </c>
      <c r="P721">
        <v>0</v>
      </c>
      <c r="Q721" t="s">
        <v>10666</v>
      </c>
      <c r="R721" t="s">
        <v>52</v>
      </c>
      <c r="S721" t="s">
        <v>10734</v>
      </c>
      <c r="T721" t="s">
        <v>53</v>
      </c>
      <c r="U721" t="s">
        <v>53</v>
      </c>
    </row>
    <row r="722" spans="1:21" x14ac:dyDescent="0.3">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65"/>
        <v>OfS&amp;0&amp;cDXGF&amp;Ex&amp;HV_AirDist</v>
      </c>
      <c r="O722" t="s">
        <v>10745</v>
      </c>
      <c r="P722">
        <v>0</v>
      </c>
      <c r="Q722" t="s">
        <v>10666</v>
      </c>
      <c r="R722" t="s">
        <v>52</v>
      </c>
      <c r="S722" t="s">
        <v>10734</v>
      </c>
      <c r="T722" t="s">
        <v>53</v>
      </c>
      <c r="U722" t="s">
        <v>53</v>
      </c>
    </row>
    <row r="723" spans="1:21" x14ac:dyDescent="0.3">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65"/>
        <v>RFF&amp;0&amp;cDXGF&amp;Ex&amp;HV_AirDist</v>
      </c>
      <c r="O723" t="s">
        <v>10746</v>
      </c>
      <c r="P723">
        <v>0</v>
      </c>
      <c r="Q723" t="s">
        <v>10666</v>
      </c>
      <c r="R723" t="s">
        <v>52</v>
      </c>
      <c r="S723" t="s">
        <v>10734</v>
      </c>
      <c r="T723" t="s">
        <v>53</v>
      </c>
      <c r="U723" t="s">
        <v>53</v>
      </c>
    </row>
    <row r="724" spans="1:21" x14ac:dyDescent="0.3">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65"/>
        <v>RSD&amp;0&amp;cDXGF&amp;Ex&amp;HV_AirDist</v>
      </c>
      <c r="O724" t="s">
        <v>10747</v>
      </c>
      <c r="P724">
        <v>0</v>
      </c>
      <c r="Q724" t="s">
        <v>10666</v>
      </c>
      <c r="R724" t="s">
        <v>52</v>
      </c>
      <c r="S724" t="s">
        <v>10734</v>
      </c>
      <c r="T724" t="s">
        <v>53</v>
      </c>
      <c r="U724" t="s">
        <v>53</v>
      </c>
    </row>
    <row r="725" spans="1:21" x14ac:dyDescent="0.3">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65"/>
        <v>Rt3&amp;0&amp;cDXGF&amp;Ex&amp;HV_AirDist</v>
      </c>
      <c r="O725" t="s">
        <v>10748</v>
      </c>
      <c r="P725">
        <v>0</v>
      </c>
      <c r="Q725" t="s">
        <v>10666</v>
      </c>
      <c r="R725" t="s">
        <v>52</v>
      </c>
      <c r="S725" t="s">
        <v>10734</v>
      </c>
      <c r="T725" t="s">
        <v>53</v>
      </c>
      <c r="U725" t="s">
        <v>53</v>
      </c>
    </row>
    <row r="726" spans="1:21" x14ac:dyDescent="0.3">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65"/>
        <v>RtL&amp;0&amp;cDXGF&amp;Ex&amp;HV_AirDist</v>
      </c>
      <c r="O726" t="s">
        <v>10749</v>
      </c>
      <c r="P726">
        <v>0</v>
      </c>
      <c r="Q726" t="s">
        <v>10666</v>
      </c>
      <c r="R726" t="s">
        <v>52</v>
      </c>
      <c r="S726" t="s">
        <v>10734</v>
      </c>
      <c r="T726" t="s">
        <v>53</v>
      </c>
      <c r="U726" t="s">
        <v>53</v>
      </c>
    </row>
    <row r="727" spans="1:21" x14ac:dyDescent="0.3">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65"/>
        <v>RtS&amp;0&amp;cDXGF&amp;Ex&amp;HV_AirDist</v>
      </c>
      <c r="O727" t="s">
        <v>10750</v>
      </c>
      <c r="P727">
        <v>0</v>
      </c>
      <c r="Q727" t="s">
        <v>10666</v>
      </c>
      <c r="R727" t="s">
        <v>52</v>
      </c>
      <c r="S727" t="s">
        <v>10734</v>
      </c>
      <c r="T727" t="s">
        <v>53</v>
      </c>
      <c r="U727" t="s">
        <v>53</v>
      </c>
    </row>
    <row r="728" spans="1:21" x14ac:dyDescent="0.3">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65"/>
        <v>SCn&amp;0&amp;cDXGF&amp;Ex&amp;HV_AirDist</v>
      </c>
      <c r="O728" t="s">
        <v>10751</v>
      </c>
      <c r="P728">
        <v>0</v>
      </c>
      <c r="Q728" t="s">
        <v>10666</v>
      </c>
      <c r="R728" t="s">
        <v>52</v>
      </c>
      <c r="S728" t="s">
        <v>10734</v>
      </c>
      <c r="T728" t="s">
        <v>53</v>
      </c>
      <c r="U728" t="s">
        <v>53</v>
      </c>
    </row>
    <row r="729" spans="1:21" x14ac:dyDescent="0.3">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65"/>
        <v>Asm&amp;0&amp;cDXHP&amp;Ex&amp;HV_AirDist</v>
      </c>
      <c r="O729" t="s">
        <v>10670</v>
      </c>
      <c r="P729">
        <v>0</v>
      </c>
      <c r="Q729" t="s">
        <v>10752</v>
      </c>
      <c r="R729" t="s">
        <v>52</v>
      </c>
      <c r="S729" t="s">
        <v>10734</v>
      </c>
      <c r="T729" t="s">
        <v>53</v>
      </c>
      <c r="U729" t="s">
        <v>53</v>
      </c>
    </row>
    <row r="730" spans="1:21" x14ac:dyDescent="0.3">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65"/>
        <v>ECC&amp;0&amp;cDXHP&amp;Ex&amp;HV_AirDist</v>
      </c>
      <c r="O730" t="s">
        <v>10671</v>
      </c>
      <c r="P730">
        <v>0</v>
      </c>
      <c r="Q730" t="s">
        <v>10752</v>
      </c>
      <c r="R730" t="s">
        <v>52</v>
      </c>
      <c r="S730" t="s">
        <v>10734</v>
      </c>
      <c r="T730" t="s">
        <v>53</v>
      </c>
      <c r="U730" t="s">
        <v>53</v>
      </c>
    </row>
    <row r="731" spans="1:21" x14ac:dyDescent="0.3">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65"/>
        <v>EPr&amp;0&amp;cDXHP&amp;Ex&amp;HV_AirDist</v>
      </c>
      <c r="O731" t="s">
        <v>10672</v>
      </c>
      <c r="P731">
        <v>0</v>
      </c>
      <c r="Q731" t="s">
        <v>10752</v>
      </c>
      <c r="R731" t="s">
        <v>52</v>
      </c>
      <c r="S731" t="s">
        <v>10734</v>
      </c>
      <c r="T731" t="s">
        <v>53</v>
      </c>
      <c r="U731" t="s">
        <v>53</v>
      </c>
    </row>
    <row r="732" spans="1:21" x14ac:dyDescent="0.3">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65"/>
        <v>ERC&amp;0&amp;cDXHP&amp;Ex&amp;HV_AirDist</v>
      </c>
      <c r="O732" t="s">
        <v>10735</v>
      </c>
      <c r="P732">
        <v>0</v>
      </c>
      <c r="Q732" t="s">
        <v>10752</v>
      </c>
      <c r="R732" t="s">
        <v>52</v>
      </c>
      <c r="S732" t="s">
        <v>10734</v>
      </c>
      <c r="T732" t="s">
        <v>53</v>
      </c>
      <c r="U732" t="s">
        <v>53</v>
      </c>
    </row>
    <row r="733" spans="1:21" x14ac:dyDescent="0.3">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65"/>
        <v>ESe&amp;0&amp;cDXHP&amp;Ex&amp;HV_AirDist</v>
      </c>
      <c r="O733" t="s">
        <v>10736</v>
      </c>
      <c r="P733">
        <v>0</v>
      </c>
      <c r="Q733" t="s">
        <v>10752</v>
      </c>
      <c r="R733" t="s">
        <v>52</v>
      </c>
      <c r="S733" t="s">
        <v>10734</v>
      </c>
      <c r="T733" t="s">
        <v>53</v>
      </c>
      <c r="U733" t="s">
        <v>53</v>
      </c>
    </row>
    <row r="734" spans="1:21" x14ac:dyDescent="0.3">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65"/>
        <v>EUn&amp;0&amp;cDXHP&amp;Ex&amp;HV_AirDist</v>
      </c>
      <c r="O734" t="s">
        <v>10737</v>
      </c>
      <c r="P734">
        <v>0</v>
      </c>
      <c r="Q734" t="s">
        <v>10752</v>
      </c>
      <c r="R734" t="s">
        <v>52</v>
      </c>
      <c r="S734" t="s">
        <v>10734</v>
      </c>
      <c r="T734" t="s">
        <v>53</v>
      </c>
      <c r="U734" t="s">
        <v>53</v>
      </c>
    </row>
    <row r="735" spans="1:21" x14ac:dyDescent="0.3">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65"/>
        <v>Gro&amp;0&amp;cDXHP&amp;Ex&amp;HV_AirDist</v>
      </c>
      <c r="O735" t="s">
        <v>10738</v>
      </c>
      <c r="P735">
        <v>0</v>
      </c>
      <c r="Q735" t="s">
        <v>10752</v>
      </c>
      <c r="R735" t="s">
        <v>52</v>
      </c>
      <c r="S735" t="s">
        <v>10734</v>
      </c>
      <c r="T735" t="s">
        <v>53</v>
      </c>
      <c r="U735" t="s">
        <v>53</v>
      </c>
    </row>
    <row r="736" spans="1:21" x14ac:dyDescent="0.3">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78">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x14ac:dyDescent="0.3">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78"/>
        <v>Htl&amp;0&amp;cDXHP&amp;Ex&amp;HV_AirDist</v>
      </c>
      <c r="O737" t="s">
        <v>10673</v>
      </c>
      <c r="P737">
        <v>0</v>
      </c>
      <c r="Q737" t="s">
        <v>10752</v>
      </c>
      <c r="R737" t="s">
        <v>52</v>
      </c>
      <c r="S737" t="s">
        <v>10734</v>
      </c>
      <c r="T737" t="s">
        <v>53</v>
      </c>
      <c r="U737" t="s">
        <v>53</v>
      </c>
    </row>
    <row r="738" spans="1:21" x14ac:dyDescent="0.3">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78"/>
        <v>MBT&amp;0&amp;cDXHP&amp;Ex&amp;HV_AirDist</v>
      </c>
      <c r="O738" t="s">
        <v>10740</v>
      </c>
      <c r="P738">
        <v>0</v>
      </c>
      <c r="Q738" t="s">
        <v>10752</v>
      </c>
      <c r="R738" t="s">
        <v>52</v>
      </c>
      <c r="S738" t="s">
        <v>10734</v>
      </c>
      <c r="T738" t="s">
        <v>53</v>
      </c>
      <c r="U738" t="s">
        <v>53</v>
      </c>
    </row>
    <row r="739" spans="1:21" x14ac:dyDescent="0.3">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78"/>
        <v>MLI&amp;0&amp;cDXHP&amp;Ex&amp;HV_AirDist</v>
      </c>
      <c r="O739" t="s">
        <v>10741</v>
      </c>
      <c r="P739">
        <v>0</v>
      </c>
      <c r="Q739" t="s">
        <v>10752</v>
      </c>
      <c r="R739" t="s">
        <v>52</v>
      </c>
      <c r="S739" t="s">
        <v>10734</v>
      </c>
      <c r="T739" t="s">
        <v>53</v>
      </c>
      <c r="U739" t="s">
        <v>53</v>
      </c>
    </row>
    <row r="740" spans="1:21" x14ac:dyDescent="0.3">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78"/>
        <v>Mtl&amp;0&amp;cDXHP&amp;Ex&amp;HV_AirDist</v>
      </c>
      <c r="O740" t="s">
        <v>10742</v>
      </c>
      <c r="P740">
        <v>0</v>
      </c>
      <c r="Q740" t="s">
        <v>10752</v>
      </c>
      <c r="R740" t="s">
        <v>52</v>
      </c>
      <c r="S740" t="s">
        <v>10734</v>
      </c>
      <c r="T740" t="s">
        <v>53</v>
      </c>
      <c r="U740" t="s">
        <v>53</v>
      </c>
    </row>
    <row r="741" spans="1:21" x14ac:dyDescent="0.3">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78"/>
        <v>Nrs&amp;0&amp;cDXHP&amp;Ex&amp;HV_AirDist</v>
      </c>
      <c r="O741" t="s">
        <v>10743</v>
      </c>
      <c r="P741">
        <v>0</v>
      </c>
      <c r="Q741" t="s">
        <v>10752</v>
      </c>
      <c r="R741" t="s">
        <v>52</v>
      </c>
      <c r="S741" t="s">
        <v>10734</v>
      </c>
      <c r="T741" t="s">
        <v>53</v>
      </c>
      <c r="U741" t="s">
        <v>53</v>
      </c>
    </row>
    <row r="742" spans="1:21" x14ac:dyDescent="0.3">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78"/>
        <v>OfL&amp;0&amp;cDXHP&amp;Ex&amp;HV_AirDist</v>
      </c>
      <c r="O742" t="s">
        <v>10744</v>
      </c>
      <c r="P742">
        <v>0</v>
      </c>
      <c r="Q742" t="s">
        <v>10752</v>
      </c>
      <c r="R742" t="s">
        <v>52</v>
      </c>
      <c r="S742" t="s">
        <v>10734</v>
      </c>
      <c r="T742" t="s">
        <v>53</v>
      </c>
      <c r="U742" t="s">
        <v>53</v>
      </c>
    </row>
    <row r="743" spans="1:21" x14ac:dyDescent="0.3">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78"/>
        <v>OfS&amp;0&amp;cDXHP&amp;Ex&amp;HV_AirDist</v>
      </c>
      <c r="O743" t="s">
        <v>10745</v>
      </c>
      <c r="P743">
        <v>0</v>
      </c>
      <c r="Q743" t="s">
        <v>10752</v>
      </c>
      <c r="R743" t="s">
        <v>52</v>
      </c>
      <c r="S743" t="s">
        <v>10734</v>
      </c>
      <c r="T743" t="s">
        <v>53</v>
      </c>
      <c r="U743" t="s">
        <v>53</v>
      </c>
    </row>
    <row r="744" spans="1:21" x14ac:dyDescent="0.3">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78"/>
        <v>RFF&amp;0&amp;cDXHP&amp;Ex&amp;HV_AirDist</v>
      </c>
      <c r="O744" t="s">
        <v>10746</v>
      </c>
      <c r="P744">
        <v>0</v>
      </c>
      <c r="Q744" t="s">
        <v>10752</v>
      </c>
      <c r="R744" t="s">
        <v>52</v>
      </c>
      <c r="S744" t="s">
        <v>10734</v>
      </c>
      <c r="T744" t="s">
        <v>53</v>
      </c>
      <c r="U744" t="s">
        <v>53</v>
      </c>
    </row>
    <row r="745" spans="1:21" x14ac:dyDescent="0.3">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78"/>
        <v>RSD&amp;0&amp;cDXHP&amp;Ex&amp;HV_AirDist</v>
      </c>
      <c r="O745" t="s">
        <v>10747</v>
      </c>
      <c r="P745">
        <v>0</v>
      </c>
      <c r="Q745" t="s">
        <v>10752</v>
      </c>
      <c r="R745" t="s">
        <v>52</v>
      </c>
      <c r="S745" t="s">
        <v>10734</v>
      </c>
      <c r="T745" t="s">
        <v>53</v>
      </c>
      <c r="U745" t="s">
        <v>53</v>
      </c>
    </row>
    <row r="746" spans="1:21" x14ac:dyDescent="0.3">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78"/>
        <v>Rt3&amp;0&amp;cDXHP&amp;Ex&amp;HV_AirDist</v>
      </c>
      <c r="O746" t="s">
        <v>10748</v>
      </c>
      <c r="P746">
        <v>0</v>
      </c>
      <c r="Q746" t="s">
        <v>10752</v>
      </c>
      <c r="R746" t="s">
        <v>52</v>
      </c>
      <c r="S746" t="s">
        <v>10734</v>
      </c>
      <c r="T746" t="s">
        <v>53</v>
      </c>
      <c r="U746" t="s">
        <v>53</v>
      </c>
    </row>
    <row r="747" spans="1:21" x14ac:dyDescent="0.3">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78"/>
        <v>RtL&amp;0&amp;cDXHP&amp;Ex&amp;HV_AirDist</v>
      </c>
      <c r="O747" t="s">
        <v>10749</v>
      </c>
      <c r="P747">
        <v>0</v>
      </c>
      <c r="Q747" t="s">
        <v>10752</v>
      </c>
      <c r="R747" t="s">
        <v>52</v>
      </c>
      <c r="S747" t="s">
        <v>10734</v>
      </c>
      <c r="T747" t="s">
        <v>53</v>
      </c>
      <c r="U747" t="s">
        <v>53</v>
      </c>
    </row>
    <row r="748" spans="1:21" x14ac:dyDescent="0.3">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78"/>
        <v>RtS&amp;0&amp;cDXHP&amp;Ex&amp;HV_AirDist</v>
      </c>
      <c r="O748" t="s">
        <v>10750</v>
      </c>
      <c r="P748">
        <v>0</v>
      </c>
      <c r="Q748" t="s">
        <v>10752</v>
      </c>
      <c r="R748" t="s">
        <v>52</v>
      </c>
      <c r="S748" t="s">
        <v>10734</v>
      </c>
      <c r="T748" t="s">
        <v>53</v>
      </c>
      <c r="U748" t="s">
        <v>53</v>
      </c>
    </row>
    <row r="749" spans="1:21" x14ac:dyDescent="0.3">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78"/>
        <v>SCn&amp;0&amp;cDXHP&amp;Ex&amp;HV_AirDist</v>
      </c>
      <c r="O749" t="s">
        <v>10751</v>
      </c>
      <c r="P749">
        <v>0</v>
      </c>
      <c r="Q749" t="s">
        <v>10752</v>
      </c>
      <c r="R749" t="s">
        <v>52</v>
      </c>
      <c r="S749" t="s">
        <v>10734</v>
      </c>
      <c r="T749" t="s">
        <v>53</v>
      </c>
      <c r="U749" t="s">
        <v>53</v>
      </c>
    </row>
    <row r="750" spans="1:21" x14ac:dyDescent="0.3">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78"/>
        <v>Asm&amp;0&amp;cDXOH&amp;Ex&amp;HV_AirDist</v>
      </c>
      <c r="O750" t="s">
        <v>10670</v>
      </c>
      <c r="P750">
        <v>0</v>
      </c>
      <c r="Q750" t="s">
        <v>10753</v>
      </c>
      <c r="R750" t="s">
        <v>52</v>
      </c>
      <c r="S750" t="s">
        <v>10734</v>
      </c>
      <c r="T750" t="s">
        <v>53</v>
      </c>
      <c r="U750" t="s">
        <v>53</v>
      </c>
    </row>
    <row r="751" spans="1:21" x14ac:dyDescent="0.3">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78"/>
        <v>ECC&amp;0&amp;cDXOH&amp;Ex&amp;HV_AirDist</v>
      </c>
      <c r="O751" t="s">
        <v>10671</v>
      </c>
      <c r="P751">
        <v>0</v>
      </c>
      <c r="Q751" t="s">
        <v>10753</v>
      </c>
      <c r="R751" t="s">
        <v>52</v>
      </c>
      <c r="S751" t="s">
        <v>10734</v>
      </c>
      <c r="T751" t="s">
        <v>53</v>
      </c>
      <c r="U751" t="s">
        <v>53</v>
      </c>
    </row>
    <row r="752" spans="1:21" x14ac:dyDescent="0.3">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78"/>
        <v>EPr&amp;0&amp;cDXOH&amp;Ex&amp;HV_AirDist</v>
      </c>
      <c r="O752" t="s">
        <v>10672</v>
      </c>
      <c r="P752">
        <v>0</v>
      </c>
      <c r="Q752" t="s">
        <v>10753</v>
      </c>
      <c r="R752" t="s">
        <v>52</v>
      </c>
      <c r="S752" t="s">
        <v>10734</v>
      </c>
      <c r="T752" t="s">
        <v>53</v>
      </c>
      <c r="U752" t="s">
        <v>53</v>
      </c>
    </row>
    <row r="753" spans="1:21" x14ac:dyDescent="0.3">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78"/>
        <v>ERC&amp;0&amp;cDXOH&amp;Ex&amp;HV_AirDist</v>
      </c>
      <c r="O753" t="s">
        <v>10735</v>
      </c>
      <c r="P753">
        <v>0</v>
      </c>
      <c r="Q753" t="s">
        <v>10753</v>
      </c>
      <c r="R753" t="s">
        <v>52</v>
      </c>
      <c r="S753" t="s">
        <v>10734</v>
      </c>
      <c r="T753" t="s">
        <v>53</v>
      </c>
      <c r="U753" t="s">
        <v>53</v>
      </c>
    </row>
    <row r="754" spans="1:21" x14ac:dyDescent="0.3">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78"/>
        <v>ESe&amp;0&amp;cDXOH&amp;Ex&amp;HV_AirDist</v>
      </c>
      <c r="O754" t="s">
        <v>10736</v>
      </c>
      <c r="P754">
        <v>0</v>
      </c>
      <c r="Q754" t="s">
        <v>10753</v>
      </c>
      <c r="R754" t="s">
        <v>52</v>
      </c>
      <c r="S754" t="s">
        <v>10734</v>
      </c>
      <c r="T754" t="s">
        <v>53</v>
      </c>
      <c r="U754" t="s">
        <v>53</v>
      </c>
    </row>
    <row r="755" spans="1:21" x14ac:dyDescent="0.3">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78"/>
        <v>EUn&amp;0&amp;cDXOH&amp;Ex&amp;HV_AirDist</v>
      </c>
      <c r="O755" t="s">
        <v>10737</v>
      </c>
      <c r="P755">
        <v>0</v>
      </c>
      <c r="Q755" t="s">
        <v>10753</v>
      </c>
      <c r="R755" t="s">
        <v>52</v>
      </c>
      <c r="S755" t="s">
        <v>10734</v>
      </c>
      <c r="T755" t="s">
        <v>53</v>
      </c>
      <c r="U755" t="s">
        <v>53</v>
      </c>
    </row>
    <row r="756" spans="1:21" x14ac:dyDescent="0.3">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78"/>
        <v>Gro&amp;0&amp;cDXOH&amp;Ex&amp;HV_AirDist</v>
      </c>
      <c r="O756" t="s">
        <v>10738</v>
      </c>
      <c r="P756">
        <v>0</v>
      </c>
      <c r="Q756" t="s">
        <v>10753</v>
      </c>
      <c r="R756" t="s">
        <v>52</v>
      </c>
      <c r="S756" t="s">
        <v>10734</v>
      </c>
      <c r="T756" t="s">
        <v>53</v>
      </c>
      <c r="U756" t="s">
        <v>53</v>
      </c>
    </row>
    <row r="757" spans="1:21" x14ac:dyDescent="0.3">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78"/>
        <v>Hsp&amp;0&amp;cDXOH&amp;Ex&amp;HV_AirDist</v>
      </c>
      <c r="O757" t="s">
        <v>10739</v>
      </c>
      <c r="P757">
        <v>0</v>
      </c>
      <c r="Q757" t="s">
        <v>10753</v>
      </c>
      <c r="R757" t="s">
        <v>52</v>
      </c>
      <c r="S757" t="s">
        <v>10734</v>
      </c>
      <c r="T757" t="s">
        <v>53</v>
      </c>
      <c r="U757" t="s">
        <v>53</v>
      </c>
    </row>
    <row r="758" spans="1:21" x14ac:dyDescent="0.3">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78"/>
        <v>Htl&amp;0&amp;cDXOH&amp;Ex&amp;HV_AirDist</v>
      </c>
      <c r="O758" t="s">
        <v>10673</v>
      </c>
      <c r="P758">
        <v>0</v>
      </c>
      <c r="Q758" t="s">
        <v>10753</v>
      </c>
      <c r="R758" t="s">
        <v>52</v>
      </c>
      <c r="S758" t="s">
        <v>10734</v>
      </c>
      <c r="T758" t="s">
        <v>53</v>
      </c>
      <c r="U758" t="s">
        <v>53</v>
      </c>
    </row>
    <row r="759" spans="1:21" x14ac:dyDescent="0.3">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78"/>
        <v>MBT&amp;0&amp;cDXOH&amp;Ex&amp;HV_AirDist</v>
      </c>
      <c r="O759" t="s">
        <v>10740</v>
      </c>
      <c r="P759">
        <v>0</v>
      </c>
      <c r="Q759" t="s">
        <v>10753</v>
      </c>
      <c r="R759" t="s">
        <v>52</v>
      </c>
      <c r="S759" t="s">
        <v>10734</v>
      </c>
      <c r="T759" t="s">
        <v>53</v>
      </c>
      <c r="U759" t="s">
        <v>53</v>
      </c>
    </row>
    <row r="760" spans="1:21" x14ac:dyDescent="0.3">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78"/>
        <v>MLI&amp;0&amp;cDXOH&amp;Ex&amp;HV_AirDist</v>
      </c>
      <c r="O760" t="s">
        <v>10741</v>
      </c>
      <c r="P760">
        <v>0</v>
      </c>
      <c r="Q760" t="s">
        <v>10753</v>
      </c>
      <c r="R760" t="s">
        <v>52</v>
      </c>
      <c r="S760" t="s">
        <v>10734</v>
      </c>
      <c r="T760" t="s">
        <v>53</v>
      </c>
      <c r="U760" t="s">
        <v>53</v>
      </c>
    </row>
    <row r="761" spans="1:21" x14ac:dyDescent="0.3">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78"/>
        <v>Mtl&amp;0&amp;cDXOH&amp;Ex&amp;HV_AirDist</v>
      </c>
      <c r="O761" t="s">
        <v>10742</v>
      </c>
      <c r="P761">
        <v>0</v>
      </c>
      <c r="Q761" t="s">
        <v>10753</v>
      </c>
      <c r="R761" t="s">
        <v>52</v>
      </c>
      <c r="S761" t="s">
        <v>10734</v>
      </c>
      <c r="T761" t="s">
        <v>53</v>
      </c>
      <c r="U761" t="s">
        <v>53</v>
      </c>
    </row>
    <row r="762" spans="1:21" x14ac:dyDescent="0.3">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78"/>
        <v>Nrs&amp;0&amp;cDXOH&amp;Ex&amp;HV_AirDist</v>
      </c>
      <c r="O762" t="s">
        <v>10743</v>
      </c>
      <c r="P762">
        <v>0</v>
      </c>
      <c r="Q762" t="s">
        <v>10753</v>
      </c>
      <c r="R762" t="s">
        <v>52</v>
      </c>
      <c r="S762" t="s">
        <v>10734</v>
      </c>
      <c r="T762" t="s">
        <v>53</v>
      </c>
      <c r="U762" t="s">
        <v>53</v>
      </c>
    </row>
    <row r="763" spans="1:21" x14ac:dyDescent="0.3">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78"/>
        <v>OfL&amp;0&amp;cDXOH&amp;Ex&amp;HV_AirDist</v>
      </c>
      <c r="O763" t="s">
        <v>10744</v>
      </c>
      <c r="P763">
        <v>0</v>
      </c>
      <c r="Q763" t="s">
        <v>10753</v>
      </c>
      <c r="R763" t="s">
        <v>52</v>
      </c>
      <c r="S763" t="s">
        <v>10734</v>
      </c>
      <c r="T763" t="s">
        <v>53</v>
      </c>
      <c r="U763" t="s">
        <v>53</v>
      </c>
    </row>
    <row r="764" spans="1:21" x14ac:dyDescent="0.3">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78"/>
        <v>OfS&amp;0&amp;cDXOH&amp;Ex&amp;HV_AirDist</v>
      </c>
      <c r="O764" t="s">
        <v>10745</v>
      </c>
      <c r="P764">
        <v>0</v>
      </c>
      <c r="Q764" t="s">
        <v>10753</v>
      </c>
      <c r="R764" t="s">
        <v>52</v>
      </c>
      <c r="S764" t="s">
        <v>10734</v>
      </c>
      <c r="T764" t="s">
        <v>53</v>
      </c>
      <c r="U764" t="s">
        <v>53</v>
      </c>
    </row>
    <row r="765" spans="1:21" x14ac:dyDescent="0.3">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78"/>
        <v>RFF&amp;0&amp;cDXOH&amp;Ex&amp;HV_AirDist</v>
      </c>
      <c r="O765" t="s">
        <v>10746</v>
      </c>
      <c r="P765">
        <v>0</v>
      </c>
      <c r="Q765" t="s">
        <v>10753</v>
      </c>
      <c r="R765" t="s">
        <v>52</v>
      </c>
      <c r="S765" t="s">
        <v>10734</v>
      </c>
      <c r="T765" t="s">
        <v>53</v>
      </c>
      <c r="U765" t="s">
        <v>53</v>
      </c>
    </row>
    <row r="766" spans="1:21" x14ac:dyDescent="0.3">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78"/>
        <v>RSD&amp;0&amp;cDXOH&amp;Ex&amp;HV_AirDist</v>
      </c>
      <c r="O766" t="s">
        <v>10747</v>
      </c>
      <c r="P766">
        <v>0</v>
      </c>
      <c r="Q766" t="s">
        <v>10753</v>
      </c>
      <c r="R766" t="s">
        <v>52</v>
      </c>
      <c r="S766" t="s">
        <v>10734</v>
      </c>
      <c r="T766" t="s">
        <v>53</v>
      </c>
      <c r="U766" t="s">
        <v>53</v>
      </c>
    </row>
    <row r="767" spans="1:21" x14ac:dyDescent="0.3">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78"/>
        <v>Rt3&amp;0&amp;cDXOH&amp;Ex&amp;HV_AirDist</v>
      </c>
      <c r="O767" t="s">
        <v>10748</v>
      </c>
      <c r="P767">
        <v>0</v>
      </c>
      <c r="Q767" t="s">
        <v>10753</v>
      </c>
      <c r="R767" t="s">
        <v>52</v>
      </c>
      <c r="S767" t="s">
        <v>10734</v>
      </c>
      <c r="T767" t="s">
        <v>53</v>
      </c>
      <c r="U767" t="s">
        <v>53</v>
      </c>
    </row>
    <row r="768" spans="1:21" x14ac:dyDescent="0.3">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78"/>
        <v>RtL&amp;0&amp;cDXOH&amp;Ex&amp;HV_AirDist</v>
      </c>
      <c r="O768" t="s">
        <v>10749</v>
      </c>
      <c r="P768">
        <v>0</v>
      </c>
      <c r="Q768" t="s">
        <v>10753</v>
      </c>
      <c r="R768" t="s">
        <v>52</v>
      </c>
      <c r="S768" t="s">
        <v>10734</v>
      </c>
      <c r="T768" t="s">
        <v>53</v>
      </c>
      <c r="U768" t="s">
        <v>53</v>
      </c>
    </row>
    <row r="769" spans="1:27" x14ac:dyDescent="0.3">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78"/>
        <v>RtS&amp;0&amp;cDXOH&amp;Ex&amp;HV_AirDist</v>
      </c>
      <c r="O769" t="s">
        <v>10750</v>
      </c>
      <c r="P769">
        <v>0</v>
      </c>
      <c r="Q769" t="s">
        <v>10753</v>
      </c>
      <c r="R769" t="s">
        <v>52</v>
      </c>
      <c r="S769" t="s">
        <v>10734</v>
      </c>
      <c r="T769" t="s">
        <v>53</v>
      </c>
      <c r="U769" t="s">
        <v>53</v>
      </c>
    </row>
    <row r="770" spans="1:27" x14ac:dyDescent="0.3">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78"/>
        <v>SCn&amp;0&amp;cDXOH&amp;Ex&amp;HV_AirDist</v>
      </c>
      <c r="O770" t="s">
        <v>10751</v>
      </c>
      <c r="P770">
        <v>0</v>
      </c>
      <c r="Q770" t="s">
        <v>10753</v>
      </c>
      <c r="R770" t="s">
        <v>52</v>
      </c>
      <c r="S770" t="s">
        <v>10734</v>
      </c>
      <c r="T770" t="s">
        <v>53</v>
      </c>
      <c r="U770" t="s">
        <v>53</v>
      </c>
    </row>
    <row r="771" spans="1:27" x14ac:dyDescent="0.3">
      <c r="A771" s="3" t="s">
        <v>10754</v>
      </c>
      <c r="B771" s="3" t="s">
        <v>10675</v>
      </c>
      <c r="C771" s="3" t="s">
        <v>10755</v>
      </c>
      <c r="D771" s="3" t="str">
        <f t="shared" ref="D771:D834" si="179">_xlfn.CONCAT(C771, " ", A771,"_",O771)</f>
        <v>SWBE011-01 Windows_DMo</v>
      </c>
      <c r="E771" s="3" t="str">
        <f>CONCATENATE(D771,"_","Msr1")</f>
        <v>SWBE011-01 Windows_DMo_Msr1</v>
      </c>
      <c r="F771" s="50" t="s">
        <v>10769</v>
      </c>
      <c r="G771" s="50" t="s">
        <v>10769</v>
      </c>
      <c r="H771" s="50" t="str">
        <f>K771</f>
        <v>RG-Fenest-ManufWin-rDXGF-Ex</v>
      </c>
      <c r="J771" t="str">
        <f>M771</f>
        <v>RG-Fenest-ManufWin-rDXGF-Eff</v>
      </c>
      <c r="K771" t="s">
        <v>10756</v>
      </c>
      <c r="M771" t="s">
        <v>10757</v>
      </c>
      <c r="N771" s="3" t="str">
        <f t="shared" si="178"/>
        <v>DMo&amp;0&amp;rDXGF&amp;Ex&amp;Fenest__ManufWin</v>
      </c>
      <c r="O771" s="3" t="s">
        <v>62</v>
      </c>
      <c r="P771" s="3">
        <v>0</v>
      </c>
      <c r="Q771" s="3" t="s">
        <v>51</v>
      </c>
      <c r="R771" s="3" t="s">
        <v>52</v>
      </c>
      <c r="S771" s="3" t="s">
        <v>10734</v>
      </c>
      <c r="T771" s="3" t="str">
        <f t="shared" ref="T771:T834" si="180">V771&amp;"__"&amp;W771</f>
        <v>Fenest__ManufWin</v>
      </c>
      <c r="U771" s="3" t="str">
        <f>X771&amp;"__"&amp;Y771</f>
        <v>Fenest__ManufWin</v>
      </c>
      <c r="V771" s="3" t="s">
        <v>785</v>
      </c>
      <c r="W771" s="3" t="s">
        <v>1040</v>
      </c>
      <c r="X771" s="3" t="s">
        <v>785</v>
      </c>
      <c r="Y771" s="3" t="s">
        <v>1040</v>
      </c>
      <c r="AA771" s="3" t="s">
        <v>55</v>
      </c>
    </row>
    <row r="772" spans="1:27" x14ac:dyDescent="0.3">
      <c r="A772" s="3" t="s">
        <v>10754</v>
      </c>
      <c r="B772" s="3" t="s">
        <v>10675</v>
      </c>
      <c r="C772" s="3" t="s">
        <v>10755</v>
      </c>
      <c r="D772" s="3" t="str">
        <f t="shared" si="179"/>
        <v>SWBE011-01 Windows_DMo</v>
      </c>
      <c r="E772" s="3" t="str">
        <f t="shared" ref="E772:E774" si="181">CONCATENATE(D772,"_","Msr1")</f>
        <v>SWBE011-01 Windows_DMo_Msr1</v>
      </c>
      <c r="F772" s="50" t="s">
        <v>10769</v>
      </c>
      <c r="G772" s="50" t="s">
        <v>10769</v>
      </c>
      <c r="H772" s="50" t="str">
        <f t="shared" ref="H772:H835" si="182">K772</f>
        <v>RE-Fenest-ManufWin-rDXHP-Ex</v>
      </c>
      <c r="J772" t="str">
        <f t="shared" ref="J772:J835" si="183">M772</f>
        <v>RE-Fenest-ManufWin-rDXHP-Eff</v>
      </c>
      <c r="K772" t="s">
        <v>10758</v>
      </c>
      <c r="M772" t="s">
        <v>10759</v>
      </c>
      <c r="N772" s="3" t="str">
        <f t="shared" si="178"/>
        <v>DMo&amp;0&amp;rDXHP&amp;Ex&amp;Fenest__ManufWin</v>
      </c>
      <c r="O772" s="3" t="s">
        <v>62</v>
      </c>
      <c r="P772" s="3">
        <v>0</v>
      </c>
      <c r="Q772" s="3" t="s">
        <v>57</v>
      </c>
      <c r="R772" s="3" t="s">
        <v>52</v>
      </c>
      <c r="S772" s="3" t="s">
        <v>10734</v>
      </c>
      <c r="T772" s="3" t="str">
        <f t="shared" si="180"/>
        <v>Fenest__ManufWin</v>
      </c>
      <c r="U772" s="3" t="str">
        <f t="shared" ref="U772:U835" si="184">X772&amp;"__"&amp;Y772</f>
        <v>Fenest__ManufWin</v>
      </c>
      <c r="V772" s="3" t="s">
        <v>785</v>
      </c>
      <c r="W772" s="3" t="s">
        <v>1040</v>
      </c>
      <c r="X772" s="3" t="s">
        <v>785</v>
      </c>
      <c r="Y772" s="3" t="s">
        <v>1040</v>
      </c>
      <c r="AA772" s="3" t="s">
        <v>55</v>
      </c>
    </row>
    <row r="773" spans="1:27" x14ac:dyDescent="0.3">
      <c r="A773" s="3" t="s">
        <v>10754</v>
      </c>
      <c r="B773" s="3" t="s">
        <v>10675</v>
      </c>
      <c r="C773" s="3" t="s">
        <v>10755</v>
      </c>
      <c r="D773" s="3" t="str">
        <f t="shared" si="179"/>
        <v>SWBE011-01 Windows_DMo</v>
      </c>
      <c r="E773" s="3" t="str">
        <f t="shared" si="181"/>
        <v>SWBE011-01 Windows_DMo_Msr1</v>
      </c>
      <c r="F773" s="50" t="s">
        <v>10769</v>
      </c>
      <c r="G773" s="50" t="s">
        <v>10769</v>
      </c>
      <c r="H773" s="50" t="str">
        <f t="shared" si="182"/>
        <v>RE-Fenest-ManufWin-rNCEH-Ex</v>
      </c>
      <c r="J773" t="str">
        <f t="shared" si="183"/>
        <v>RE-Fenest-ManufWin-rNCEH-Eff</v>
      </c>
      <c r="K773" t="s">
        <v>10760</v>
      </c>
      <c r="M773" t="s">
        <v>10761</v>
      </c>
      <c r="N773" s="3" t="str">
        <f t="shared" si="178"/>
        <v>DMo&amp;0&amp;rNCEH&amp;Ex&amp;Fenest__ManufWin</v>
      </c>
      <c r="O773" s="3" t="s">
        <v>62</v>
      </c>
      <c r="P773" s="3">
        <v>0</v>
      </c>
      <c r="Q773" s="3" t="s">
        <v>71</v>
      </c>
      <c r="R773" s="3" t="s">
        <v>52</v>
      </c>
      <c r="S773" s="3" t="s">
        <v>10734</v>
      </c>
      <c r="T773" s="3" t="str">
        <f t="shared" si="180"/>
        <v>Fenest__ManufWin</v>
      </c>
      <c r="U773" s="3" t="str">
        <f t="shared" si="184"/>
        <v>Fenest__ManufWin</v>
      </c>
      <c r="V773" s="3" t="s">
        <v>785</v>
      </c>
      <c r="W773" s="3" t="s">
        <v>1040</v>
      </c>
      <c r="X773" s="3" t="s">
        <v>785</v>
      </c>
      <c r="Y773" s="3" t="s">
        <v>1040</v>
      </c>
      <c r="AA773" s="3" t="s">
        <v>55</v>
      </c>
    </row>
    <row r="774" spans="1:27" x14ac:dyDescent="0.3">
      <c r="A774" s="3" t="s">
        <v>10754</v>
      </c>
      <c r="B774" s="3" t="s">
        <v>10675</v>
      </c>
      <c r="C774" s="3" t="s">
        <v>10755</v>
      </c>
      <c r="D774" s="3" t="str">
        <f t="shared" si="179"/>
        <v>SWBE011-01 Windows_DMo</v>
      </c>
      <c r="E774" s="3" t="str">
        <f t="shared" si="181"/>
        <v>SWBE011-01 Windows_DMo_Msr1</v>
      </c>
      <c r="F774" s="50" t="s">
        <v>10769</v>
      </c>
      <c r="G774" s="50" t="s">
        <v>10769</v>
      </c>
      <c r="H774" s="50" t="str">
        <f t="shared" si="182"/>
        <v>RG-Fenest-ManufWin-rNCGF-Ex</v>
      </c>
      <c r="J774" t="str">
        <f t="shared" si="183"/>
        <v>RG-Fenest-ManufWin-rNCGF-Eff</v>
      </c>
      <c r="K774" t="s">
        <v>10762</v>
      </c>
      <c r="M774" t="s">
        <v>10763</v>
      </c>
      <c r="N774" s="3" t="str">
        <f t="shared" si="178"/>
        <v>DMo&amp;0&amp;rNCGF&amp;Ex&amp;Fenest__ManufWin</v>
      </c>
      <c r="O774" s="3" t="s">
        <v>62</v>
      </c>
      <c r="P774" s="3">
        <v>0</v>
      </c>
      <c r="Q774" s="3" t="s">
        <v>58</v>
      </c>
      <c r="R774" s="3" t="s">
        <v>52</v>
      </c>
      <c r="S774" s="3" t="s">
        <v>10734</v>
      </c>
      <c r="T774" s="3" t="str">
        <f t="shared" si="180"/>
        <v>Fenest__ManufWin</v>
      </c>
      <c r="U774" s="3" t="str">
        <f t="shared" si="184"/>
        <v>Fenest__ManufWin</v>
      </c>
      <c r="V774" s="3" t="s">
        <v>785</v>
      </c>
      <c r="W774" s="3" t="s">
        <v>1040</v>
      </c>
      <c r="X774" s="3" t="s">
        <v>785</v>
      </c>
      <c r="Y774" s="3" t="s">
        <v>1040</v>
      </c>
      <c r="AA774" s="3" t="s">
        <v>55</v>
      </c>
    </row>
    <row r="775" spans="1:27" x14ac:dyDescent="0.3">
      <c r="A775" s="3" t="s">
        <v>10754</v>
      </c>
      <c r="B775" s="3" t="s">
        <v>10675</v>
      </c>
      <c r="C775" s="3" t="s">
        <v>10755</v>
      </c>
      <c r="D775" s="3" t="str">
        <f t="shared" si="179"/>
        <v>SWBE011-01 Windows_DMo</v>
      </c>
      <c r="E775" s="3" t="str">
        <f>CONCATENATE(D775,"_","Msr2")</f>
        <v>SWBE011-01 Windows_DMo_Msr2</v>
      </c>
      <c r="F775" s="50" t="s">
        <v>10769</v>
      </c>
      <c r="G775" s="50" t="s">
        <v>10769</v>
      </c>
      <c r="H775" s="50" t="str">
        <f t="shared" si="182"/>
        <v>RG-Fenest-ManufWin-rDXGF-Ex</v>
      </c>
      <c r="J775" t="str">
        <f t="shared" si="183"/>
        <v>RG-Fenest-ManufWin-rDXGF-Eff</v>
      </c>
      <c r="K775" t="s">
        <v>10756</v>
      </c>
      <c r="M775" t="s">
        <v>10757</v>
      </c>
      <c r="N775" s="3" t="str">
        <f t="shared" si="178"/>
        <v>DMo&amp;0&amp;rDXGF&amp;Ex&amp;Fenest__ManufWin</v>
      </c>
      <c r="O775" s="3" t="s">
        <v>62</v>
      </c>
      <c r="P775" s="3">
        <v>0</v>
      </c>
      <c r="Q775" s="3" t="s">
        <v>51</v>
      </c>
      <c r="R775" s="3" t="s">
        <v>52</v>
      </c>
      <c r="S775" s="3" t="s">
        <v>10734</v>
      </c>
      <c r="T775" s="3" t="str">
        <f t="shared" si="180"/>
        <v>Fenest__ManufWin</v>
      </c>
      <c r="U775" s="3" t="str">
        <f t="shared" si="184"/>
        <v>Fenest__ManufWin</v>
      </c>
      <c r="V775" s="3" t="s">
        <v>785</v>
      </c>
      <c r="W775" s="3" t="s">
        <v>1040</v>
      </c>
      <c r="X775" s="3" t="s">
        <v>785</v>
      </c>
      <c r="Y775" s="3" t="s">
        <v>1040</v>
      </c>
      <c r="AA775" s="3" t="s">
        <v>55</v>
      </c>
    </row>
    <row r="776" spans="1:27" x14ac:dyDescent="0.3">
      <c r="A776" s="3" t="s">
        <v>10754</v>
      </c>
      <c r="B776" s="3" t="s">
        <v>10675</v>
      </c>
      <c r="C776" s="3" t="s">
        <v>10755</v>
      </c>
      <c r="D776" s="3" t="str">
        <f t="shared" si="179"/>
        <v>SWBE011-01 Windows_DMo</v>
      </c>
      <c r="E776" s="3" t="str">
        <f t="shared" ref="E776:E778" si="185">CONCATENATE(D776,"_","Msr2")</f>
        <v>SWBE011-01 Windows_DMo_Msr2</v>
      </c>
      <c r="F776" s="50" t="s">
        <v>10769</v>
      </c>
      <c r="G776" s="50" t="s">
        <v>10769</v>
      </c>
      <c r="H776" s="50" t="str">
        <f t="shared" si="182"/>
        <v>RE-Fenest-ManufWin-rDXHP-Ex</v>
      </c>
      <c r="J776" t="str">
        <f t="shared" si="183"/>
        <v>RE-Fenest-ManufWin-rDXHP-Eff</v>
      </c>
      <c r="K776" t="s">
        <v>10758</v>
      </c>
      <c r="M776" t="s">
        <v>10759</v>
      </c>
      <c r="N776" s="3" t="str">
        <f t="shared" si="178"/>
        <v>DMo&amp;0&amp;rDXHP&amp;Ex&amp;Fenest__ManufWin</v>
      </c>
      <c r="O776" s="3" t="s">
        <v>62</v>
      </c>
      <c r="P776" s="3">
        <v>0</v>
      </c>
      <c r="Q776" s="3" t="s">
        <v>57</v>
      </c>
      <c r="R776" s="3" t="s">
        <v>52</v>
      </c>
      <c r="S776" s="3" t="s">
        <v>10734</v>
      </c>
      <c r="T776" s="3" t="str">
        <f t="shared" si="180"/>
        <v>Fenest__ManufWin</v>
      </c>
      <c r="U776" s="3" t="str">
        <f t="shared" si="184"/>
        <v>Fenest__ManufWin</v>
      </c>
      <c r="V776" s="3" t="s">
        <v>785</v>
      </c>
      <c r="W776" s="3" t="s">
        <v>1040</v>
      </c>
      <c r="X776" s="3" t="s">
        <v>785</v>
      </c>
      <c r="Y776" s="3" t="s">
        <v>1040</v>
      </c>
      <c r="AA776" s="3" t="s">
        <v>55</v>
      </c>
    </row>
    <row r="777" spans="1:27" x14ac:dyDescent="0.3">
      <c r="A777" s="3" t="s">
        <v>10754</v>
      </c>
      <c r="B777" s="3" t="s">
        <v>10675</v>
      </c>
      <c r="C777" s="3" t="s">
        <v>10755</v>
      </c>
      <c r="D777" s="3" t="str">
        <f t="shared" si="179"/>
        <v>SWBE011-01 Windows_DMo</v>
      </c>
      <c r="E777" s="3" t="str">
        <f t="shared" si="185"/>
        <v>SWBE011-01 Windows_DMo_Msr2</v>
      </c>
      <c r="F777" s="50" t="s">
        <v>10769</v>
      </c>
      <c r="G777" s="50" t="s">
        <v>10769</v>
      </c>
      <c r="H777" s="50" t="str">
        <f t="shared" si="182"/>
        <v>RE-Fenest-ManufWin-rNCEH-Ex</v>
      </c>
      <c r="J777" t="str">
        <f t="shared" si="183"/>
        <v>RE-Fenest-ManufWin-rNCEH-Eff</v>
      </c>
      <c r="K777" t="s">
        <v>10760</v>
      </c>
      <c r="M777" t="s">
        <v>10761</v>
      </c>
      <c r="N777" s="3" t="str">
        <f t="shared" si="178"/>
        <v>DMo&amp;0&amp;rNCEH&amp;Ex&amp;Fenest__ManufWin</v>
      </c>
      <c r="O777" s="3" t="s">
        <v>62</v>
      </c>
      <c r="P777" s="3">
        <v>0</v>
      </c>
      <c r="Q777" s="3" t="s">
        <v>71</v>
      </c>
      <c r="R777" s="3" t="s">
        <v>52</v>
      </c>
      <c r="S777" s="3" t="s">
        <v>10734</v>
      </c>
      <c r="T777" s="3" t="str">
        <f t="shared" si="180"/>
        <v>Fenest__ManufWin</v>
      </c>
      <c r="U777" s="3" t="str">
        <f t="shared" si="184"/>
        <v>Fenest__ManufWin</v>
      </c>
      <c r="V777" s="3" t="s">
        <v>785</v>
      </c>
      <c r="W777" s="3" t="s">
        <v>1040</v>
      </c>
      <c r="X777" s="3" t="s">
        <v>785</v>
      </c>
      <c r="Y777" s="3" t="s">
        <v>1040</v>
      </c>
      <c r="AA777" s="3" t="s">
        <v>55</v>
      </c>
    </row>
    <row r="778" spans="1:27" x14ac:dyDescent="0.3">
      <c r="A778" s="3" t="s">
        <v>10754</v>
      </c>
      <c r="B778" s="3" t="s">
        <v>10675</v>
      </c>
      <c r="C778" s="3" t="s">
        <v>10755</v>
      </c>
      <c r="D778" s="3" t="str">
        <f t="shared" si="179"/>
        <v>SWBE011-01 Windows_DMo</v>
      </c>
      <c r="E778" s="3" t="str">
        <f t="shared" si="185"/>
        <v>SWBE011-01 Windows_DMo_Msr2</v>
      </c>
      <c r="F778" s="50" t="s">
        <v>10769</v>
      </c>
      <c r="G778" s="50" t="s">
        <v>10769</v>
      </c>
      <c r="H778" s="50" t="str">
        <f t="shared" si="182"/>
        <v>RG-Fenest-ManufWin-rNCGF-Ex</v>
      </c>
      <c r="J778" t="str">
        <f t="shared" si="183"/>
        <v>RG-Fenest-ManufWin-rNCGF-Eff</v>
      </c>
      <c r="K778" t="s">
        <v>10762</v>
      </c>
      <c r="M778" t="s">
        <v>10763</v>
      </c>
      <c r="N778" s="3" t="str">
        <f t="shared" si="178"/>
        <v>DMo&amp;0&amp;rNCGF&amp;Ex&amp;Fenest__ManufWin</v>
      </c>
      <c r="O778" s="3" t="s">
        <v>62</v>
      </c>
      <c r="P778" s="3">
        <v>0</v>
      </c>
      <c r="Q778" s="3" t="s">
        <v>58</v>
      </c>
      <c r="R778" s="3" t="s">
        <v>52</v>
      </c>
      <c r="S778" s="3" t="s">
        <v>10734</v>
      </c>
      <c r="T778" s="3" t="str">
        <f t="shared" si="180"/>
        <v>Fenest__ManufWin</v>
      </c>
      <c r="U778" s="3" t="str">
        <f t="shared" si="184"/>
        <v>Fenest__ManufWin</v>
      </c>
      <c r="V778" s="3" t="s">
        <v>785</v>
      </c>
      <c r="W778" s="3" t="s">
        <v>1040</v>
      </c>
      <c r="X778" s="3" t="s">
        <v>785</v>
      </c>
      <c r="Y778" s="3" t="s">
        <v>1040</v>
      </c>
      <c r="AA778" s="3" t="s">
        <v>55</v>
      </c>
    </row>
    <row r="779" spans="1:27" x14ac:dyDescent="0.3">
      <c r="A779" s="3" t="s">
        <v>10754</v>
      </c>
      <c r="B779" s="3" t="s">
        <v>10675</v>
      </c>
      <c r="C779" s="3" t="s">
        <v>10755</v>
      </c>
      <c r="D779" s="3" t="str">
        <f t="shared" si="179"/>
        <v>SWBE011-01 Windows_DMo</v>
      </c>
      <c r="E779" s="3" t="str">
        <f>CONCATENATE(D779,"_","Msr3")</f>
        <v>SWBE011-01 Windows_DMo_Msr3</v>
      </c>
      <c r="F779" s="50" t="s">
        <v>10769</v>
      </c>
      <c r="G779" s="50" t="s">
        <v>10769</v>
      </c>
      <c r="H779" s="50" t="str">
        <f t="shared" si="182"/>
        <v>RG-Fenest-ManufWin-rDXGF-Ex</v>
      </c>
      <c r="J779" t="str">
        <f t="shared" si="183"/>
        <v>RG-Fenest-ManufWin-rDXGF-Eff</v>
      </c>
      <c r="K779" t="s">
        <v>10756</v>
      </c>
      <c r="M779" t="s">
        <v>10757</v>
      </c>
      <c r="N779" s="3" t="str">
        <f t="shared" si="178"/>
        <v>DMo&amp;0&amp;rDXGF&amp;Ex&amp;Fenest__ManufWin</v>
      </c>
      <c r="O779" s="3" t="s">
        <v>62</v>
      </c>
      <c r="P779" s="3">
        <v>0</v>
      </c>
      <c r="Q779" s="3" t="s">
        <v>51</v>
      </c>
      <c r="R779" s="3" t="s">
        <v>52</v>
      </c>
      <c r="S779" s="3" t="s">
        <v>10734</v>
      </c>
      <c r="T779" s="3" t="str">
        <f t="shared" si="180"/>
        <v>Fenest__ManufWin</v>
      </c>
      <c r="U779" s="3" t="str">
        <f t="shared" si="184"/>
        <v>Fenest__ManufWin</v>
      </c>
      <c r="V779" s="3" t="s">
        <v>785</v>
      </c>
      <c r="W779" s="3" t="s">
        <v>1040</v>
      </c>
      <c r="X779" s="3" t="s">
        <v>785</v>
      </c>
      <c r="Y779" s="3" t="s">
        <v>1040</v>
      </c>
      <c r="AA779" s="3" t="s">
        <v>55</v>
      </c>
    </row>
    <row r="780" spans="1:27" x14ac:dyDescent="0.3">
      <c r="A780" s="3" t="s">
        <v>10754</v>
      </c>
      <c r="B780" s="3" t="s">
        <v>10675</v>
      </c>
      <c r="C780" s="3" t="s">
        <v>10755</v>
      </c>
      <c r="D780" s="3" t="str">
        <f t="shared" si="179"/>
        <v>SWBE011-01 Windows_DMo</v>
      </c>
      <c r="E780" s="3" t="str">
        <f>CONCATENATE(D780,"_","Msr3")</f>
        <v>SWBE011-01 Windows_DMo_Msr3</v>
      </c>
      <c r="F780" s="50" t="s">
        <v>10769</v>
      </c>
      <c r="G780" s="50" t="s">
        <v>10769</v>
      </c>
      <c r="H780" s="50" t="str">
        <f t="shared" si="182"/>
        <v>RE-Fenest-ManufWin-rDXHP-Ex</v>
      </c>
      <c r="J780" t="str">
        <f t="shared" si="183"/>
        <v>RE-Fenest-ManufWin-rDXHP-Eff</v>
      </c>
      <c r="K780" t="s">
        <v>10758</v>
      </c>
      <c r="M780" t="s">
        <v>10759</v>
      </c>
      <c r="N780" s="3" t="str">
        <f t="shared" si="178"/>
        <v>DMo&amp;0&amp;rDXHP&amp;Ex&amp;Fenest__ManufWin</v>
      </c>
      <c r="O780" s="3" t="s">
        <v>62</v>
      </c>
      <c r="P780" s="3">
        <v>0</v>
      </c>
      <c r="Q780" s="3" t="s">
        <v>57</v>
      </c>
      <c r="R780" s="3" t="s">
        <v>52</v>
      </c>
      <c r="S780" s="3" t="s">
        <v>10734</v>
      </c>
      <c r="T780" s="3" t="str">
        <f t="shared" si="180"/>
        <v>Fenest__ManufWin</v>
      </c>
      <c r="U780" s="3" t="str">
        <f t="shared" si="184"/>
        <v>Fenest__ManufWin</v>
      </c>
      <c r="V780" s="3" t="s">
        <v>785</v>
      </c>
      <c r="W780" s="3" t="s">
        <v>1040</v>
      </c>
      <c r="X780" s="3" t="s">
        <v>785</v>
      </c>
      <c r="Y780" s="3" t="s">
        <v>1040</v>
      </c>
      <c r="AA780" s="3" t="s">
        <v>55</v>
      </c>
    </row>
    <row r="781" spans="1:27" x14ac:dyDescent="0.3">
      <c r="A781" s="3" t="s">
        <v>10754</v>
      </c>
      <c r="B781" s="3" t="s">
        <v>10675</v>
      </c>
      <c r="C781" s="3" t="s">
        <v>10755</v>
      </c>
      <c r="D781" s="3" t="str">
        <f t="shared" si="179"/>
        <v>SWBE011-01 Windows_DMo</v>
      </c>
      <c r="E781" s="3" t="str">
        <f>CONCATENATE(D781,"_","Msr3")</f>
        <v>SWBE011-01 Windows_DMo_Msr3</v>
      </c>
      <c r="F781" s="50" t="s">
        <v>10769</v>
      </c>
      <c r="G781" s="50" t="s">
        <v>10769</v>
      </c>
      <c r="H781" s="50" t="str">
        <f t="shared" si="182"/>
        <v>RE-Fenest-ManufWin-rNCEH-Ex</v>
      </c>
      <c r="J781" t="str">
        <f t="shared" si="183"/>
        <v>RE-Fenest-ManufWin-rNCEH-Eff</v>
      </c>
      <c r="K781" t="s">
        <v>10760</v>
      </c>
      <c r="M781" t="s">
        <v>10761</v>
      </c>
      <c r="N781" s="3" t="str">
        <f t="shared" si="178"/>
        <v>DMo&amp;0&amp;rNCEH&amp;Ex&amp;Fenest__ManufWin</v>
      </c>
      <c r="O781" s="3" t="s">
        <v>62</v>
      </c>
      <c r="P781" s="3">
        <v>0</v>
      </c>
      <c r="Q781" s="3" t="s">
        <v>71</v>
      </c>
      <c r="R781" s="3" t="s">
        <v>52</v>
      </c>
      <c r="S781" s="3" t="s">
        <v>10734</v>
      </c>
      <c r="T781" s="3" t="str">
        <f t="shared" si="180"/>
        <v>Fenest__ManufWin</v>
      </c>
      <c r="U781" s="3" t="str">
        <f t="shared" si="184"/>
        <v>Fenest__ManufWin</v>
      </c>
      <c r="V781" s="3" t="s">
        <v>785</v>
      </c>
      <c r="W781" s="3" t="s">
        <v>1040</v>
      </c>
      <c r="X781" s="3" t="s">
        <v>785</v>
      </c>
      <c r="Y781" s="3" t="s">
        <v>1040</v>
      </c>
      <c r="AA781" s="3" t="s">
        <v>55</v>
      </c>
    </row>
    <row r="782" spans="1:27" x14ac:dyDescent="0.3">
      <c r="A782" s="3" t="s">
        <v>10754</v>
      </c>
      <c r="B782" s="3" t="s">
        <v>10675</v>
      </c>
      <c r="C782" s="3" t="s">
        <v>10755</v>
      </c>
      <c r="D782" s="3" t="str">
        <f t="shared" si="179"/>
        <v>SWBE011-01 Windows_DMo</v>
      </c>
      <c r="E782" s="3" t="str">
        <f>CONCATENATE(D782,"_","Msr3")</f>
        <v>SWBE011-01 Windows_DMo_Msr3</v>
      </c>
      <c r="F782" s="50" t="s">
        <v>10769</v>
      </c>
      <c r="G782" s="50" t="s">
        <v>10769</v>
      </c>
      <c r="H782" s="50" t="str">
        <f t="shared" si="182"/>
        <v>RG-Fenest-ManufWin-rNCGF-Ex</v>
      </c>
      <c r="J782" t="str">
        <f t="shared" si="183"/>
        <v>RG-Fenest-ManufWin-rNCGF-Eff</v>
      </c>
      <c r="K782" t="s">
        <v>10762</v>
      </c>
      <c r="M782" t="s">
        <v>10763</v>
      </c>
      <c r="N782" s="3" t="str">
        <f t="shared" si="178"/>
        <v>DMo&amp;0&amp;rNCGF&amp;Ex&amp;Fenest__ManufWin</v>
      </c>
      <c r="O782" s="3" t="s">
        <v>62</v>
      </c>
      <c r="P782" s="3">
        <v>0</v>
      </c>
      <c r="Q782" s="3" t="s">
        <v>58</v>
      </c>
      <c r="R782" s="3" t="s">
        <v>52</v>
      </c>
      <c r="S782" s="3" t="s">
        <v>10734</v>
      </c>
      <c r="T782" s="3" t="str">
        <f t="shared" si="180"/>
        <v>Fenest__ManufWin</v>
      </c>
      <c r="U782" s="3" t="str">
        <f t="shared" si="184"/>
        <v>Fenest__ManufWin</v>
      </c>
      <c r="V782" s="3" t="s">
        <v>785</v>
      </c>
      <c r="W782" s="3" t="s">
        <v>1040</v>
      </c>
      <c r="X782" s="3" t="s">
        <v>785</v>
      </c>
      <c r="Y782" s="3" t="s">
        <v>1040</v>
      </c>
      <c r="AA782" s="3" t="s">
        <v>55</v>
      </c>
    </row>
    <row r="783" spans="1:27" x14ac:dyDescent="0.3">
      <c r="A783" s="3" t="s">
        <v>10754</v>
      </c>
      <c r="B783" s="3" t="s">
        <v>10675</v>
      </c>
      <c r="C783" s="3" t="s">
        <v>10755</v>
      </c>
      <c r="D783" s="3" t="str">
        <f t="shared" si="179"/>
        <v>SWBE011-01 Windows_MFm</v>
      </c>
      <c r="E783" s="3" t="str">
        <f>CONCATENATE(D783,"_","Msr1")</f>
        <v>SWBE011-01 Windows_MFm_Msr1</v>
      </c>
      <c r="F783" s="50" t="s">
        <v>10769</v>
      </c>
      <c r="G783" s="50" t="s">
        <v>10769</v>
      </c>
      <c r="H783" s="50" t="str">
        <f t="shared" si="182"/>
        <v>RG-Fenest-ManufWin-rDXGF-Ex</v>
      </c>
      <c r="J783" t="str">
        <f t="shared" si="183"/>
        <v>RG-Fenest-ManufWin-rDXGF-Eff</v>
      </c>
      <c r="K783" t="s">
        <v>10756</v>
      </c>
      <c r="M783" t="s">
        <v>10757</v>
      </c>
      <c r="N783" s="3" t="str">
        <f t="shared" si="178"/>
        <v>MFm&amp;0&amp;rDXGF&amp;Ex&amp;Fenest__ManufWin</v>
      </c>
      <c r="O783" s="3" t="s">
        <v>63</v>
      </c>
      <c r="P783" s="3">
        <v>0</v>
      </c>
      <c r="Q783" s="3" t="s">
        <v>51</v>
      </c>
      <c r="R783" s="3" t="s">
        <v>52</v>
      </c>
      <c r="S783" s="3" t="s">
        <v>10734</v>
      </c>
      <c r="T783" s="3" t="str">
        <f t="shared" si="180"/>
        <v>Fenest__ManufWin</v>
      </c>
      <c r="U783" s="3" t="str">
        <f t="shared" si="184"/>
        <v>Fenest__ManufWin</v>
      </c>
      <c r="V783" s="3" t="s">
        <v>785</v>
      </c>
      <c r="W783" s="3" t="s">
        <v>1040</v>
      </c>
      <c r="X783" s="3" t="s">
        <v>785</v>
      </c>
      <c r="Y783" s="3" t="s">
        <v>1040</v>
      </c>
      <c r="AA783" s="3" t="s">
        <v>55</v>
      </c>
    </row>
    <row r="784" spans="1:27" x14ac:dyDescent="0.3">
      <c r="A784" s="3" t="s">
        <v>10754</v>
      </c>
      <c r="B784" s="3" t="s">
        <v>10675</v>
      </c>
      <c r="C784" s="3" t="s">
        <v>10755</v>
      </c>
      <c r="D784" s="3" t="str">
        <f t="shared" si="179"/>
        <v>SWBE011-01 Windows_MFm</v>
      </c>
      <c r="E784" s="3" t="str">
        <f t="shared" ref="E784:E786" si="186">CONCATENATE(D784,"_","Msr1")</f>
        <v>SWBE011-01 Windows_MFm_Msr1</v>
      </c>
      <c r="F784" s="50" t="s">
        <v>10769</v>
      </c>
      <c r="G784" s="50" t="s">
        <v>10769</v>
      </c>
      <c r="H784" s="50" t="str">
        <f t="shared" si="182"/>
        <v>RE-Fenest-ManufWin-rDXHP-Ex</v>
      </c>
      <c r="J784" t="str">
        <f t="shared" si="183"/>
        <v>RE-Fenest-ManufWin-rDXHP-Eff</v>
      </c>
      <c r="K784" t="s">
        <v>10758</v>
      </c>
      <c r="M784" t="s">
        <v>10759</v>
      </c>
      <c r="N784" s="3" t="str">
        <f t="shared" si="178"/>
        <v>MFm&amp;0&amp;rDXHP&amp;Ex&amp;Fenest__ManufWin</v>
      </c>
      <c r="O784" s="3" t="s">
        <v>63</v>
      </c>
      <c r="P784" s="3">
        <v>0</v>
      </c>
      <c r="Q784" s="3" t="s">
        <v>57</v>
      </c>
      <c r="R784" s="3" t="s">
        <v>52</v>
      </c>
      <c r="S784" s="3" t="s">
        <v>10734</v>
      </c>
      <c r="T784" s="3" t="str">
        <f t="shared" si="180"/>
        <v>Fenest__ManufWin</v>
      </c>
      <c r="U784" s="3" t="str">
        <f t="shared" si="184"/>
        <v>Fenest__ManufWin</v>
      </c>
      <c r="V784" s="3" t="s">
        <v>785</v>
      </c>
      <c r="W784" s="3" t="s">
        <v>1040</v>
      </c>
      <c r="X784" s="3" t="s">
        <v>785</v>
      </c>
      <c r="Y784" s="3" t="s">
        <v>1040</v>
      </c>
      <c r="AA784" s="3" t="s">
        <v>55</v>
      </c>
    </row>
    <row r="785" spans="1:29" x14ac:dyDescent="0.3">
      <c r="A785" s="3" t="s">
        <v>10754</v>
      </c>
      <c r="B785" s="3" t="s">
        <v>10675</v>
      </c>
      <c r="C785" s="3" t="s">
        <v>10755</v>
      </c>
      <c r="D785" s="3" t="str">
        <f t="shared" si="179"/>
        <v>SWBE011-01 Windows_MFm</v>
      </c>
      <c r="E785" s="3" t="str">
        <f t="shared" si="186"/>
        <v>SWBE011-01 Windows_MFm_Msr1</v>
      </c>
      <c r="F785" s="50" t="s">
        <v>10769</v>
      </c>
      <c r="G785" s="50" t="s">
        <v>10769</v>
      </c>
      <c r="H785" s="50" t="str">
        <f t="shared" si="182"/>
        <v>RE-Fenest-ManufWin-rNCEH-Ex</v>
      </c>
      <c r="J785" t="str">
        <f t="shared" si="183"/>
        <v>RE-Fenest-ManufWin-rNCEH-Eff</v>
      </c>
      <c r="K785" t="s">
        <v>10760</v>
      </c>
      <c r="M785" t="s">
        <v>10761</v>
      </c>
      <c r="N785" s="3" t="str">
        <f t="shared" si="178"/>
        <v>MFm&amp;0&amp;rNCEH&amp;Ex&amp;Fenest__ManufWin</v>
      </c>
      <c r="O785" s="3" t="s">
        <v>63</v>
      </c>
      <c r="P785" s="3">
        <v>0</v>
      </c>
      <c r="Q785" s="3" t="s">
        <v>71</v>
      </c>
      <c r="R785" s="3" t="s">
        <v>52</v>
      </c>
      <c r="S785" s="3" t="s">
        <v>10734</v>
      </c>
      <c r="T785" s="3" t="str">
        <f t="shared" si="180"/>
        <v>Fenest__ManufWin</v>
      </c>
      <c r="U785" s="3" t="str">
        <f t="shared" si="184"/>
        <v>Fenest__ManufWin</v>
      </c>
      <c r="V785" s="3" t="s">
        <v>785</v>
      </c>
      <c r="W785" s="3" t="s">
        <v>1040</v>
      </c>
      <c r="X785" s="3" t="s">
        <v>785</v>
      </c>
      <c r="Y785" s="3" t="s">
        <v>1040</v>
      </c>
      <c r="AA785" s="3" t="s">
        <v>55</v>
      </c>
    </row>
    <row r="786" spans="1:29" x14ac:dyDescent="0.3">
      <c r="A786" s="3" t="s">
        <v>10754</v>
      </c>
      <c r="B786" s="3" t="s">
        <v>10675</v>
      </c>
      <c r="C786" s="3" t="s">
        <v>10755</v>
      </c>
      <c r="D786" s="3" t="str">
        <f t="shared" si="179"/>
        <v>SWBE011-01 Windows_MFm</v>
      </c>
      <c r="E786" s="3" t="str">
        <f t="shared" si="186"/>
        <v>SWBE011-01 Windows_MFm_Msr1</v>
      </c>
      <c r="F786" s="50" t="s">
        <v>10769</v>
      </c>
      <c r="G786" s="50" t="s">
        <v>10769</v>
      </c>
      <c r="H786" s="50" t="str">
        <f t="shared" si="182"/>
        <v>RG-Fenest-ManufWin-rNCGF-Ex</v>
      </c>
      <c r="J786" t="str">
        <f t="shared" si="183"/>
        <v>RG-Fenest-ManufWin-rNCGF-Eff</v>
      </c>
      <c r="K786" t="s">
        <v>10762</v>
      </c>
      <c r="M786" t="s">
        <v>10763</v>
      </c>
      <c r="N786" s="3" t="str">
        <f t="shared" si="178"/>
        <v>MFm&amp;0&amp;rNCGF&amp;Ex&amp;Fenest__ManufWin</v>
      </c>
      <c r="O786" s="3" t="s">
        <v>63</v>
      </c>
      <c r="P786" s="3">
        <v>0</v>
      </c>
      <c r="Q786" s="3" t="s">
        <v>58</v>
      </c>
      <c r="R786" s="3" t="s">
        <v>52</v>
      </c>
      <c r="S786" s="3" t="s">
        <v>10734</v>
      </c>
      <c r="T786" s="3" t="str">
        <f t="shared" si="180"/>
        <v>Fenest__ManufWin</v>
      </c>
      <c r="U786" s="3" t="str">
        <f t="shared" si="184"/>
        <v>Fenest__ManufWin</v>
      </c>
      <c r="V786" s="3" t="s">
        <v>785</v>
      </c>
      <c r="W786" s="3" t="s">
        <v>1040</v>
      </c>
      <c r="X786" s="3" t="s">
        <v>785</v>
      </c>
      <c r="Y786" s="3" t="s">
        <v>1040</v>
      </c>
      <c r="AA786" s="3" t="s">
        <v>55</v>
      </c>
    </row>
    <row r="787" spans="1:29" x14ac:dyDescent="0.3">
      <c r="A787" s="3" t="s">
        <v>10754</v>
      </c>
      <c r="B787" s="3" t="s">
        <v>10675</v>
      </c>
      <c r="C787" s="3" t="s">
        <v>10755</v>
      </c>
      <c r="D787" s="3" t="str">
        <f t="shared" si="179"/>
        <v>SWBE011-01 Windows_MFm</v>
      </c>
      <c r="E787" s="3" t="str">
        <f>CONCATENATE(D787,"_","Msr2")</f>
        <v>SWBE011-01 Windows_MFm_Msr2</v>
      </c>
      <c r="F787" s="50" t="s">
        <v>10769</v>
      </c>
      <c r="G787" s="50" t="s">
        <v>10769</v>
      </c>
      <c r="H787" s="50" t="str">
        <f t="shared" si="182"/>
        <v>RG-Fenest-ManufWin-rDXGF-Ex</v>
      </c>
      <c r="J787" t="str">
        <f t="shared" si="183"/>
        <v>RG-Fenest-ManufWin-rDXGF-Eff</v>
      </c>
      <c r="K787" t="s">
        <v>10756</v>
      </c>
      <c r="M787" t="s">
        <v>10757</v>
      </c>
      <c r="N787" s="3" t="str">
        <f t="shared" si="178"/>
        <v>MFm&amp;0&amp;rDXGF&amp;Ex&amp;Fenest__ManufWin</v>
      </c>
      <c r="O787" s="3" t="s">
        <v>63</v>
      </c>
      <c r="P787" s="3">
        <v>0</v>
      </c>
      <c r="Q787" s="3" t="s">
        <v>51</v>
      </c>
      <c r="R787" s="3" t="s">
        <v>52</v>
      </c>
      <c r="S787" s="3" t="s">
        <v>10734</v>
      </c>
      <c r="T787" s="3" t="str">
        <f t="shared" si="180"/>
        <v>Fenest__ManufWin</v>
      </c>
      <c r="U787" s="3" t="str">
        <f t="shared" si="184"/>
        <v>Fenest__ManufWin</v>
      </c>
      <c r="V787" s="3" t="s">
        <v>785</v>
      </c>
      <c r="W787" s="3" t="s">
        <v>1040</v>
      </c>
      <c r="X787" s="3" t="s">
        <v>785</v>
      </c>
      <c r="Y787" s="3" t="s">
        <v>1040</v>
      </c>
      <c r="AA787" s="3" t="s">
        <v>55</v>
      </c>
    </row>
    <row r="788" spans="1:29" x14ac:dyDescent="0.3">
      <c r="A788" s="3" t="s">
        <v>10754</v>
      </c>
      <c r="B788" s="3" t="s">
        <v>10675</v>
      </c>
      <c r="C788" s="3" t="s">
        <v>10755</v>
      </c>
      <c r="D788" s="3" t="str">
        <f t="shared" si="179"/>
        <v>SWBE011-01 Windows_MFm</v>
      </c>
      <c r="E788" s="3" t="str">
        <f t="shared" ref="E788:E790" si="187">CONCATENATE(D788,"_","Msr2")</f>
        <v>SWBE011-01 Windows_MFm_Msr2</v>
      </c>
      <c r="F788" s="50" t="s">
        <v>10769</v>
      </c>
      <c r="G788" s="50" t="s">
        <v>10769</v>
      </c>
      <c r="H788" s="50" t="str">
        <f t="shared" si="182"/>
        <v>RE-Fenest-ManufWin-rDXHP-Ex</v>
      </c>
      <c r="J788" t="str">
        <f t="shared" si="183"/>
        <v>RE-Fenest-ManufWin-rDXHP-Eff</v>
      </c>
      <c r="K788" t="s">
        <v>10758</v>
      </c>
      <c r="M788" t="s">
        <v>10759</v>
      </c>
      <c r="N788" s="3" t="str">
        <f t="shared" si="178"/>
        <v>MFm&amp;0&amp;rDXHP&amp;Ex&amp;Fenest__ManufWin</v>
      </c>
      <c r="O788" s="3" t="s">
        <v>63</v>
      </c>
      <c r="P788" s="3">
        <v>0</v>
      </c>
      <c r="Q788" s="3" t="s">
        <v>57</v>
      </c>
      <c r="R788" s="3" t="s">
        <v>52</v>
      </c>
      <c r="S788" s="3" t="s">
        <v>10734</v>
      </c>
      <c r="T788" s="3" t="str">
        <f t="shared" si="180"/>
        <v>Fenest__ManufWin</v>
      </c>
      <c r="U788" s="3" t="str">
        <f t="shared" si="184"/>
        <v>Fenest__ManufWin</v>
      </c>
      <c r="V788" s="3" t="s">
        <v>785</v>
      </c>
      <c r="W788" s="3" t="s">
        <v>1040</v>
      </c>
      <c r="X788" s="3" t="s">
        <v>785</v>
      </c>
      <c r="Y788" s="3" t="s">
        <v>1040</v>
      </c>
      <c r="AA788" s="3" t="s">
        <v>55</v>
      </c>
    </row>
    <row r="789" spans="1:29" x14ac:dyDescent="0.3">
      <c r="A789" s="3" t="s">
        <v>10754</v>
      </c>
      <c r="B789" s="3" t="s">
        <v>10675</v>
      </c>
      <c r="C789" s="3" t="s">
        <v>10755</v>
      </c>
      <c r="D789" s="3" t="str">
        <f t="shared" si="179"/>
        <v>SWBE011-01 Windows_MFm</v>
      </c>
      <c r="E789" s="3" t="str">
        <f t="shared" si="187"/>
        <v>SWBE011-01 Windows_MFm_Msr2</v>
      </c>
      <c r="F789" s="50" t="s">
        <v>10769</v>
      </c>
      <c r="G789" s="50" t="s">
        <v>10769</v>
      </c>
      <c r="H789" s="50" t="str">
        <f t="shared" si="182"/>
        <v>RE-Fenest-ManufWin-rNCEH-Ex</v>
      </c>
      <c r="J789" t="str">
        <f t="shared" si="183"/>
        <v>RE-Fenest-ManufWin-rNCEH-Eff</v>
      </c>
      <c r="K789" t="s">
        <v>10760</v>
      </c>
      <c r="M789" t="s">
        <v>10761</v>
      </c>
      <c r="N789" s="3" t="str">
        <f t="shared" si="178"/>
        <v>MFm&amp;0&amp;rNCEH&amp;Ex&amp;Fenest__ManufWin</v>
      </c>
      <c r="O789" s="3" t="s">
        <v>63</v>
      </c>
      <c r="P789" s="3">
        <v>0</v>
      </c>
      <c r="Q789" s="3" t="s">
        <v>71</v>
      </c>
      <c r="R789" s="3" t="s">
        <v>52</v>
      </c>
      <c r="S789" s="3" t="s">
        <v>10734</v>
      </c>
      <c r="T789" s="3" t="str">
        <f t="shared" si="180"/>
        <v>Fenest__ManufWin</v>
      </c>
      <c r="U789" s="3" t="str">
        <f t="shared" si="184"/>
        <v>Fenest__ManufWin</v>
      </c>
      <c r="V789" s="3" t="s">
        <v>785</v>
      </c>
      <c r="W789" s="3" t="s">
        <v>1040</v>
      </c>
      <c r="X789" s="3" t="s">
        <v>785</v>
      </c>
      <c r="Y789" s="3" t="s">
        <v>1040</v>
      </c>
      <c r="AA789" s="3" t="s">
        <v>55</v>
      </c>
    </row>
    <row r="790" spans="1:29" x14ac:dyDescent="0.3">
      <c r="A790" s="3" t="s">
        <v>10754</v>
      </c>
      <c r="B790" s="3" t="s">
        <v>10675</v>
      </c>
      <c r="C790" s="3" t="s">
        <v>10755</v>
      </c>
      <c r="D790" s="3" t="str">
        <f t="shared" si="179"/>
        <v>SWBE011-01 Windows_MFm</v>
      </c>
      <c r="E790" s="3" t="str">
        <f t="shared" si="187"/>
        <v>SWBE011-01 Windows_MFm_Msr2</v>
      </c>
      <c r="F790" s="50" t="s">
        <v>10769</v>
      </c>
      <c r="G790" s="50" t="s">
        <v>10769</v>
      </c>
      <c r="H790" s="50" t="str">
        <f t="shared" si="182"/>
        <v>RG-Fenest-ManufWin-rNCGF-Ex</v>
      </c>
      <c r="J790" t="str">
        <f t="shared" si="183"/>
        <v>RG-Fenest-ManufWin-rNCGF-Eff</v>
      </c>
      <c r="K790" t="s">
        <v>10762</v>
      </c>
      <c r="M790" t="s">
        <v>10763</v>
      </c>
      <c r="N790" s="3" t="str">
        <f t="shared" si="178"/>
        <v>MFm&amp;0&amp;rNCGF&amp;Ex&amp;Fenest__ManufWin</v>
      </c>
      <c r="O790" s="3" t="s">
        <v>63</v>
      </c>
      <c r="P790" s="3">
        <v>0</v>
      </c>
      <c r="Q790" s="3" t="s">
        <v>58</v>
      </c>
      <c r="R790" s="3" t="s">
        <v>52</v>
      </c>
      <c r="S790" s="3" t="s">
        <v>10734</v>
      </c>
      <c r="T790" s="3" t="str">
        <f t="shared" si="180"/>
        <v>Fenest__ManufWin</v>
      </c>
      <c r="U790" s="3" t="str">
        <f t="shared" si="184"/>
        <v>Fenest__ManufWin</v>
      </c>
      <c r="V790" s="3" t="s">
        <v>785</v>
      </c>
      <c r="W790" s="3" t="s">
        <v>1040</v>
      </c>
      <c r="X790" s="3" t="s">
        <v>785</v>
      </c>
      <c r="Y790" s="3" t="s">
        <v>1040</v>
      </c>
      <c r="AA790" s="3" t="s">
        <v>55</v>
      </c>
    </row>
    <row r="791" spans="1:29" x14ac:dyDescent="0.3">
      <c r="A791" s="3" t="s">
        <v>10754</v>
      </c>
      <c r="B791" s="3" t="s">
        <v>10675</v>
      </c>
      <c r="C791" s="3" t="s">
        <v>10755</v>
      </c>
      <c r="D791" s="3" t="str">
        <f t="shared" si="179"/>
        <v>SWBE011-01 Windows_MFm</v>
      </c>
      <c r="E791" s="3" t="str">
        <f>CONCATENATE(D791,"_","Msr3")</f>
        <v>SWBE011-01 Windows_MFm_Msr3</v>
      </c>
      <c r="F791" s="50" t="s">
        <v>10769</v>
      </c>
      <c r="G791" s="50" t="s">
        <v>10769</v>
      </c>
      <c r="H791" s="50" t="str">
        <f t="shared" si="182"/>
        <v>RG-Fenest-ManufWin-rDXGF-Ex</v>
      </c>
      <c r="J791" t="str">
        <f t="shared" si="183"/>
        <v>RG-Fenest-ManufWin-rDXGF-Eff</v>
      </c>
      <c r="K791" t="s">
        <v>10756</v>
      </c>
      <c r="M791" t="s">
        <v>10757</v>
      </c>
      <c r="N791" s="3" t="str">
        <f t="shared" si="178"/>
        <v>MFm&amp;0&amp;rDXGF&amp;Ex&amp;Fenest__ManufWin</v>
      </c>
      <c r="O791" s="3" t="s">
        <v>63</v>
      </c>
      <c r="P791" s="3">
        <v>0</v>
      </c>
      <c r="Q791" s="3" t="s">
        <v>51</v>
      </c>
      <c r="R791" s="3" t="s">
        <v>52</v>
      </c>
      <c r="S791" s="3" t="s">
        <v>10734</v>
      </c>
      <c r="T791" s="3" t="str">
        <f t="shared" si="180"/>
        <v>Fenest__ManufWin</v>
      </c>
      <c r="U791" s="3" t="str">
        <f t="shared" si="184"/>
        <v>Fenest__ManufWin</v>
      </c>
      <c r="V791" s="3" t="s">
        <v>785</v>
      </c>
      <c r="W791" s="3" t="s">
        <v>1040</v>
      </c>
      <c r="X791" s="3" t="s">
        <v>785</v>
      </c>
      <c r="Y791" s="3" t="s">
        <v>1040</v>
      </c>
      <c r="AA791" s="3" t="s">
        <v>55</v>
      </c>
    </row>
    <row r="792" spans="1:29" x14ac:dyDescent="0.3">
      <c r="A792" s="3" t="s">
        <v>10754</v>
      </c>
      <c r="B792" s="3" t="s">
        <v>10675</v>
      </c>
      <c r="C792" s="3" t="s">
        <v>10755</v>
      </c>
      <c r="D792" s="3" t="str">
        <f t="shared" si="179"/>
        <v>SWBE011-01 Windows_MFm</v>
      </c>
      <c r="E792" s="3" t="str">
        <f t="shared" ref="E792:E794" si="188">CONCATENATE(D792,"_","Msr3")</f>
        <v>SWBE011-01 Windows_MFm_Msr3</v>
      </c>
      <c r="F792" s="50" t="s">
        <v>10769</v>
      </c>
      <c r="G792" s="50" t="s">
        <v>10769</v>
      </c>
      <c r="H792" s="50" t="str">
        <f t="shared" si="182"/>
        <v>RE-Fenest-ManufWin-rDXHP-Ex</v>
      </c>
      <c r="J792" t="str">
        <f t="shared" si="183"/>
        <v>RE-Fenest-ManufWin-rDXHP-Eff</v>
      </c>
      <c r="K792" t="s">
        <v>10758</v>
      </c>
      <c r="M792" t="s">
        <v>10759</v>
      </c>
      <c r="N792" s="3" t="str">
        <f t="shared" si="178"/>
        <v>MFm&amp;0&amp;rDXHP&amp;Ex&amp;Fenest__ManufWin</v>
      </c>
      <c r="O792" s="3" t="s">
        <v>63</v>
      </c>
      <c r="P792" s="3">
        <v>0</v>
      </c>
      <c r="Q792" s="3" t="s">
        <v>57</v>
      </c>
      <c r="R792" s="3" t="s">
        <v>52</v>
      </c>
      <c r="S792" s="3" t="s">
        <v>10734</v>
      </c>
      <c r="T792" s="3" t="str">
        <f t="shared" si="180"/>
        <v>Fenest__ManufWin</v>
      </c>
      <c r="U792" s="3" t="str">
        <f t="shared" si="184"/>
        <v>Fenest__ManufWin</v>
      </c>
      <c r="V792" s="3" t="s">
        <v>785</v>
      </c>
      <c r="W792" s="3" t="s">
        <v>1040</v>
      </c>
      <c r="X792" s="3" t="s">
        <v>785</v>
      </c>
      <c r="Y792" s="3" t="s">
        <v>1040</v>
      </c>
      <c r="AA792" s="3" t="s">
        <v>55</v>
      </c>
    </row>
    <row r="793" spans="1:29" x14ac:dyDescent="0.3">
      <c r="A793" s="3" t="s">
        <v>10754</v>
      </c>
      <c r="B793" s="3" t="s">
        <v>10675</v>
      </c>
      <c r="C793" s="3" t="s">
        <v>10755</v>
      </c>
      <c r="D793" s="3" t="str">
        <f t="shared" si="179"/>
        <v>SWBE011-01 Windows_MFm</v>
      </c>
      <c r="E793" s="3" t="str">
        <f t="shared" si="188"/>
        <v>SWBE011-01 Windows_MFm_Msr3</v>
      </c>
      <c r="F793" s="50" t="s">
        <v>10769</v>
      </c>
      <c r="G793" s="50" t="s">
        <v>10769</v>
      </c>
      <c r="H793" s="50" t="str">
        <f t="shared" si="182"/>
        <v>RE-Fenest-ManufWin-rNCEH-Ex</v>
      </c>
      <c r="J793" t="str">
        <f t="shared" si="183"/>
        <v>RE-Fenest-ManufWin-rNCEH-Eff</v>
      </c>
      <c r="K793" t="s">
        <v>10760</v>
      </c>
      <c r="M793" t="s">
        <v>10761</v>
      </c>
      <c r="N793" s="3" t="str">
        <f t="shared" si="178"/>
        <v>MFm&amp;0&amp;rNCEH&amp;Ex&amp;Fenest__ManufWin</v>
      </c>
      <c r="O793" s="3" t="s">
        <v>63</v>
      </c>
      <c r="P793" s="3">
        <v>0</v>
      </c>
      <c r="Q793" s="3" t="s">
        <v>71</v>
      </c>
      <c r="R793" s="3" t="s">
        <v>52</v>
      </c>
      <c r="S793" s="3" t="s">
        <v>10734</v>
      </c>
      <c r="T793" s="3" t="str">
        <f t="shared" si="180"/>
        <v>Fenest__ManufWin</v>
      </c>
      <c r="U793" s="3" t="str">
        <f t="shared" si="184"/>
        <v>Fenest__ManufWin</v>
      </c>
      <c r="V793" s="3" t="s">
        <v>785</v>
      </c>
      <c r="W793" s="3" t="s">
        <v>1040</v>
      </c>
      <c r="X793" s="3" t="s">
        <v>785</v>
      </c>
      <c r="Y793" s="3" t="s">
        <v>1040</v>
      </c>
      <c r="AA793" s="3" t="s">
        <v>55</v>
      </c>
    </row>
    <row r="794" spans="1:29" x14ac:dyDescent="0.3">
      <c r="A794" s="3" t="s">
        <v>10754</v>
      </c>
      <c r="B794" s="3" t="s">
        <v>10675</v>
      </c>
      <c r="C794" s="3" t="s">
        <v>10755</v>
      </c>
      <c r="D794" s="3" t="str">
        <f t="shared" si="179"/>
        <v>SWBE011-01 Windows_MFm</v>
      </c>
      <c r="E794" s="3" t="str">
        <f t="shared" si="188"/>
        <v>SWBE011-01 Windows_MFm_Msr3</v>
      </c>
      <c r="F794" s="50" t="s">
        <v>10769</v>
      </c>
      <c r="G794" s="50" t="s">
        <v>10769</v>
      </c>
      <c r="H794" s="50" t="str">
        <f t="shared" si="182"/>
        <v>RG-Fenest-ManufWin-rNCGF-Ex</v>
      </c>
      <c r="J794" t="str">
        <f t="shared" si="183"/>
        <v>RG-Fenest-ManufWin-rNCGF-Eff</v>
      </c>
      <c r="K794" t="s">
        <v>10762</v>
      </c>
      <c r="M794" t="s">
        <v>10763</v>
      </c>
      <c r="N794" s="3" t="str">
        <f t="shared" si="178"/>
        <v>MFm&amp;0&amp;rNCGF&amp;Ex&amp;Fenest__ManufWin</v>
      </c>
      <c r="O794" s="3" t="s">
        <v>63</v>
      </c>
      <c r="P794" s="3">
        <v>0</v>
      </c>
      <c r="Q794" s="3" t="s">
        <v>58</v>
      </c>
      <c r="R794" s="3" t="s">
        <v>52</v>
      </c>
      <c r="S794" s="3" t="s">
        <v>10734</v>
      </c>
      <c r="T794" s="3" t="str">
        <f t="shared" si="180"/>
        <v>Fenest__ManufWin</v>
      </c>
      <c r="U794" s="3" t="str">
        <f t="shared" si="184"/>
        <v>Fenest__ManufWin</v>
      </c>
      <c r="V794" s="3" t="s">
        <v>785</v>
      </c>
      <c r="W794" s="3" t="s">
        <v>1040</v>
      </c>
      <c r="X794" s="3" t="s">
        <v>785</v>
      </c>
      <c r="Y794" s="3" t="s">
        <v>1040</v>
      </c>
      <c r="AA794" s="3" t="s">
        <v>55</v>
      </c>
    </row>
    <row r="795" spans="1:29" x14ac:dyDescent="0.3">
      <c r="A795" s="3" t="s">
        <v>10754</v>
      </c>
      <c r="B795" s="3" t="s">
        <v>10675</v>
      </c>
      <c r="C795" s="3" t="s">
        <v>10755</v>
      </c>
      <c r="D795" s="3" t="str">
        <f t="shared" si="179"/>
        <v>SWBE011-01 Windows_SFm</v>
      </c>
      <c r="E795" s="3" t="str">
        <f>CONCATENATE(D795,"_",AC795,"_","Msr1")</f>
        <v>SWBE011-01 Windows_SFm_1975_Msr1</v>
      </c>
      <c r="F795" s="50" t="s">
        <v>10769</v>
      </c>
      <c r="G795" s="50" t="s">
        <v>10769</v>
      </c>
      <c r="H795" s="50" t="str">
        <f t="shared" si="182"/>
        <v>RG-Fenest-ManufWin-rDXGF-Ex</v>
      </c>
      <c r="J795" t="str">
        <f t="shared" si="183"/>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80"/>
        <v>Fenest__ManufWin</v>
      </c>
      <c r="U795" s="3" t="str">
        <f t="shared" si="184"/>
        <v>Fenest__ManufWin</v>
      </c>
      <c r="V795" s="3" t="s">
        <v>785</v>
      </c>
      <c r="W795" s="3" t="s">
        <v>1040</v>
      </c>
      <c r="X795" s="3" t="s">
        <v>785</v>
      </c>
      <c r="Y795" s="3" t="s">
        <v>1040</v>
      </c>
      <c r="AA795" s="3" t="s">
        <v>55</v>
      </c>
      <c r="AC795">
        <v>1975</v>
      </c>
    </row>
    <row r="796" spans="1:29" x14ac:dyDescent="0.3">
      <c r="A796" s="3" t="s">
        <v>10754</v>
      </c>
      <c r="B796" s="3" t="s">
        <v>10675</v>
      </c>
      <c r="C796" s="3" t="s">
        <v>10755</v>
      </c>
      <c r="D796" s="3" t="str">
        <f t="shared" si="179"/>
        <v>SWBE011-01 Windows_SFm</v>
      </c>
      <c r="E796" s="3" t="str">
        <f t="shared" ref="E796:E798" si="189">CONCATENATE(D796,"_",AC796,"_","Msr1")</f>
        <v>SWBE011-01 Windows_SFm_1975_Msr1</v>
      </c>
      <c r="F796" s="50" t="s">
        <v>10769</v>
      </c>
      <c r="G796" s="50" t="s">
        <v>10769</v>
      </c>
      <c r="H796" s="50" t="str">
        <f t="shared" si="182"/>
        <v>RE-Fenest-ManufWin-rDXHP-Ex</v>
      </c>
      <c r="J796" t="str">
        <f t="shared" si="183"/>
        <v>RE-Fenest-ManufWin-rDXHP-Eff</v>
      </c>
      <c r="K796" t="s">
        <v>10758</v>
      </c>
      <c r="M796" t="s">
        <v>10759</v>
      </c>
      <c r="N796" s="3" t="str">
        <f t="shared" ref="N796:N843"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80"/>
        <v>Fenest__ManufWin</v>
      </c>
      <c r="U796" s="3" t="str">
        <f t="shared" si="184"/>
        <v>Fenest__ManufWin</v>
      </c>
      <c r="V796" s="3" t="s">
        <v>785</v>
      </c>
      <c r="W796" s="3" t="s">
        <v>1040</v>
      </c>
      <c r="X796" s="3" t="s">
        <v>785</v>
      </c>
      <c r="Y796" s="3" t="s">
        <v>1040</v>
      </c>
      <c r="AA796" s="3" t="s">
        <v>55</v>
      </c>
      <c r="AC796">
        <v>1975</v>
      </c>
    </row>
    <row r="797" spans="1:29" x14ac:dyDescent="0.3">
      <c r="A797" s="3" t="s">
        <v>10754</v>
      </c>
      <c r="B797" s="3" t="s">
        <v>10675</v>
      </c>
      <c r="C797" s="3" t="s">
        <v>10755</v>
      </c>
      <c r="D797" s="3" t="str">
        <f t="shared" si="179"/>
        <v>SWBE011-01 Windows_SFm</v>
      </c>
      <c r="E797" s="3" t="str">
        <f t="shared" si="189"/>
        <v>SWBE011-01 Windows_SFm_1975_Msr1</v>
      </c>
      <c r="F797" s="50" t="s">
        <v>10769</v>
      </c>
      <c r="G797" s="50" t="s">
        <v>10769</v>
      </c>
      <c r="H797" s="50" t="str">
        <f t="shared" si="182"/>
        <v>RE-Fenest-ManufWin-rNCEH-Ex</v>
      </c>
      <c r="J797" t="str">
        <f t="shared" si="183"/>
        <v>RE-Fenest-ManufWin-rNCEH-Eff</v>
      </c>
      <c r="K797" t="s">
        <v>10760</v>
      </c>
      <c r="M797" t="s">
        <v>10761</v>
      </c>
      <c r="N797" s="3" t="str">
        <f t="shared" si="190"/>
        <v>SFm&amp;1&amp;rNCEH&amp;Ex&amp;Fenest__ManufWin</v>
      </c>
      <c r="O797" s="3" t="s">
        <v>50</v>
      </c>
      <c r="P797" s="3">
        <v>1</v>
      </c>
      <c r="Q797" s="3" t="s">
        <v>71</v>
      </c>
      <c r="R797" s="3" t="s">
        <v>52</v>
      </c>
      <c r="S797" s="3" t="s">
        <v>10734</v>
      </c>
      <c r="T797" s="3" t="str">
        <f t="shared" si="180"/>
        <v>Fenest__ManufWin</v>
      </c>
      <c r="U797" s="3" t="str">
        <f t="shared" si="184"/>
        <v>Fenest__ManufWin</v>
      </c>
      <c r="V797" s="3" t="s">
        <v>785</v>
      </c>
      <c r="W797" s="3" t="s">
        <v>1040</v>
      </c>
      <c r="X797" s="3" t="s">
        <v>785</v>
      </c>
      <c r="Y797" s="3" t="s">
        <v>1040</v>
      </c>
      <c r="AA797" s="3" t="s">
        <v>55</v>
      </c>
      <c r="AC797">
        <v>1975</v>
      </c>
    </row>
    <row r="798" spans="1:29" x14ac:dyDescent="0.3">
      <c r="A798" s="3" t="s">
        <v>10754</v>
      </c>
      <c r="B798" s="3" t="s">
        <v>10675</v>
      </c>
      <c r="C798" s="3" t="s">
        <v>10755</v>
      </c>
      <c r="D798" s="3" t="str">
        <f t="shared" si="179"/>
        <v>SWBE011-01 Windows_SFm</v>
      </c>
      <c r="E798" s="3" t="str">
        <f t="shared" si="189"/>
        <v>SWBE011-01 Windows_SFm_1975_Msr1</v>
      </c>
      <c r="F798" s="50" t="s">
        <v>10769</v>
      </c>
      <c r="G798" s="50" t="s">
        <v>10769</v>
      </c>
      <c r="H798" s="50" t="str">
        <f t="shared" si="182"/>
        <v>RG-Fenest-ManufWin-rNCGF-Ex</v>
      </c>
      <c r="J798" t="str">
        <f t="shared" si="183"/>
        <v>RG-Fenest-ManufWin-rNCGF-Eff</v>
      </c>
      <c r="K798" t="s">
        <v>10762</v>
      </c>
      <c r="M798" t="s">
        <v>10763</v>
      </c>
      <c r="N798" s="3" t="str">
        <f t="shared" si="190"/>
        <v>SFm&amp;1&amp;rNCGF&amp;Ex&amp;Fenest__ManufWin</v>
      </c>
      <c r="O798" s="3" t="s">
        <v>50</v>
      </c>
      <c r="P798" s="3">
        <v>1</v>
      </c>
      <c r="Q798" s="3" t="s">
        <v>58</v>
      </c>
      <c r="R798" s="3" t="s">
        <v>52</v>
      </c>
      <c r="S798" s="3" t="s">
        <v>10734</v>
      </c>
      <c r="T798" s="3" t="str">
        <f t="shared" si="180"/>
        <v>Fenest__ManufWin</v>
      </c>
      <c r="U798" s="3" t="str">
        <f t="shared" si="184"/>
        <v>Fenest__ManufWin</v>
      </c>
      <c r="V798" s="3" t="s">
        <v>785</v>
      </c>
      <c r="W798" s="3" t="s">
        <v>1040</v>
      </c>
      <c r="X798" s="3" t="s">
        <v>785</v>
      </c>
      <c r="Y798" s="3" t="s">
        <v>1040</v>
      </c>
      <c r="AA798" s="3" t="s">
        <v>55</v>
      </c>
      <c r="AC798">
        <v>1975</v>
      </c>
    </row>
    <row r="799" spans="1:29" x14ac:dyDescent="0.3">
      <c r="A799" s="3" t="s">
        <v>10754</v>
      </c>
      <c r="B799" s="3" t="s">
        <v>10675</v>
      </c>
      <c r="C799" s="3" t="s">
        <v>10755</v>
      </c>
      <c r="D799" s="3" t="str">
        <f t="shared" si="179"/>
        <v>SWBE011-01 Windows_SFm</v>
      </c>
      <c r="E799" s="3" t="str">
        <f>CONCATENATE(D799,"_",AC799,"_","Msr2")</f>
        <v>SWBE011-01 Windows_SFm_1975_Msr2</v>
      </c>
      <c r="F799" s="50" t="s">
        <v>10769</v>
      </c>
      <c r="G799" s="50" t="s">
        <v>10769</v>
      </c>
      <c r="H799" s="50" t="str">
        <f t="shared" si="182"/>
        <v>RG-Fenest-ManufWin-rDXGF-Ex</v>
      </c>
      <c r="J799" t="str">
        <f t="shared" si="183"/>
        <v>RG-Fenest-ManufWin-rDXGF-Eff</v>
      </c>
      <c r="K799" t="s">
        <v>10756</v>
      </c>
      <c r="M799" t="s">
        <v>10757</v>
      </c>
      <c r="N799" s="3" t="str">
        <f t="shared" si="190"/>
        <v>SFm&amp;1&amp;rDXGF&amp;Ex&amp;Fenest__ManufWin</v>
      </c>
      <c r="O799" s="3" t="s">
        <v>50</v>
      </c>
      <c r="P799" s="3">
        <v>1</v>
      </c>
      <c r="Q799" s="3" t="s">
        <v>51</v>
      </c>
      <c r="R799" s="3" t="s">
        <v>52</v>
      </c>
      <c r="S799" s="3" t="s">
        <v>10734</v>
      </c>
      <c r="T799" s="3" t="str">
        <f t="shared" si="180"/>
        <v>Fenest__ManufWin</v>
      </c>
      <c r="U799" s="3" t="str">
        <f t="shared" si="184"/>
        <v>Fenest__ManufWin</v>
      </c>
      <c r="V799" s="3" t="s">
        <v>785</v>
      </c>
      <c r="W799" s="3" t="s">
        <v>1040</v>
      </c>
      <c r="X799" s="3" t="s">
        <v>785</v>
      </c>
      <c r="Y799" s="3" t="s">
        <v>1040</v>
      </c>
      <c r="AA799" s="3" t="s">
        <v>55</v>
      </c>
      <c r="AC799">
        <v>1975</v>
      </c>
    </row>
    <row r="800" spans="1:29" x14ac:dyDescent="0.3">
      <c r="A800" s="3" t="s">
        <v>10754</v>
      </c>
      <c r="B800" s="3" t="s">
        <v>10675</v>
      </c>
      <c r="C800" s="3" t="s">
        <v>10755</v>
      </c>
      <c r="D800" s="3" t="str">
        <f t="shared" si="179"/>
        <v>SWBE011-01 Windows_SFm</v>
      </c>
      <c r="E800" s="3" t="str">
        <f t="shared" ref="E800:E802" si="191">CONCATENATE(D800,"_",AC800,"_","Msr2")</f>
        <v>SWBE011-01 Windows_SFm_1975_Msr2</v>
      </c>
      <c r="F800" s="50" t="s">
        <v>10769</v>
      </c>
      <c r="G800" s="50" t="s">
        <v>10769</v>
      </c>
      <c r="H800" s="50" t="str">
        <f t="shared" si="182"/>
        <v>RE-Fenest-ManufWin-rDXHP-Ex</v>
      </c>
      <c r="J800" t="str">
        <f t="shared" si="183"/>
        <v>RE-Fenest-ManufWin-rDXHP-Eff</v>
      </c>
      <c r="K800" t="s">
        <v>10758</v>
      </c>
      <c r="M800" t="s">
        <v>10759</v>
      </c>
      <c r="N800" s="3" t="str">
        <f t="shared" si="190"/>
        <v>SFm&amp;1&amp;rDXHP&amp;Ex&amp;Fenest__ManufWin</v>
      </c>
      <c r="O800" s="3" t="s">
        <v>50</v>
      </c>
      <c r="P800" s="3">
        <v>1</v>
      </c>
      <c r="Q800" s="3" t="s">
        <v>57</v>
      </c>
      <c r="R800" s="3" t="s">
        <v>52</v>
      </c>
      <c r="S800" s="3" t="s">
        <v>10734</v>
      </c>
      <c r="T800" s="3" t="str">
        <f t="shared" si="180"/>
        <v>Fenest__ManufWin</v>
      </c>
      <c r="U800" s="3" t="str">
        <f t="shared" si="184"/>
        <v>Fenest__ManufWin</v>
      </c>
      <c r="V800" s="3" t="s">
        <v>785</v>
      </c>
      <c r="W800" s="3" t="s">
        <v>1040</v>
      </c>
      <c r="X800" s="3" t="s">
        <v>785</v>
      </c>
      <c r="Y800" s="3" t="s">
        <v>1040</v>
      </c>
      <c r="AA800" s="3" t="s">
        <v>55</v>
      </c>
      <c r="AC800">
        <v>1975</v>
      </c>
    </row>
    <row r="801" spans="1:29" x14ac:dyDescent="0.3">
      <c r="A801" s="3" t="s">
        <v>10754</v>
      </c>
      <c r="B801" s="3" t="s">
        <v>10675</v>
      </c>
      <c r="C801" s="3" t="s">
        <v>10755</v>
      </c>
      <c r="D801" s="3" t="str">
        <f t="shared" si="179"/>
        <v>SWBE011-01 Windows_SFm</v>
      </c>
      <c r="E801" s="3" t="str">
        <f t="shared" si="191"/>
        <v>SWBE011-01 Windows_SFm_1975_Msr2</v>
      </c>
      <c r="F801" s="50" t="s">
        <v>10769</v>
      </c>
      <c r="G801" s="50" t="s">
        <v>10769</v>
      </c>
      <c r="H801" s="50" t="str">
        <f t="shared" si="182"/>
        <v>RE-Fenest-ManufWin-rNCEH-Ex</v>
      </c>
      <c r="J801" t="str">
        <f t="shared" si="183"/>
        <v>RE-Fenest-ManufWin-rNCEH-Eff</v>
      </c>
      <c r="K801" t="s">
        <v>10760</v>
      </c>
      <c r="M801" t="s">
        <v>10761</v>
      </c>
      <c r="N801" s="3" t="str">
        <f t="shared" si="190"/>
        <v>SFm&amp;1&amp;rNCEH&amp;Ex&amp;Fenest__ManufWin</v>
      </c>
      <c r="O801" s="3" t="s">
        <v>50</v>
      </c>
      <c r="P801" s="3">
        <v>1</v>
      </c>
      <c r="Q801" s="3" t="s">
        <v>71</v>
      </c>
      <c r="R801" s="3" t="s">
        <v>52</v>
      </c>
      <c r="S801" s="3" t="s">
        <v>10734</v>
      </c>
      <c r="T801" s="3" t="str">
        <f t="shared" si="180"/>
        <v>Fenest__ManufWin</v>
      </c>
      <c r="U801" s="3" t="str">
        <f t="shared" si="184"/>
        <v>Fenest__ManufWin</v>
      </c>
      <c r="V801" s="3" t="s">
        <v>785</v>
      </c>
      <c r="W801" s="3" t="s">
        <v>1040</v>
      </c>
      <c r="X801" s="3" t="s">
        <v>785</v>
      </c>
      <c r="Y801" s="3" t="s">
        <v>1040</v>
      </c>
      <c r="AA801" s="3" t="s">
        <v>55</v>
      </c>
      <c r="AC801">
        <v>1975</v>
      </c>
    </row>
    <row r="802" spans="1:29" x14ac:dyDescent="0.3">
      <c r="A802" s="3" t="s">
        <v>10754</v>
      </c>
      <c r="B802" s="3" t="s">
        <v>10675</v>
      </c>
      <c r="C802" s="3" t="s">
        <v>10755</v>
      </c>
      <c r="D802" s="3" t="str">
        <f t="shared" si="179"/>
        <v>SWBE011-01 Windows_SFm</v>
      </c>
      <c r="E802" s="3" t="str">
        <f t="shared" si="191"/>
        <v>SWBE011-01 Windows_SFm_1975_Msr2</v>
      </c>
      <c r="F802" s="50" t="s">
        <v>10769</v>
      </c>
      <c r="G802" s="50" t="s">
        <v>10769</v>
      </c>
      <c r="H802" s="50" t="str">
        <f t="shared" si="182"/>
        <v>RG-Fenest-ManufWin-rNCGF-Ex</v>
      </c>
      <c r="J802" t="str">
        <f t="shared" si="183"/>
        <v>RG-Fenest-ManufWin-rNCGF-Eff</v>
      </c>
      <c r="K802" t="s">
        <v>10762</v>
      </c>
      <c r="M802" t="s">
        <v>10763</v>
      </c>
      <c r="N802" s="3" t="str">
        <f t="shared" si="190"/>
        <v>SFm&amp;1&amp;rNCGF&amp;Ex&amp;Fenest__ManufWin</v>
      </c>
      <c r="O802" s="3" t="s">
        <v>50</v>
      </c>
      <c r="P802" s="3">
        <v>1</v>
      </c>
      <c r="Q802" s="3" t="s">
        <v>58</v>
      </c>
      <c r="R802" s="3" t="s">
        <v>52</v>
      </c>
      <c r="S802" s="3" t="s">
        <v>10734</v>
      </c>
      <c r="T802" s="3" t="str">
        <f t="shared" si="180"/>
        <v>Fenest__ManufWin</v>
      </c>
      <c r="U802" s="3" t="str">
        <f t="shared" si="184"/>
        <v>Fenest__ManufWin</v>
      </c>
      <c r="V802" s="3" t="s">
        <v>785</v>
      </c>
      <c r="W802" s="3" t="s">
        <v>1040</v>
      </c>
      <c r="X802" s="3" t="s">
        <v>785</v>
      </c>
      <c r="Y802" s="3" t="s">
        <v>1040</v>
      </c>
      <c r="AA802" s="3" t="s">
        <v>55</v>
      </c>
      <c r="AC802">
        <v>1975</v>
      </c>
    </row>
    <row r="803" spans="1:29" x14ac:dyDescent="0.3">
      <c r="A803" s="3" t="s">
        <v>10754</v>
      </c>
      <c r="B803" s="3" t="s">
        <v>10675</v>
      </c>
      <c r="C803" s="3" t="s">
        <v>10755</v>
      </c>
      <c r="D803" s="3" t="str">
        <f t="shared" si="179"/>
        <v>SWBE011-01 Windows_SFm</v>
      </c>
      <c r="E803" s="3" t="str">
        <f>CONCATENATE(D803,"_",AC803,"_","Msr3")</f>
        <v>SWBE011-01 Windows_SFm_1975_Msr3</v>
      </c>
      <c r="F803" s="50" t="s">
        <v>10769</v>
      </c>
      <c r="G803" s="50" t="s">
        <v>10769</v>
      </c>
      <c r="H803" s="50" t="str">
        <f t="shared" si="182"/>
        <v>RG-Fenest-ManufWin-rDXGF-Ex</v>
      </c>
      <c r="J803" t="str">
        <f t="shared" si="183"/>
        <v>RG-Fenest-ManufWin-rDXGF-Eff</v>
      </c>
      <c r="K803" t="s">
        <v>10756</v>
      </c>
      <c r="M803" t="s">
        <v>10757</v>
      </c>
      <c r="N803" s="3" t="str">
        <f t="shared" si="190"/>
        <v>SFm&amp;1&amp;rDXGF&amp;Ex&amp;Fenest__ManufWin</v>
      </c>
      <c r="O803" s="3" t="s">
        <v>50</v>
      </c>
      <c r="P803" s="3">
        <v>1</v>
      </c>
      <c r="Q803" s="3" t="s">
        <v>51</v>
      </c>
      <c r="R803" s="3" t="s">
        <v>52</v>
      </c>
      <c r="S803" s="3" t="s">
        <v>10734</v>
      </c>
      <c r="T803" s="3" t="str">
        <f t="shared" si="180"/>
        <v>Fenest__ManufWin</v>
      </c>
      <c r="U803" s="3" t="str">
        <f t="shared" si="184"/>
        <v>Fenest__ManufWin</v>
      </c>
      <c r="V803" s="3" t="s">
        <v>785</v>
      </c>
      <c r="W803" s="3" t="s">
        <v>1040</v>
      </c>
      <c r="X803" s="3" t="s">
        <v>785</v>
      </c>
      <c r="Y803" s="3" t="s">
        <v>1040</v>
      </c>
      <c r="AA803" s="3" t="s">
        <v>55</v>
      </c>
      <c r="AC803">
        <v>1975</v>
      </c>
    </row>
    <row r="804" spans="1:29" x14ac:dyDescent="0.3">
      <c r="A804" s="3" t="s">
        <v>10754</v>
      </c>
      <c r="B804" s="3" t="s">
        <v>10675</v>
      </c>
      <c r="C804" s="3" t="s">
        <v>10755</v>
      </c>
      <c r="D804" s="3" t="str">
        <f t="shared" si="179"/>
        <v>SWBE011-01 Windows_SFm</v>
      </c>
      <c r="E804" s="3" t="str">
        <f t="shared" ref="E804:E806" si="192">CONCATENATE(D804,"_",AC804,"_","Msr3")</f>
        <v>SWBE011-01 Windows_SFm_1975_Msr3</v>
      </c>
      <c r="F804" s="50" t="s">
        <v>10769</v>
      </c>
      <c r="G804" s="50" t="s">
        <v>10769</v>
      </c>
      <c r="H804" s="50" t="str">
        <f t="shared" si="182"/>
        <v>RE-Fenest-ManufWin-rDXHP-Ex</v>
      </c>
      <c r="J804" t="str">
        <f t="shared" si="183"/>
        <v>RE-Fenest-ManufWin-rDXHP-Eff</v>
      </c>
      <c r="K804" t="s">
        <v>10758</v>
      </c>
      <c r="M804" t="s">
        <v>10759</v>
      </c>
      <c r="N804" s="3" t="str">
        <f t="shared" si="190"/>
        <v>SFm&amp;1&amp;rDXHP&amp;Ex&amp;Fenest__ManufWin</v>
      </c>
      <c r="O804" s="3" t="s">
        <v>50</v>
      </c>
      <c r="P804" s="3">
        <v>1</v>
      </c>
      <c r="Q804" s="3" t="s">
        <v>57</v>
      </c>
      <c r="R804" s="3" t="s">
        <v>52</v>
      </c>
      <c r="S804" s="3" t="s">
        <v>10734</v>
      </c>
      <c r="T804" s="3" t="str">
        <f t="shared" si="180"/>
        <v>Fenest__ManufWin</v>
      </c>
      <c r="U804" s="3" t="str">
        <f t="shared" si="184"/>
        <v>Fenest__ManufWin</v>
      </c>
      <c r="V804" s="3" t="s">
        <v>785</v>
      </c>
      <c r="W804" s="3" t="s">
        <v>1040</v>
      </c>
      <c r="X804" s="3" t="s">
        <v>785</v>
      </c>
      <c r="Y804" s="3" t="s">
        <v>1040</v>
      </c>
      <c r="AA804" s="3" t="s">
        <v>55</v>
      </c>
      <c r="AC804">
        <v>1975</v>
      </c>
    </row>
    <row r="805" spans="1:29" x14ac:dyDescent="0.3">
      <c r="A805" s="3" t="s">
        <v>10754</v>
      </c>
      <c r="B805" s="3" t="s">
        <v>10675</v>
      </c>
      <c r="C805" s="3" t="s">
        <v>10755</v>
      </c>
      <c r="D805" s="3" t="str">
        <f t="shared" si="179"/>
        <v>SWBE011-01 Windows_SFm</v>
      </c>
      <c r="E805" s="3" t="str">
        <f t="shared" si="192"/>
        <v>SWBE011-01 Windows_SFm_1975_Msr3</v>
      </c>
      <c r="F805" s="50" t="s">
        <v>10769</v>
      </c>
      <c r="G805" s="50" t="s">
        <v>10769</v>
      </c>
      <c r="H805" s="50" t="str">
        <f t="shared" si="182"/>
        <v>RE-Fenest-ManufWin-rNCEH-Ex</v>
      </c>
      <c r="J805" t="str">
        <f t="shared" si="183"/>
        <v>RE-Fenest-ManufWin-rNCEH-Eff</v>
      </c>
      <c r="K805" t="s">
        <v>10760</v>
      </c>
      <c r="M805" t="s">
        <v>10761</v>
      </c>
      <c r="N805" s="3" t="str">
        <f t="shared" si="190"/>
        <v>SFm&amp;1&amp;rNCEH&amp;Ex&amp;Fenest__ManufWin</v>
      </c>
      <c r="O805" s="3" t="s">
        <v>50</v>
      </c>
      <c r="P805" s="3">
        <v>1</v>
      </c>
      <c r="Q805" s="3" t="s">
        <v>71</v>
      </c>
      <c r="R805" s="3" t="s">
        <v>52</v>
      </c>
      <c r="S805" s="3" t="s">
        <v>10734</v>
      </c>
      <c r="T805" s="3" t="str">
        <f t="shared" si="180"/>
        <v>Fenest__ManufWin</v>
      </c>
      <c r="U805" s="3" t="str">
        <f t="shared" si="184"/>
        <v>Fenest__ManufWin</v>
      </c>
      <c r="V805" s="3" t="s">
        <v>785</v>
      </c>
      <c r="W805" s="3" t="s">
        <v>1040</v>
      </c>
      <c r="X805" s="3" t="s">
        <v>785</v>
      </c>
      <c r="Y805" s="3" t="s">
        <v>1040</v>
      </c>
      <c r="AA805" s="3" t="s">
        <v>55</v>
      </c>
      <c r="AC805">
        <v>1975</v>
      </c>
    </row>
    <row r="806" spans="1:29" x14ac:dyDescent="0.3">
      <c r="A806" s="3" t="s">
        <v>10754</v>
      </c>
      <c r="B806" s="3" t="s">
        <v>10675</v>
      </c>
      <c r="C806" s="3" t="s">
        <v>10755</v>
      </c>
      <c r="D806" s="3" t="str">
        <f t="shared" si="179"/>
        <v>SWBE011-01 Windows_SFm</v>
      </c>
      <c r="E806" s="3" t="str">
        <f t="shared" si="192"/>
        <v>SWBE011-01 Windows_SFm_1975_Msr3</v>
      </c>
      <c r="F806" s="50" t="s">
        <v>10769</v>
      </c>
      <c r="G806" s="50" t="s">
        <v>10769</v>
      </c>
      <c r="H806" s="50" t="str">
        <f t="shared" si="182"/>
        <v>RG-Fenest-ManufWin-rNCGF-Ex</v>
      </c>
      <c r="J806" t="str">
        <f t="shared" si="183"/>
        <v>RG-Fenest-ManufWin-rNCGF-Eff</v>
      </c>
      <c r="K806" t="s">
        <v>10762</v>
      </c>
      <c r="M806" t="s">
        <v>10763</v>
      </c>
      <c r="N806" s="3" t="str">
        <f t="shared" si="190"/>
        <v>SFm&amp;1&amp;rNCGF&amp;Ex&amp;Fenest__ManufWin</v>
      </c>
      <c r="O806" s="3" t="s">
        <v>50</v>
      </c>
      <c r="P806" s="3">
        <v>1</v>
      </c>
      <c r="Q806" s="3" t="s">
        <v>58</v>
      </c>
      <c r="R806" s="3" t="s">
        <v>52</v>
      </c>
      <c r="S806" s="3" t="s">
        <v>10734</v>
      </c>
      <c r="T806" s="3" t="str">
        <f t="shared" si="180"/>
        <v>Fenest__ManufWin</v>
      </c>
      <c r="U806" s="3" t="str">
        <f t="shared" si="184"/>
        <v>Fenest__ManufWin</v>
      </c>
      <c r="V806" s="3" t="s">
        <v>785</v>
      </c>
      <c r="W806" s="3" t="s">
        <v>1040</v>
      </c>
      <c r="X806" s="3" t="s">
        <v>785</v>
      </c>
      <c r="Y806" s="3" t="s">
        <v>1040</v>
      </c>
      <c r="AA806" s="3" t="s">
        <v>55</v>
      </c>
      <c r="AC806">
        <v>1975</v>
      </c>
    </row>
    <row r="807" spans="1:29" x14ac:dyDescent="0.3">
      <c r="A807" s="3" t="s">
        <v>10754</v>
      </c>
      <c r="B807" s="3" t="s">
        <v>10675</v>
      </c>
      <c r="C807" s="3" t="s">
        <v>10755</v>
      </c>
      <c r="D807" s="3" t="str">
        <f t="shared" si="179"/>
        <v>SWBE011-01 Windows_SFm</v>
      </c>
      <c r="E807" s="3" t="str">
        <f>CONCATENATE(D807,"_",AC807,"_","Msr1")</f>
        <v>SWBE011-01 Windows_SFm_1985_Msr1</v>
      </c>
      <c r="F807" s="50" t="s">
        <v>10769</v>
      </c>
      <c r="G807" s="50" t="s">
        <v>10769</v>
      </c>
      <c r="H807" s="50" t="str">
        <f t="shared" si="182"/>
        <v>RG-Fenest-ManufWin-rDXGF-Ex</v>
      </c>
      <c r="J807" t="str">
        <f t="shared" si="183"/>
        <v>RG-Fenest-ManufWin-rDXGF-Eff</v>
      </c>
      <c r="K807" t="s">
        <v>10756</v>
      </c>
      <c r="M807" t="s">
        <v>10757</v>
      </c>
      <c r="N807" s="3" t="str">
        <f t="shared" si="190"/>
        <v>SFm&amp;1&amp;rDXGF&amp;Ex&amp;Fenest__ManufWin</v>
      </c>
      <c r="O807" s="3" t="s">
        <v>50</v>
      </c>
      <c r="P807" s="3">
        <v>1</v>
      </c>
      <c r="Q807" s="3" t="s">
        <v>51</v>
      </c>
      <c r="R807" s="3" t="s">
        <v>52</v>
      </c>
      <c r="S807" s="3" t="s">
        <v>10734</v>
      </c>
      <c r="T807" s="3" t="str">
        <f t="shared" si="180"/>
        <v>Fenest__ManufWin</v>
      </c>
      <c r="U807" s="3" t="str">
        <f t="shared" si="184"/>
        <v>Fenest__ManufWin</v>
      </c>
      <c r="V807" s="3" t="s">
        <v>785</v>
      </c>
      <c r="W807" s="3" t="s">
        <v>1040</v>
      </c>
      <c r="X807" s="3" t="s">
        <v>785</v>
      </c>
      <c r="Y807" s="3" t="s">
        <v>1040</v>
      </c>
      <c r="AA807" s="3" t="s">
        <v>55</v>
      </c>
      <c r="AC807">
        <v>1985</v>
      </c>
    </row>
    <row r="808" spans="1:29" x14ac:dyDescent="0.3">
      <c r="A808" s="3" t="s">
        <v>10754</v>
      </c>
      <c r="B808" s="3" t="s">
        <v>10675</v>
      </c>
      <c r="C808" s="3" t="s">
        <v>10755</v>
      </c>
      <c r="D808" s="3" t="str">
        <f t="shared" si="179"/>
        <v>SWBE011-01 Windows_SFm</v>
      </c>
      <c r="E808" s="3" t="str">
        <f t="shared" ref="E808:E810" si="193">CONCATENATE(D808,"_",AC808,"_","Msr1")</f>
        <v>SWBE011-01 Windows_SFm_1985_Msr1</v>
      </c>
      <c r="F808" s="50" t="s">
        <v>10769</v>
      </c>
      <c r="G808" s="50" t="s">
        <v>10769</v>
      </c>
      <c r="H808" s="50" t="str">
        <f t="shared" si="182"/>
        <v>RE-Fenest-ManufWin-rDXHP-Ex</v>
      </c>
      <c r="J808" t="str">
        <f t="shared" si="183"/>
        <v>RE-Fenest-ManufWin-rDXHP-Eff</v>
      </c>
      <c r="K808" t="s">
        <v>10758</v>
      </c>
      <c r="M808" t="s">
        <v>10759</v>
      </c>
      <c r="N808" s="3" t="str">
        <f t="shared" si="190"/>
        <v>SFm&amp;1&amp;rDXHP&amp;Ex&amp;Fenest__ManufWin</v>
      </c>
      <c r="O808" s="3" t="s">
        <v>50</v>
      </c>
      <c r="P808" s="3">
        <v>1</v>
      </c>
      <c r="Q808" s="3" t="s">
        <v>57</v>
      </c>
      <c r="R808" s="3" t="s">
        <v>52</v>
      </c>
      <c r="S808" s="3" t="s">
        <v>10734</v>
      </c>
      <c r="T808" s="3" t="str">
        <f t="shared" si="180"/>
        <v>Fenest__ManufWin</v>
      </c>
      <c r="U808" s="3" t="str">
        <f t="shared" si="184"/>
        <v>Fenest__ManufWin</v>
      </c>
      <c r="V808" s="3" t="s">
        <v>785</v>
      </c>
      <c r="W808" s="3" t="s">
        <v>1040</v>
      </c>
      <c r="X808" s="3" t="s">
        <v>785</v>
      </c>
      <c r="Y808" s="3" t="s">
        <v>1040</v>
      </c>
      <c r="AA808" s="3" t="s">
        <v>55</v>
      </c>
      <c r="AC808">
        <v>1985</v>
      </c>
    </row>
    <row r="809" spans="1:29" x14ac:dyDescent="0.3">
      <c r="A809" s="3" t="s">
        <v>10754</v>
      </c>
      <c r="B809" s="3" t="s">
        <v>10675</v>
      </c>
      <c r="C809" s="3" t="s">
        <v>10755</v>
      </c>
      <c r="D809" s="3" t="str">
        <f t="shared" si="179"/>
        <v>SWBE011-01 Windows_SFm</v>
      </c>
      <c r="E809" s="3" t="str">
        <f t="shared" si="193"/>
        <v>SWBE011-01 Windows_SFm_1985_Msr1</v>
      </c>
      <c r="F809" s="50" t="s">
        <v>10769</v>
      </c>
      <c r="G809" s="50" t="s">
        <v>10769</v>
      </c>
      <c r="H809" s="50" t="str">
        <f t="shared" si="182"/>
        <v>RE-Fenest-ManufWin-rNCEH-Ex</v>
      </c>
      <c r="J809" t="str">
        <f t="shared" si="183"/>
        <v>RE-Fenest-ManufWin-rNCEH-Eff</v>
      </c>
      <c r="K809" t="s">
        <v>10760</v>
      </c>
      <c r="M809" t="s">
        <v>10761</v>
      </c>
      <c r="N809" s="3" t="str">
        <f t="shared" si="190"/>
        <v>SFm&amp;1&amp;rNCEH&amp;Ex&amp;Fenest__ManufWin</v>
      </c>
      <c r="O809" s="3" t="s">
        <v>50</v>
      </c>
      <c r="P809" s="3">
        <v>1</v>
      </c>
      <c r="Q809" s="3" t="s">
        <v>71</v>
      </c>
      <c r="R809" s="3" t="s">
        <v>52</v>
      </c>
      <c r="S809" s="3" t="s">
        <v>10734</v>
      </c>
      <c r="T809" s="3" t="str">
        <f t="shared" si="180"/>
        <v>Fenest__ManufWin</v>
      </c>
      <c r="U809" s="3" t="str">
        <f t="shared" si="184"/>
        <v>Fenest__ManufWin</v>
      </c>
      <c r="V809" s="3" t="s">
        <v>785</v>
      </c>
      <c r="W809" s="3" t="s">
        <v>1040</v>
      </c>
      <c r="X809" s="3" t="s">
        <v>785</v>
      </c>
      <c r="Y809" s="3" t="s">
        <v>1040</v>
      </c>
      <c r="AA809" s="3" t="s">
        <v>55</v>
      </c>
      <c r="AC809">
        <v>1985</v>
      </c>
    </row>
    <row r="810" spans="1:29" x14ac:dyDescent="0.3">
      <c r="A810" s="3" t="s">
        <v>10754</v>
      </c>
      <c r="B810" s="3" t="s">
        <v>10675</v>
      </c>
      <c r="C810" s="3" t="s">
        <v>10755</v>
      </c>
      <c r="D810" s="3" t="str">
        <f t="shared" si="179"/>
        <v>SWBE011-01 Windows_SFm</v>
      </c>
      <c r="E810" s="3" t="str">
        <f t="shared" si="193"/>
        <v>SWBE011-01 Windows_SFm_1985_Msr1</v>
      </c>
      <c r="F810" s="50" t="s">
        <v>10769</v>
      </c>
      <c r="G810" s="50" t="s">
        <v>10769</v>
      </c>
      <c r="H810" s="50" t="str">
        <f t="shared" si="182"/>
        <v>RG-Fenest-ManufWin-rNCGF-Ex</v>
      </c>
      <c r="J810" t="str">
        <f t="shared" si="183"/>
        <v>RG-Fenest-ManufWin-rNCGF-Eff</v>
      </c>
      <c r="K810" t="s">
        <v>10762</v>
      </c>
      <c r="M810" t="s">
        <v>10763</v>
      </c>
      <c r="N810" s="3" t="str">
        <f t="shared" si="190"/>
        <v>SFm&amp;1&amp;rNCGF&amp;Ex&amp;Fenest__ManufWin</v>
      </c>
      <c r="O810" s="3" t="s">
        <v>50</v>
      </c>
      <c r="P810" s="3">
        <v>1</v>
      </c>
      <c r="Q810" s="3" t="s">
        <v>58</v>
      </c>
      <c r="R810" s="3" t="s">
        <v>52</v>
      </c>
      <c r="S810" s="3" t="s">
        <v>10734</v>
      </c>
      <c r="T810" s="3" t="str">
        <f t="shared" si="180"/>
        <v>Fenest__ManufWin</v>
      </c>
      <c r="U810" s="3" t="str">
        <f t="shared" si="184"/>
        <v>Fenest__ManufWin</v>
      </c>
      <c r="V810" s="3" t="s">
        <v>785</v>
      </c>
      <c r="W810" s="3" t="s">
        <v>1040</v>
      </c>
      <c r="X810" s="3" t="s">
        <v>785</v>
      </c>
      <c r="Y810" s="3" t="s">
        <v>1040</v>
      </c>
      <c r="AA810" s="3" t="s">
        <v>55</v>
      </c>
      <c r="AC810">
        <v>1985</v>
      </c>
    </row>
    <row r="811" spans="1:29" x14ac:dyDescent="0.3">
      <c r="A811" s="3" t="s">
        <v>10754</v>
      </c>
      <c r="B811" s="3" t="s">
        <v>10675</v>
      </c>
      <c r="C811" s="3" t="s">
        <v>10755</v>
      </c>
      <c r="D811" s="3" t="str">
        <f t="shared" si="179"/>
        <v>SWBE011-01 Windows_SFm</v>
      </c>
      <c r="E811" s="3" t="str">
        <f>CONCATENATE(D811,"_",AC811,"_","Msr2")</f>
        <v>SWBE011-01 Windows_SFm_1985_Msr2</v>
      </c>
      <c r="F811" s="50" t="s">
        <v>10769</v>
      </c>
      <c r="G811" s="50" t="s">
        <v>10769</v>
      </c>
      <c r="H811" s="50" t="str">
        <f t="shared" si="182"/>
        <v>RG-Fenest-ManufWin-rDXGF-Ex</v>
      </c>
      <c r="J811" t="str">
        <f t="shared" si="183"/>
        <v>RG-Fenest-ManufWin-rDXGF-Eff</v>
      </c>
      <c r="K811" t="s">
        <v>10756</v>
      </c>
      <c r="M811" t="s">
        <v>10757</v>
      </c>
      <c r="N811" s="3" t="str">
        <f t="shared" si="190"/>
        <v>SFm&amp;1&amp;rDXGF&amp;Ex&amp;Fenest__ManufWin</v>
      </c>
      <c r="O811" s="3" t="s">
        <v>50</v>
      </c>
      <c r="P811" s="3">
        <v>1</v>
      </c>
      <c r="Q811" s="3" t="s">
        <v>51</v>
      </c>
      <c r="R811" s="3" t="s">
        <v>52</v>
      </c>
      <c r="S811" s="3" t="s">
        <v>10734</v>
      </c>
      <c r="T811" s="3" t="str">
        <f t="shared" si="180"/>
        <v>Fenest__ManufWin</v>
      </c>
      <c r="U811" s="3" t="str">
        <f t="shared" si="184"/>
        <v>Fenest__ManufWin</v>
      </c>
      <c r="V811" s="3" t="s">
        <v>785</v>
      </c>
      <c r="W811" s="3" t="s">
        <v>1040</v>
      </c>
      <c r="X811" s="3" t="s">
        <v>785</v>
      </c>
      <c r="Y811" s="3" t="s">
        <v>1040</v>
      </c>
      <c r="AA811" s="3" t="s">
        <v>55</v>
      </c>
      <c r="AC811">
        <v>1985</v>
      </c>
    </row>
    <row r="812" spans="1:29" x14ac:dyDescent="0.3">
      <c r="A812" s="3" t="s">
        <v>10754</v>
      </c>
      <c r="B812" s="3" t="s">
        <v>10675</v>
      </c>
      <c r="C812" s="3" t="s">
        <v>10755</v>
      </c>
      <c r="D812" s="3" t="str">
        <f t="shared" si="179"/>
        <v>SWBE011-01 Windows_SFm</v>
      </c>
      <c r="E812" s="3" t="str">
        <f t="shared" ref="E812:E814" si="194">CONCATENATE(D812,"_",AC812,"_","Msr2")</f>
        <v>SWBE011-01 Windows_SFm_1985_Msr2</v>
      </c>
      <c r="F812" s="50" t="s">
        <v>10769</v>
      </c>
      <c r="G812" s="50" t="s">
        <v>10769</v>
      </c>
      <c r="H812" s="50" t="str">
        <f t="shared" si="182"/>
        <v>RE-Fenest-ManufWin-rDXHP-Ex</v>
      </c>
      <c r="J812" t="str">
        <f t="shared" si="183"/>
        <v>RE-Fenest-ManufWin-rDXHP-Eff</v>
      </c>
      <c r="K812" t="s">
        <v>10758</v>
      </c>
      <c r="M812" t="s">
        <v>10759</v>
      </c>
      <c r="N812" s="3" t="str">
        <f t="shared" si="190"/>
        <v>SFm&amp;1&amp;rDXHP&amp;Ex&amp;Fenest__ManufWin</v>
      </c>
      <c r="O812" s="3" t="s">
        <v>50</v>
      </c>
      <c r="P812" s="3">
        <v>1</v>
      </c>
      <c r="Q812" s="3" t="s">
        <v>57</v>
      </c>
      <c r="R812" s="3" t="s">
        <v>52</v>
      </c>
      <c r="S812" s="3" t="s">
        <v>10734</v>
      </c>
      <c r="T812" s="3" t="str">
        <f t="shared" si="180"/>
        <v>Fenest__ManufWin</v>
      </c>
      <c r="U812" s="3" t="str">
        <f t="shared" si="184"/>
        <v>Fenest__ManufWin</v>
      </c>
      <c r="V812" s="3" t="s">
        <v>785</v>
      </c>
      <c r="W812" s="3" t="s">
        <v>1040</v>
      </c>
      <c r="X812" s="3" t="s">
        <v>785</v>
      </c>
      <c r="Y812" s="3" t="s">
        <v>1040</v>
      </c>
      <c r="AA812" s="3" t="s">
        <v>55</v>
      </c>
      <c r="AC812">
        <v>1985</v>
      </c>
    </row>
    <row r="813" spans="1:29" x14ac:dyDescent="0.3">
      <c r="A813" s="3" t="s">
        <v>10754</v>
      </c>
      <c r="B813" s="3" t="s">
        <v>10675</v>
      </c>
      <c r="C813" s="3" t="s">
        <v>10755</v>
      </c>
      <c r="D813" s="3" t="str">
        <f t="shared" si="179"/>
        <v>SWBE011-01 Windows_SFm</v>
      </c>
      <c r="E813" s="3" t="str">
        <f t="shared" si="194"/>
        <v>SWBE011-01 Windows_SFm_1985_Msr2</v>
      </c>
      <c r="F813" s="50" t="s">
        <v>10769</v>
      </c>
      <c r="G813" s="50" t="s">
        <v>10769</v>
      </c>
      <c r="H813" s="50" t="str">
        <f t="shared" si="182"/>
        <v>RE-Fenest-ManufWin-rNCEH-Ex</v>
      </c>
      <c r="J813" t="str">
        <f t="shared" si="183"/>
        <v>RE-Fenest-ManufWin-rNCEH-Eff</v>
      </c>
      <c r="K813" t="s">
        <v>10760</v>
      </c>
      <c r="M813" t="s">
        <v>10761</v>
      </c>
      <c r="N813" s="3" t="str">
        <f t="shared" si="190"/>
        <v>SFm&amp;1&amp;rNCEH&amp;Ex&amp;Fenest__ManufWin</v>
      </c>
      <c r="O813" s="3" t="s">
        <v>50</v>
      </c>
      <c r="P813" s="3">
        <v>1</v>
      </c>
      <c r="Q813" s="3" t="s">
        <v>71</v>
      </c>
      <c r="R813" s="3" t="s">
        <v>52</v>
      </c>
      <c r="S813" s="3" t="s">
        <v>10734</v>
      </c>
      <c r="T813" s="3" t="str">
        <f t="shared" si="180"/>
        <v>Fenest__ManufWin</v>
      </c>
      <c r="U813" s="3" t="str">
        <f t="shared" si="184"/>
        <v>Fenest__ManufWin</v>
      </c>
      <c r="V813" s="3" t="s">
        <v>785</v>
      </c>
      <c r="W813" s="3" t="s">
        <v>1040</v>
      </c>
      <c r="X813" s="3" t="s">
        <v>785</v>
      </c>
      <c r="Y813" s="3" t="s">
        <v>1040</v>
      </c>
      <c r="AA813" s="3" t="s">
        <v>55</v>
      </c>
      <c r="AC813">
        <v>1985</v>
      </c>
    </row>
    <row r="814" spans="1:29" x14ac:dyDescent="0.3">
      <c r="A814" s="3" t="s">
        <v>10754</v>
      </c>
      <c r="B814" s="3" t="s">
        <v>10675</v>
      </c>
      <c r="C814" s="3" t="s">
        <v>10755</v>
      </c>
      <c r="D814" s="3" t="str">
        <f t="shared" si="179"/>
        <v>SWBE011-01 Windows_SFm</v>
      </c>
      <c r="E814" s="3" t="str">
        <f t="shared" si="194"/>
        <v>SWBE011-01 Windows_SFm_1985_Msr2</v>
      </c>
      <c r="F814" s="50" t="s">
        <v>10769</v>
      </c>
      <c r="G814" s="50" t="s">
        <v>10769</v>
      </c>
      <c r="H814" s="50" t="str">
        <f t="shared" si="182"/>
        <v>RG-Fenest-ManufWin-rNCGF-Ex</v>
      </c>
      <c r="J814" t="str">
        <f t="shared" si="183"/>
        <v>RG-Fenest-ManufWin-rNCGF-Eff</v>
      </c>
      <c r="K814" t="s">
        <v>10762</v>
      </c>
      <c r="M814" t="s">
        <v>10763</v>
      </c>
      <c r="N814" s="3" t="str">
        <f t="shared" si="190"/>
        <v>SFm&amp;1&amp;rNCGF&amp;Ex&amp;Fenest__ManufWin</v>
      </c>
      <c r="O814" s="3" t="s">
        <v>50</v>
      </c>
      <c r="P814" s="3">
        <v>1</v>
      </c>
      <c r="Q814" s="3" t="s">
        <v>58</v>
      </c>
      <c r="R814" s="3" t="s">
        <v>52</v>
      </c>
      <c r="S814" s="3" t="s">
        <v>10734</v>
      </c>
      <c r="T814" s="3" t="str">
        <f t="shared" si="180"/>
        <v>Fenest__ManufWin</v>
      </c>
      <c r="U814" s="3" t="str">
        <f t="shared" si="184"/>
        <v>Fenest__ManufWin</v>
      </c>
      <c r="V814" s="3" t="s">
        <v>785</v>
      </c>
      <c r="W814" s="3" t="s">
        <v>1040</v>
      </c>
      <c r="X814" s="3" t="s">
        <v>785</v>
      </c>
      <c r="Y814" s="3" t="s">
        <v>1040</v>
      </c>
      <c r="AA814" s="3" t="s">
        <v>55</v>
      </c>
      <c r="AC814">
        <v>1985</v>
      </c>
    </row>
    <row r="815" spans="1:29" x14ac:dyDescent="0.3">
      <c r="A815" s="3" t="s">
        <v>10754</v>
      </c>
      <c r="B815" s="3" t="s">
        <v>10675</v>
      </c>
      <c r="C815" s="3" t="s">
        <v>10755</v>
      </c>
      <c r="D815" s="3" t="str">
        <f t="shared" si="179"/>
        <v>SWBE011-01 Windows_SFm</v>
      </c>
      <c r="E815" s="3" t="str">
        <f>CONCATENATE(D815,"_",AC815,"_","Msr3")</f>
        <v>SWBE011-01 Windows_SFm_1985_Msr3</v>
      </c>
      <c r="F815" s="50" t="s">
        <v>10769</v>
      </c>
      <c r="G815" s="50" t="s">
        <v>10769</v>
      </c>
      <c r="H815" s="50" t="str">
        <f t="shared" si="182"/>
        <v>RG-Fenest-ManufWin-rDXGF-Ex</v>
      </c>
      <c r="J815" t="str">
        <f t="shared" si="183"/>
        <v>RG-Fenest-ManufWin-rDXGF-Eff</v>
      </c>
      <c r="K815" t="s">
        <v>10756</v>
      </c>
      <c r="M815" t="s">
        <v>10757</v>
      </c>
      <c r="N815" s="3" t="str">
        <f t="shared" si="190"/>
        <v>SFm&amp;1&amp;rDXGF&amp;Ex&amp;Fenest__ManufWin</v>
      </c>
      <c r="O815" s="3" t="s">
        <v>50</v>
      </c>
      <c r="P815" s="3">
        <v>1</v>
      </c>
      <c r="Q815" s="3" t="s">
        <v>51</v>
      </c>
      <c r="R815" s="3" t="s">
        <v>52</v>
      </c>
      <c r="S815" s="3" t="s">
        <v>10734</v>
      </c>
      <c r="T815" s="3" t="str">
        <f t="shared" si="180"/>
        <v>Fenest__ManufWin</v>
      </c>
      <c r="U815" s="3" t="str">
        <f t="shared" si="184"/>
        <v>Fenest__ManufWin</v>
      </c>
      <c r="V815" s="3" t="s">
        <v>785</v>
      </c>
      <c r="W815" s="3" t="s">
        <v>1040</v>
      </c>
      <c r="X815" s="3" t="s">
        <v>785</v>
      </c>
      <c r="Y815" s="3" t="s">
        <v>1040</v>
      </c>
      <c r="AA815" s="3" t="s">
        <v>55</v>
      </c>
      <c r="AC815">
        <v>1985</v>
      </c>
    </row>
    <row r="816" spans="1:29" x14ac:dyDescent="0.3">
      <c r="A816" s="3" t="s">
        <v>10754</v>
      </c>
      <c r="B816" s="3" t="s">
        <v>10675</v>
      </c>
      <c r="C816" s="3" t="s">
        <v>10755</v>
      </c>
      <c r="D816" s="3" t="str">
        <f t="shared" si="179"/>
        <v>SWBE011-01 Windows_SFm</v>
      </c>
      <c r="E816" s="3" t="str">
        <f t="shared" ref="E816:E818" si="195">CONCATENATE(D816,"_",AC816,"_","Msr3")</f>
        <v>SWBE011-01 Windows_SFm_1985_Msr3</v>
      </c>
      <c r="F816" s="50" t="s">
        <v>10769</v>
      </c>
      <c r="G816" s="50" t="s">
        <v>10769</v>
      </c>
      <c r="H816" s="50" t="str">
        <f t="shared" si="182"/>
        <v>RE-Fenest-ManufWin-rDXHP-Ex</v>
      </c>
      <c r="J816" t="str">
        <f t="shared" si="183"/>
        <v>RE-Fenest-ManufWin-rDXHP-Eff</v>
      </c>
      <c r="K816" t="s">
        <v>10758</v>
      </c>
      <c r="M816" t="s">
        <v>10759</v>
      </c>
      <c r="N816" s="3" t="str">
        <f t="shared" si="190"/>
        <v>SFm&amp;1&amp;rDXHP&amp;Ex&amp;Fenest__ManufWin</v>
      </c>
      <c r="O816" s="3" t="s">
        <v>50</v>
      </c>
      <c r="P816" s="3">
        <v>1</v>
      </c>
      <c r="Q816" s="3" t="s">
        <v>57</v>
      </c>
      <c r="R816" s="3" t="s">
        <v>52</v>
      </c>
      <c r="S816" s="3" t="s">
        <v>10734</v>
      </c>
      <c r="T816" s="3" t="str">
        <f t="shared" si="180"/>
        <v>Fenest__ManufWin</v>
      </c>
      <c r="U816" s="3" t="str">
        <f t="shared" si="184"/>
        <v>Fenest__ManufWin</v>
      </c>
      <c r="V816" s="3" t="s">
        <v>785</v>
      </c>
      <c r="W816" s="3" t="s">
        <v>1040</v>
      </c>
      <c r="X816" s="3" t="s">
        <v>785</v>
      </c>
      <c r="Y816" s="3" t="s">
        <v>1040</v>
      </c>
      <c r="AA816" s="3" t="s">
        <v>55</v>
      </c>
      <c r="AC816">
        <v>1985</v>
      </c>
    </row>
    <row r="817" spans="1:29" x14ac:dyDescent="0.3">
      <c r="A817" s="3" t="s">
        <v>10754</v>
      </c>
      <c r="B817" s="3" t="s">
        <v>10675</v>
      </c>
      <c r="C817" s="3" t="s">
        <v>10755</v>
      </c>
      <c r="D817" s="3" t="str">
        <f t="shared" si="179"/>
        <v>SWBE011-01 Windows_SFm</v>
      </c>
      <c r="E817" s="3" t="str">
        <f t="shared" si="195"/>
        <v>SWBE011-01 Windows_SFm_1985_Msr3</v>
      </c>
      <c r="F817" s="50" t="s">
        <v>10769</v>
      </c>
      <c r="G817" s="50" t="s">
        <v>10769</v>
      </c>
      <c r="H817" s="50" t="str">
        <f t="shared" si="182"/>
        <v>RE-Fenest-ManufWin-rNCEH-Ex</v>
      </c>
      <c r="J817" t="str">
        <f t="shared" si="183"/>
        <v>RE-Fenest-ManufWin-rNCEH-Eff</v>
      </c>
      <c r="K817" t="s">
        <v>10760</v>
      </c>
      <c r="M817" t="s">
        <v>10761</v>
      </c>
      <c r="N817" s="3" t="str">
        <f t="shared" si="190"/>
        <v>SFm&amp;1&amp;rNCEH&amp;Ex&amp;Fenest__ManufWin</v>
      </c>
      <c r="O817" s="3" t="s">
        <v>50</v>
      </c>
      <c r="P817" s="3">
        <v>1</v>
      </c>
      <c r="Q817" s="3" t="s">
        <v>71</v>
      </c>
      <c r="R817" s="3" t="s">
        <v>52</v>
      </c>
      <c r="S817" s="3" t="s">
        <v>10734</v>
      </c>
      <c r="T817" s="3" t="str">
        <f t="shared" si="180"/>
        <v>Fenest__ManufWin</v>
      </c>
      <c r="U817" s="3" t="str">
        <f t="shared" si="184"/>
        <v>Fenest__ManufWin</v>
      </c>
      <c r="V817" s="3" t="s">
        <v>785</v>
      </c>
      <c r="W817" s="3" t="s">
        <v>1040</v>
      </c>
      <c r="X817" s="3" t="s">
        <v>785</v>
      </c>
      <c r="Y817" s="3" t="s">
        <v>1040</v>
      </c>
      <c r="AA817" s="3" t="s">
        <v>55</v>
      </c>
      <c r="AC817">
        <v>1985</v>
      </c>
    </row>
    <row r="818" spans="1:29" x14ac:dyDescent="0.3">
      <c r="A818" s="3" t="s">
        <v>10754</v>
      </c>
      <c r="B818" s="3" t="s">
        <v>10675</v>
      </c>
      <c r="C818" s="3" t="s">
        <v>10755</v>
      </c>
      <c r="D818" s="3" t="str">
        <f t="shared" si="179"/>
        <v>SWBE011-01 Windows_SFm</v>
      </c>
      <c r="E818" s="3" t="str">
        <f t="shared" si="195"/>
        <v>SWBE011-01 Windows_SFm_1985_Msr3</v>
      </c>
      <c r="F818" s="50" t="s">
        <v>10769</v>
      </c>
      <c r="G818" s="50" t="s">
        <v>10769</v>
      </c>
      <c r="H818" s="50" t="str">
        <f t="shared" si="182"/>
        <v>RG-Fenest-ManufWin-rNCGF-Ex</v>
      </c>
      <c r="J818" t="str">
        <f t="shared" si="183"/>
        <v>RG-Fenest-ManufWin-rNCGF-Eff</v>
      </c>
      <c r="K818" t="s">
        <v>10762</v>
      </c>
      <c r="M818" t="s">
        <v>10763</v>
      </c>
      <c r="N818" s="3" t="str">
        <f t="shared" si="190"/>
        <v>SFm&amp;1&amp;rNCGF&amp;Ex&amp;Fenest__ManufWin</v>
      </c>
      <c r="O818" s="3" t="s">
        <v>50</v>
      </c>
      <c r="P818" s="3">
        <v>1</v>
      </c>
      <c r="Q818" s="3" t="s">
        <v>58</v>
      </c>
      <c r="R818" s="3" t="s">
        <v>52</v>
      </c>
      <c r="S818" s="3" t="s">
        <v>10734</v>
      </c>
      <c r="T818" s="3" t="str">
        <f t="shared" si="180"/>
        <v>Fenest__ManufWin</v>
      </c>
      <c r="U818" s="3" t="str">
        <f t="shared" si="184"/>
        <v>Fenest__ManufWin</v>
      </c>
      <c r="V818" s="3" t="s">
        <v>785</v>
      </c>
      <c r="W818" s="3" t="s">
        <v>1040</v>
      </c>
      <c r="X818" s="3" t="s">
        <v>785</v>
      </c>
      <c r="Y818" s="3" t="s">
        <v>1040</v>
      </c>
      <c r="AA818" s="3" t="s">
        <v>55</v>
      </c>
      <c r="AC818">
        <v>1985</v>
      </c>
    </row>
    <row r="819" spans="1:29" x14ac:dyDescent="0.3">
      <c r="A819" s="3" t="s">
        <v>10754</v>
      </c>
      <c r="B819" s="3" t="s">
        <v>10675</v>
      </c>
      <c r="C819" s="3" t="s">
        <v>10755</v>
      </c>
      <c r="D819" s="3" t="str">
        <f t="shared" si="179"/>
        <v>SWBE011-01 Windows_SFm</v>
      </c>
      <c r="E819" s="3" t="str">
        <f>CONCATENATE(D819,"_",AC819,"_","Msr1")</f>
        <v>SWBE011-01 Windows_SFm_1975_Msr1</v>
      </c>
      <c r="F819" s="50" t="s">
        <v>10769</v>
      </c>
      <c r="G819" s="50" t="s">
        <v>10769</v>
      </c>
      <c r="H819" s="50" t="str">
        <f t="shared" si="182"/>
        <v>RG-Fenest-ManufWin-rDXGF-Ex</v>
      </c>
      <c r="J819" t="str">
        <f t="shared" si="183"/>
        <v>RG-Fenest-ManufWin-rDXGF-Eff</v>
      </c>
      <c r="K819" t="s">
        <v>10756</v>
      </c>
      <c r="M819" t="s">
        <v>10757</v>
      </c>
      <c r="N819" s="3" t="str">
        <f t="shared" si="190"/>
        <v>SFm&amp;2&amp;rDXGF&amp;Ex&amp;Fenest__ManufWin</v>
      </c>
      <c r="O819" s="3" t="s">
        <v>50</v>
      </c>
      <c r="P819" s="3">
        <v>2</v>
      </c>
      <c r="Q819" s="3" t="s">
        <v>51</v>
      </c>
      <c r="R819" s="3" t="s">
        <v>52</v>
      </c>
      <c r="S819" s="3" t="s">
        <v>10734</v>
      </c>
      <c r="T819" s="3" t="str">
        <f t="shared" si="180"/>
        <v>Fenest__ManufWin</v>
      </c>
      <c r="U819" s="3" t="str">
        <f t="shared" si="184"/>
        <v>Fenest__ManufWin</v>
      </c>
      <c r="V819" s="3" t="s">
        <v>785</v>
      </c>
      <c r="W819" s="3" t="s">
        <v>1040</v>
      </c>
      <c r="X819" s="3" t="s">
        <v>785</v>
      </c>
      <c r="Y819" s="3" t="s">
        <v>1040</v>
      </c>
      <c r="AA819" s="3" t="s">
        <v>55</v>
      </c>
      <c r="AC819">
        <v>1975</v>
      </c>
    </row>
    <row r="820" spans="1:29" x14ac:dyDescent="0.3">
      <c r="A820" s="3" t="s">
        <v>10754</v>
      </c>
      <c r="B820" s="3" t="s">
        <v>10675</v>
      </c>
      <c r="C820" s="3" t="s">
        <v>10755</v>
      </c>
      <c r="D820" s="3" t="str">
        <f t="shared" si="179"/>
        <v>SWBE011-01 Windows_SFm</v>
      </c>
      <c r="E820" s="3" t="str">
        <f t="shared" ref="E820:E822" si="196">CONCATENATE(D820,"_",AC820,"_","Msr1")</f>
        <v>SWBE011-01 Windows_SFm_1975_Msr1</v>
      </c>
      <c r="F820" s="50" t="s">
        <v>10769</v>
      </c>
      <c r="G820" s="50" t="s">
        <v>10769</v>
      </c>
      <c r="H820" s="50" t="str">
        <f t="shared" si="182"/>
        <v>RE-Fenest-ManufWin-rDXHP-Ex</v>
      </c>
      <c r="J820" t="str">
        <f t="shared" si="183"/>
        <v>RE-Fenest-ManufWin-rDXHP-Eff</v>
      </c>
      <c r="K820" t="s">
        <v>10758</v>
      </c>
      <c r="M820" t="s">
        <v>10759</v>
      </c>
      <c r="N820" s="3" t="str">
        <f t="shared" si="190"/>
        <v>SFm&amp;2&amp;rDXHP&amp;Ex&amp;Fenest__ManufWin</v>
      </c>
      <c r="O820" s="3" t="s">
        <v>50</v>
      </c>
      <c r="P820" s="3">
        <v>2</v>
      </c>
      <c r="Q820" s="3" t="s">
        <v>57</v>
      </c>
      <c r="R820" s="3" t="s">
        <v>52</v>
      </c>
      <c r="S820" s="3" t="s">
        <v>10734</v>
      </c>
      <c r="T820" s="3" t="str">
        <f t="shared" si="180"/>
        <v>Fenest__ManufWin</v>
      </c>
      <c r="U820" s="3" t="str">
        <f t="shared" si="184"/>
        <v>Fenest__ManufWin</v>
      </c>
      <c r="V820" s="3" t="s">
        <v>785</v>
      </c>
      <c r="W820" s="3" t="s">
        <v>1040</v>
      </c>
      <c r="X820" s="3" t="s">
        <v>785</v>
      </c>
      <c r="Y820" s="3" t="s">
        <v>1040</v>
      </c>
      <c r="AA820" s="3" t="s">
        <v>55</v>
      </c>
      <c r="AC820">
        <v>1975</v>
      </c>
    </row>
    <row r="821" spans="1:29" x14ac:dyDescent="0.3">
      <c r="A821" s="3" t="s">
        <v>10754</v>
      </c>
      <c r="B821" s="3" t="s">
        <v>10675</v>
      </c>
      <c r="C821" s="3" t="s">
        <v>10755</v>
      </c>
      <c r="D821" s="3" t="str">
        <f t="shared" si="179"/>
        <v>SWBE011-01 Windows_SFm</v>
      </c>
      <c r="E821" s="3" t="str">
        <f t="shared" si="196"/>
        <v>SWBE011-01 Windows_SFm_1975_Msr1</v>
      </c>
      <c r="F821" s="50" t="s">
        <v>10769</v>
      </c>
      <c r="G821" s="50" t="s">
        <v>10769</v>
      </c>
      <c r="H821" s="50" t="str">
        <f t="shared" si="182"/>
        <v>RE-Fenest-ManufWin-rNCEH-Ex</v>
      </c>
      <c r="J821" t="str">
        <f t="shared" si="183"/>
        <v>RE-Fenest-ManufWin-rNCEH-Eff</v>
      </c>
      <c r="K821" t="s">
        <v>10760</v>
      </c>
      <c r="M821" t="s">
        <v>10761</v>
      </c>
      <c r="N821" s="3" t="str">
        <f t="shared" si="190"/>
        <v>SFm&amp;2&amp;rNCEH&amp;Ex&amp;Fenest__ManufWin</v>
      </c>
      <c r="O821" s="3" t="s">
        <v>50</v>
      </c>
      <c r="P821" s="3">
        <v>2</v>
      </c>
      <c r="Q821" s="3" t="s">
        <v>71</v>
      </c>
      <c r="R821" s="3" t="s">
        <v>52</v>
      </c>
      <c r="S821" s="3" t="s">
        <v>10734</v>
      </c>
      <c r="T821" s="3" t="str">
        <f t="shared" si="180"/>
        <v>Fenest__ManufWin</v>
      </c>
      <c r="U821" s="3" t="str">
        <f t="shared" si="184"/>
        <v>Fenest__ManufWin</v>
      </c>
      <c r="V821" s="3" t="s">
        <v>785</v>
      </c>
      <c r="W821" s="3" t="s">
        <v>1040</v>
      </c>
      <c r="X821" s="3" t="s">
        <v>785</v>
      </c>
      <c r="Y821" s="3" t="s">
        <v>1040</v>
      </c>
      <c r="AA821" s="3" t="s">
        <v>55</v>
      </c>
      <c r="AC821">
        <v>1975</v>
      </c>
    </row>
    <row r="822" spans="1:29" x14ac:dyDescent="0.3">
      <c r="A822" s="3" t="s">
        <v>10754</v>
      </c>
      <c r="B822" s="3" t="s">
        <v>10675</v>
      </c>
      <c r="C822" s="3" t="s">
        <v>10755</v>
      </c>
      <c r="D822" s="3" t="str">
        <f t="shared" si="179"/>
        <v>SWBE011-01 Windows_SFm</v>
      </c>
      <c r="E822" s="3" t="str">
        <f t="shared" si="196"/>
        <v>SWBE011-01 Windows_SFm_1975_Msr1</v>
      </c>
      <c r="F822" s="50" t="s">
        <v>10769</v>
      </c>
      <c r="G822" s="50" t="s">
        <v>10769</v>
      </c>
      <c r="H822" s="50" t="str">
        <f t="shared" si="182"/>
        <v>RG-Fenest-ManufWin-rNCGF-Ex</v>
      </c>
      <c r="J822" t="str">
        <f t="shared" si="183"/>
        <v>RG-Fenest-ManufWin-rNCGF-Eff</v>
      </c>
      <c r="K822" t="s">
        <v>10762</v>
      </c>
      <c r="M822" t="s">
        <v>10763</v>
      </c>
      <c r="N822" s="3" t="str">
        <f t="shared" si="190"/>
        <v>SFm&amp;2&amp;rNCGF&amp;Ex&amp;Fenest__ManufWin</v>
      </c>
      <c r="O822" s="3" t="s">
        <v>50</v>
      </c>
      <c r="P822" s="3">
        <v>2</v>
      </c>
      <c r="Q822" s="3" t="s">
        <v>58</v>
      </c>
      <c r="R822" s="3" t="s">
        <v>52</v>
      </c>
      <c r="S822" s="3" t="s">
        <v>10734</v>
      </c>
      <c r="T822" s="3" t="str">
        <f t="shared" si="180"/>
        <v>Fenest__ManufWin</v>
      </c>
      <c r="U822" s="3" t="str">
        <f t="shared" si="184"/>
        <v>Fenest__ManufWin</v>
      </c>
      <c r="V822" s="3" t="s">
        <v>785</v>
      </c>
      <c r="W822" s="3" t="s">
        <v>1040</v>
      </c>
      <c r="X822" s="3" t="s">
        <v>785</v>
      </c>
      <c r="Y822" s="3" t="s">
        <v>1040</v>
      </c>
      <c r="AA822" s="3" t="s">
        <v>55</v>
      </c>
      <c r="AC822">
        <v>1975</v>
      </c>
    </row>
    <row r="823" spans="1:29" x14ac:dyDescent="0.3">
      <c r="A823" s="3" t="s">
        <v>10754</v>
      </c>
      <c r="B823" s="3" t="s">
        <v>10675</v>
      </c>
      <c r="C823" s="3" t="s">
        <v>10755</v>
      </c>
      <c r="D823" s="3" t="str">
        <f t="shared" si="179"/>
        <v>SWBE011-01 Windows_SFm</v>
      </c>
      <c r="E823" s="3" t="str">
        <f>CONCATENATE(D823,"_",AC823,"_","Msr2")</f>
        <v>SWBE011-01 Windows_SFm_1975_Msr2</v>
      </c>
      <c r="F823" s="50" t="s">
        <v>10769</v>
      </c>
      <c r="G823" s="50" t="s">
        <v>10769</v>
      </c>
      <c r="H823" s="50" t="str">
        <f t="shared" si="182"/>
        <v>RG-Fenest-ManufWin-rDXGF-Ex</v>
      </c>
      <c r="J823" t="str">
        <f t="shared" si="183"/>
        <v>RG-Fenest-ManufWin-rDXGF-Eff</v>
      </c>
      <c r="K823" t="s">
        <v>10756</v>
      </c>
      <c r="M823" t="s">
        <v>10757</v>
      </c>
      <c r="N823" s="3" t="str">
        <f t="shared" si="190"/>
        <v>SFm&amp;2&amp;rDXGF&amp;Ex&amp;Fenest__ManufWin</v>
      </c>
      <c r="O823" s="3" t="s">
        <v>50</v>
      </c>
      <c r="P823" s="3">
        <v>2</v>
      </c>
      <c r="Q823" s="3" t="s">
        <v>51</v>
      </c>
      <c r="R823" s="3" t="s">
        <v>52</v>
      </c>
      <c r="S823" s="3" t="s">
        <v>10734</v>
      </c>
      <c r="T823" s="3" t="str">
        <f t="shared" si="180"/>
        <v>Fenest__ManufWin</v>
      </c>
      <c r="U823" s="3" t="str">
        <f t="shared" si="184"/>
        <v>Fenest__ManufWin</v>
      </c>
      <c r="V823" s="3" t="s">
        <v>785</v>
      </c>
      <c r="W823" s="3" t="s">
        <v>1040</v>
      </c>
      <c r="X823" s="3" t="s">
        <v>785</v>
      </c>
      <c r="Y823" s="3" t="s">
        <v>1040</v>
      </c>
      <c r="AA823" s="3" t="s">
        <v>55</v>
      </c>
      <c r="AC823">
        <v>1975</v>
      </c>
    </row>
    <row r="824" spans="1:29" x14ac:dyDescent="0.3">
      <c r="A824" s="3" t="s">
        <v>10754</v>
      </c>
      <c r="B824" s="3" t="s">
        <v>10675</v>
      </c>
      <c r="C824" s="3" t="s">
        <v>10755</v>
      </c>
      <c r="D824" s="3" t="str">
        <f t="shared" si="179"/>
        <v>SWBE011-01 Windows_SFm</v>
      </c>
      <c r="E824" s="3" t="str">
        <f t="shared" ref="E824:E826" si="197">CONCATENATE(D824,"_",AC824,"_","Msr2")</f>
        <v>SWBE011-01 Windows_SFm_1975_Msr2</v>
      </c>
      <c r="F824" s="50" t="s">
        <v>10769</v>
      </c>
      <c r="G824" s="50" t="s">
        <v>10769</v>
      </c>
      <c r="H824" s="50" t="str">
        <f t="shared" si="182"/>
        <v>RE-Fenest-ManufWin-rDXHP-Ex</v>
      </c>
      <c r="J824" t="str">
        <f t="shared" si="183"/>
        <v>RE-Fenest-ManufWin-rDXHP-Eff</v>
      </c>
      <c r="K824" t="s">
        <v>10758</v>
      </c>
      <c r="M824" t="s">
        <v>10759</v>
      </c>
      <c r="N824" s="3" t="str">
        <f t="shared" si="190"/>
        <v>SFm&amp;2&amp;rDXHP&amp;Ex&amp;Fenest__ManufWin</v>
      </c>
      <c r="O824" s="3" t="s">
        <v>50</v>
      </c>
      <c r="P824" s="3">
        <v>2</v>
      </c>
      <c r="Q824" s="3" t="s">
        <v>57</v>
      </c>
      <c r="R824" s="3" t="s">
        <v>52</v>
      </c>
      <c r="S824" s="3" t="s">
        <v>10734</v>
      </c>
      <c r="T824" s="3" t="str">
        <f t="shared" si="180"/>
        <v>Fenest__ManufWin</v>
      </c>
      <c r="U824" s="3" t="str">
        <f t="shared" si="184"/>
        <v>Fenest__ManufWin</v>
      </c>
      <c r="V824" s="3" t="s">
        <v>785</v>
      </c>
      <c r="W824" s="3" t="s">
        <v>1040</v>
      </c>
      <c r="X824" s="3" t="s">
        <v>785</v>
      </c>
      <c r="Y824" s="3" t="s">
        <v>1040</v>
      </c>
      <c r="AA824" s="3" t="s">
        <v>55</v>
      </c>
      <c r="AC824">
        <v>1975</v>
      </c>
    </row>
    <row r="825" spans="1:29" x14ac:dyDescent="0.3">
      <c r="A825" s="3" t="s">
        <v>10754</v>
      </c>
      <c r="B825" s="3" t="s">
        <v>10675</v>
      </c>
      <c r="C825" s="3" t="s">
        <v>10755</v>
      </c>
      <c r="D825" s="3" t="str">
        <f t="shared" si="179"/>
        <v>SWBE011-01 Windows_SFm</v>
      </c>
      <c r="E825" s="3" t="str">
        <f t="shared" si="197"/>
        <v>SWBE011-01 Windows_SFm_1975_Msr2</v>
      </c>
      <c r="F825" s="50" t="s">
        <v>10769</v>
      </c>
      <c r="G825" s="50" t="s">
        <v>10769</v>
      </c>
      <c r="H825" s="50" t="str">
        <f t="shared" si="182"/>
        <v>RE-Fenest-ManufWin-rNCEH-Ex</v>
      </c>
      <c r="J825" t="str">
        <f t="shared" si="183"/>
        <v>RE-Fenest-ManufWin-rNCEH-Eff</v>
      </c>
      <c r="K825" t="s">
        <v>10760</v>
      </c>
      <c r="M825" t="s">
        <v>10761</v>
      </c>
      <c r="N825" s="3" t="str">
        <f t="shared" si="190"/>
        <v>SFm&amp;2&amp;rNCEH&amp;Ex&amp;Fenest__ManufWin</v>
      </c>
      <c r="O825" s="3" t="s">
        <v>50</v>
      </c>
      <c r="P825" s="3">
        <v>2</v>
      </c>
      <c r="Q825" s="3" t="s">
        <v>71</v>
      </c>
      <c r="R825" s="3" t="s">
        <v>52</v>
      </c>
      <c r="S825" s="3" t="s">
        <v>10734</v>
      </c>
      <c r="T825" s="3" t="str">
        <f t="shared" si="180"/>
        <v>Fenest__ManufWin</v>
      </c>
      <c r="U825" s="3" t="str">
        <f t="shared" si="184"/>
        <v>Fenest__ManufWin</v>
      </c>
      <c r="V825" s="3" t="s">
        <v>785</v>
      </c>
      <c r="W825" s="3" t="s">
        <v>1040</v>
      </c>
      <c r="X825" s="3" t="s">
        <v>785</v>
      </c>
      <c r="Y825" s="3" t="s">
        <v>1040</v>
      </c>
      <c r="AA825" s="3" t="s">
        <v>55</v>
      </c>
      <c r="AC825">
        <v>1975</v>
      </c>
    </row>
    <row r="826" spans="1:29" x14ac:dyDescent="0.3">
      <c r="A826" s="3" t="s">
        <v>10754</v>
      </c>
      <c r="B826" s="3" t="s">
        <v>10675</v>
      </c>
      <c r="C826" s="3" t="s">
        <v>10755</v>
      </c>
      <c r="D826" s="3" t="str">
        <f t="shared" si="179"/>
        <v>SWBE011-01 Windows_SFm</v>
      </c>
      <c r="E826" s="3" t="str">
        <f t="shared" si="197"/>
        <v>SWBE011-01 Windows_SFm_1975_Msr2</v>
      </c>
      <c r="F826" s="50" t="s">
        <v>10769</v>
      </c>
      <c r="G826" s="50" t="s">
        <v>10769</v>
      </c>
      <c r="H826" s="50" t="str">
        <f t="shared" si="182"/>
        <v>RG-Fenest-ManufWin-rNCGF-Ex</v>
      </c>
      <c r="J826" t="str">
        <f t="shared" si="183"/>
        <v>RG-Fenest-ManufWin-rNCGF-Eff</v>
      </c>
      <c r="K826" t="s">
        <v>10762</v>
      </c>
      <c r="M826" t="s">
        <v>10763</v>
      </c>
      <c r="N826" s="3" t="str">
        <f t="shared" si="190"/>
        <v>SFm&amp;2&amp;rNCGF&amp;Ex&amp;Fenest__ManufWin</v>
      </c>
      <c r="O826" s="3" t="s">
        <v>50</v>
      </c>
      <c r="P826" s="3">
        <v>2</v>
      </c>
      <c r="Q826" s="3" t="s">
        <v>58</v>
      </c>
      <c r="R826" s="3" t="s">
        <v>52</v>
      </c>
      <c r="S826" s="3" t="s">
        <v>10734</v>
      </c>
      <c r="T826" s="3" t="str">
        <f t="shared" si="180"/>
        <v>Fenest__ManufWin</v>
      </c>
      <c r="U826" s="3" t="str">
        <f t="shared" si="184"/>
        <v>Fenest__ManufWin</v>
      </c>
      <c r="V826" s="3" t="s">
        <v>785</v>
      </c>
      <c r="W826" s="3" t="s">
        <v>1040</v>
      </c>
      <c r="X826" s="3" t="s">
        <v>785</v>
      </c>
      <c r="Y826" s="3" t="s">
        <v>1040</v>
      </c>
      <c r="AA826" s="3" t="s">
        <v>55</v>
      </c>
      <c r="AC826">
        <v>1975</v>
      </c>
    </row>
    <row r="827" spans="1:29" x14ac:dyDescent="0.3">
      <c r="A827" s="3" t="s">
        <v>10754</v>
      </c>
      <c r="B827" s="3" t="s">
        <v>10675</v>
      </c>
      <c r="C827" s="3" t="s">
        <v>10755</v>
      </c>
      <c r="D827" s="3" t="str">
        <f t="shared" si="179"/>
        <v>SWBE011-01 Windows_SFm</v>
      </c>
      <c r="E827" s="3" t="str">
        <f>CONCATENATE(D827,"_",AC827,"_","Msr3")</f>
        <v>SWBE011-01 Windows_SFm_1975_Msr3</v>
      </c>
      <c r="F827" s="50" t="s">
        <v>10769</v>
      </c>
      <c r="G827" s="50" t="s">
        <v>10769</v>
      </c>
      <c r="H827" s="50" t="str">
        <f t="shared" si="182"/>
        <v>RG-Fenest-ManufWin-rDXGF-Ex</v>
      </c>
      <c r="J827" t="str">
        <f t="shared" si="183"/>
        <v>RG-Fenest-ManufWin-rDXGF-Eff</v>
      </c>
      <c r="K827" t="s">
        <v>10756</v>
      </c>
      <c r="M827" t="s">
        <v>10757</v>
      </c>
      <c r="N827" s="3" t="str">
        <f t="shared" si="190"/>
        <v>SFm&amp;2&amp;rDXGF&amp;Ex&amp;Fenest__ManufWin</v>
      </c>
      <c r="O827" s="3" t="s">
        <v>50</v>
      </c>
      <c r="P827" s="3">
        <v>2</v>
      </c>
      <c r="Q827" s="3" t="s">
        <v>51</v>
      </c>
      <c r="R827" s="3" t="s">
        <v>52</v>
      </c>
      <c r="S827" s="3" t="s">
        <v>10734</v>
      </c>
      <c r="T827" s="3" t="str">
        <f t="shared" si="180"/>
        <v>Fenest__ManufWin</v>
      </c>
      <c r="U827" s="3" t="str">
        <f t="shared" si="184"/>
        <v>Fenest__ManufWin</v>
      </c>
      <c r="V827" s="3" t="s">
        <v>785</v>
      </c>
      <c r="W827" s="3" t="s">
        <v>1040</v>
      </c>
      <c r="X827" s="3" t="s">
        <v>785</v>
      </c>
      <c r="Y827" s="3" t="s">
        <v>1040</v>
      </c>
      <c r="AA827" s="3" t="s">
        <v>55</v>
      </c>
      <c r="AC827">
        <v>1975</v>
      </c>
    </row>
    <row r="828" spans="1:29" x14ac:dyDescent="0.3">
      <c r="A828" s="3" t="s">
        <v>10754</v>
      </c>
      <c r="B828" s="3" t="s">
        <v>10675</v>
      </c>
      <c r="C828" s="3" t="s">
        <v>10755</v>
      </c>
      <c r="D828" s="3" t="str">
        <f t="shared" si="179"/>
        <v>SWBE011-01 Windows_SFm</v>
      </c>
      <c r="E828" s="3" t="str">
        <f t="shared" ref="E828:E830" si="198">CONCATENATE(D828,"_",AC828,"_","Msr3")</f>
        <v>SWBE011-01 Windows_SFm_1975_Msr3</v>
      </c>
      <c r="F828" s="50" t="s">
        <v>10769</v>
      </c>
      <c r="G828" s="50" t="s">
        <v>10769</v>
      </c>
      <c r="H828" s="50" t="str">
        <f t="shared" si="182"/>
        <v>RE-Fenest-ManufWin-rDXHP-Ex</v>
      </c>
      <c r="J828" t="str">
        <f t="shared" si="183"/>
        <v>RE-Fenest-ManufWin-rDXHP-Eff</v>
      </c>
      <c r="K828" t="s">
        <v>10758</v>
      </c>
      <c r="M828" t="s">
        <v>10759</v>
      </c>
      <c r="N828" s="3" t="str">
        <f t="shared" si="190"/>
        <v>SFm&amp;2&amp;rDXHP&amp;Ex&amp;Fenest__ManufWin</v>
      </c>
      <c r="O828" s="3" t="s">
        <v>50</v>
      </c>
      <c r="P828" s="3">
        <v>2</v>
      </c>
      <c r="Q828" s="3" t="s">
        <v>57</v>
      </c>
      <c r="R828" s="3" t="s">
        <v>52</v>
      </c>
      <c r="S828" s="3" t="s">
        <v>10734</v>
      </c>
      <c r="T828" s="3" t="str">
        <f t="shared" si="180"/>
        <v>Fenest__ManufWin</v>
      </c>
      <c r="U828" s="3" t="str">
        <f t="shared" si="184"/>
        <v>Fenest__ManufWin</v>
      </c>
      <c r="V828" s="3" t="s">
        <v>785</v>
      </c>
      <c r="W828" s="3" t="s">
        <v>1040</v>
      </c>
      <c r="X828" s="3" t="s">
        <v>785</v>
      </c>
      <c r="Y828" s="3" t="s">
        <v>1040</v>
      </c>
      <c r="AA828" s="3" t="s">
        <v>55</v>
      </c>
      <c r="AC828">
        <v>1975</v>
      </c>
    </row>
    <row r="829" spans="1:29" x14ac:dyDescent="0.3">
      <c r="A829" s="3" t="s">
        <v>10754</v>
      </c>
      <c r="B829" s="3" t="s">
        <v>10675</v>
      </c>
      <c r="C829" s="3" t="s">
        <v>10755</v>
      </c>
      <c r="D829" s="3" t="str">
        <f t="shared" si="179"/>
        <v>SWBE011-01 Windows_SFm</v>
      </c>
      <c r="E829" s="3" t="str">
        <f t="shared" si="198"/>
        <v>SWBE011-01 Windows_SFm_1975_Msr3</v>
      </c>
      <c r="F829" s="50" t="s">
        <v>10769</v>
      </c>
      <c r="G829" s="50" t="s">
        <v>10769</v>
      </c>
      <c r="H829" s="50" t="str">
        <f t="shared" si="182"/>
        <v>RE-Fenest-ManufWin-rNCEH-Ex</v>
      </c>
      <c r="J829" t="str">
        <f t="shared" si="183"/>
        <v>RE-Fenest-ManufWin-rNCEH-Eff</v>
      </c>
      <c r="K829" t="s">
        <v>10760</v>
      </c>
      <c r="M829" t="s">
        <v>10761</v>
      </c>
      <c r="N829" s="3" t="str">
        <f t="shared" si="190"/>
        <v>SFm&amp;2&amp;rNCEH&amp;Ex&amp;Fenest__ManufWin</v>
      </c>
      <c r="O829" s="3" t="s">
        <v>50</v>
      </c>
      <c r="P829" s="3">
        <v>2</v>
      </c>
      <c r="Q829" s="3" t="s">
        <v>71</v>
      </c>
      <c r="R829" s="3" t="s">
        <v>52</v>
      </c>
      <c r="S829" s="3" t="s">
        <v>10734</v>
      </c>
      <c r="T829" s="3" t="str">
        <f t="shared" si="180"/>
        <v>Fenest__ManufWin</v>
      </c>
      <c r="U829" s="3" t="str">
        <f t="shared" si="184"/>
        <v>Fenest__ManufWin</v>
      </c>
      <c r="V829" s="3" t="s">
        <v>785</v>
      </c>
      <c r="W829" s="3" t="s">
        <v>1040</v>
      </c>
      <c r="X829" s="3" t="s">
        <v>785</v>
      </c>
      <c r="Y829" s="3" t="s">
        <v>1040</v>
      </c>
      <c r="AA829" s="3" t="s">
        <v>55</v>
      </c>
      <c r="AC829">
        <v>1975</v>
      </c>
    </row>
    <row r="830" spans="1:29" x14ac:dyDescent="0.3">
      <c r="A830" s="3" t="s">
        <v>10754</v>
      </c>
      <c r="B830" s="3" t="s">
        <v>10675</v>
      </c>
      <c r="C830" s="3" t="s">
        <v>10755</v>
      </c>
      <c r="D830" s="3" t="str">
        <f t="shared" si="179"/>
        <v>SWBE011-01 Windows_SFm</v>
      </c>
      <c r="E830" s="3" t="str">
        <f t="shared" si="198"/>
        <v>SWBE011-01 Windows_SFm_1975_Msr3</v>
      </c>
      <c r="F830" s="50" t="s">
        <v>10769</v>
      </c>
      <c r="G830" s="50" t="s">
        <v>10769</v>
      </c>
      <c r="H830" s="50" t="str">
        <f t="shared" si="182"/>
        <v>RG-Fenest-ManufWin-rNCGF-Ex</v>
      </c>
      <c r="J830" t="str">
        <f t="shared" si="183"/>
        <v>RG-Fenest-ManufWin-rNCGF-Eff</v>
      </c>
      <c r="K830" t="s">
        <v>10762</v>
      </c>
      <c r="M830" t="s">
        <v>10763</v>
      </c>
      <c r="N830" s="3" t="str">
        <f t="shared" si="190"/>
        <v>SFm&amp;2&amp;rNCGF&amp;Ex&amp;Fenest__ManufWin</v>
      </c>
      <c r="O830" s="3" t="s">
        <v>50</v>
      </c>
      <c r="P830" s="3">
        <v>2</v>
      </c>
      <c r="Q830" s="3" t="s">
        <v>58</v>
      </c>
      <c r="R830" s="3" t="s">
        <v>52</v>
      </c>
      <c r="S830" s="3" t="s">
        <v>10734</v>
      </c>
      <c r="T830" s="3" t="str">
        <f t="shared" si="180"/>
        <v>Fenest__ManufWin</v>
      </c>
      <c r="U830" s="3" t="str">
        <f t="shared" si="184"/>
        <v>Fenest__ManufWin</v>
      </c>
      <c r="V830" s="3" t="s">
        <v>785</v>
      </c>
      <c r="W830" s="3" t="s">
        <v>1040</v>
      </c>
      <c r="X830" s="3" t="s">
        <v>785</v>
      </c>
      <c r="Y830" s="3" t="s">
        <v>1040</v>
      </c>
      <c r="AA830" s="3" t="s">
        <v>55</v>
      </c>
      <c r="AC830">
        <v>1975</v>
      </c>
    </row>
    <row r="831" spans="1:29" x14ac:dyDescent="0.3">
      <c r="A831" s="3" t="s">
        <v>10754</v>
      </c>
      <c r="B831" s="3" t="s">
        <v>10675</v>
      </c>
      <c r="C831" s="3" t="s">
        <v>10755</v>
      </c>
      <c r="D831" s="3" t="str">
        <f t="shared" si="179"/>
        <v>SWBE011-01 Windows_SFm</v>
      </c>
      <c r="E831" s="3" t="str">
        <f>CONCATENATE(D831,"_",AC831,"_","Msr1")</f>
        <v>SWBE011-01 Windows_SFm_1985_Msr1</v>
      </c>
      <c r="F831" s="50" t="s">
        <v>10769</v>
      </c>
      <c r="G831" s="50" t="s">
        <v>10769</v>
      </c>
      <c r="H831" s="50" t="str">
        <f t="shared" si="182"/>
        <v>RG-Fenest-ManufWin-rDXGF-Ex</v>
      </c>
      <c r="J831" t="str">
        <f t="shared" si="183"/>
        <v>RG-Fenest-ManufWin-rDXGF-Eff</v>
      </c>
      <c r="K831" t="s">
        <v>10756</v>
      </c>
      <c r="M831" t="s">
        <v>10757</v>
      </c>
      <c r="N831" s="3" t="str">
        <f t="shared" si="190"/>
        <v>SFm&amp;2&amp;rDXGF&amp;Ex&amp;Fenest__ManufWin</v>
      </c>
      <c r="O831" s="3" t="s">
        <v>50</v>
      </c>
      <c r="P831" s="3">
        <v>2</v>
      </c>
      <c r="Q831" s="3" t="s">
        <v>51</v>
      </c>
      <c r="R831" s="3" t="s">
        <v>52</v>
      </c>
      <c r="S831" s="3" t="s">
        <v>10734</v>
      </c>
      <c r="T831" s="3" t="str">
        <f t="shared" si="180"/>
        <v>Fenest__ManufWin</v>
      </c>
      <c r="U831" s="3" t="str">
        <f t="shared" si="184"/>
        <v>Fenest__ManufWin</v>
      </c>
      <c r="V831" s="3" t="s">
        <v>785</v>
      </c>
      <c r="W831" s="3" t="s">
        <v>1040</v>
      </c>
      <c r="X831" s="3" t="s">
        <v>785</v>
      </c>
      <c r="Y831" s="3" t="s">
        <v>1040</v>
      </c>
      <c r="AA831" s="3" t="s">
        <v>55</v>
      </c>
      <c r="AC831">
        <v>1985</v>
      </c>
    </row>
    <row r="832" spans="1:29" x14ac:dyDescent="0.3">
      <c r="A832" s="3" t="s">
        <v>10754</v>
      </c>
      <c r="B832" s="3" t="s">
        <v>10675</v>
      </c>
      <c r="C832" s="3" t="s">
        <v>10755</v>
      </c>
      <c r="D832" s="3" t="str">
        <f t="shared" si="179"/>
        <v>SWBE011-01 Windows_SFm</v>
      </c>
      <c r="E832" s="3" t="str">
        <f t="shared" ref="E832:E834" si="199">CONCATENATE(D832,"_",AC832,"_","Msr1")</f>
        <v>SWBE011-01 Windows_SFm_1985_Msr1</v>
      </c>
      <c r="F832" s="50" t="s">
        <v>10769</v>
      </c>
      <c r="G832" s="50" t="s">
        <v>10769</v>
      </c>
      <c r="H832" s="50" t="str">
        <f t="shared" si="182"/>
        <v>RE-Fenest-ManufWin-rDXHP-Ex</v>
      </c>
      <c r="J832" t="str">
        <f t="shared" si="183"/>
        <v>RE-Fenest-ManufWin-rDXHP-Eff</v>
      </c>
      <c r="K832" t="s">
        <v>10758</v>
      </c>
      <c r="M832" t="s">
        <v>10759</v>
      </c>
      <c r="N832" s="3" t="str">
        <f t="shared" si="190"/>
        <v>SFm&amp;2&amp;rDXHP&amp;Ex&amp;Fenest__ManufWin</v>
      </c>
      <c r="O832" s="3" t="s">
        <v>50</v>
      </c>
      <c r="P832" s="3">
        <v>2</v>
      </c>
      <c r="Q832" s="3" t="s">
        <v>57</v>
      </c>
      <c r="R832" s="3" t="s">
        <v>52</v>
      </c>
      <c r="S832" s="3" t="s">
        <v>10734</v>
      </c>
      <c r="T832" s="3" t="str">
        <f t="shared" si="180"/>
        <v>Fenest__ManufWin</v>
      </c>
      <c r="U832" s="3" t="str">
        <f t="shared" si="184"/>
        <v>Fenest__ManufWin</v>
      </c>
      <c r="V832" s="3" t="s">
        <v>785</v>
      </c>
      <c r="W832" s="3" t="s">
        <v>1040</v>
      </c>
      <c r="X832" s="3" t="s">
        <v>785</v>
      </c>
      <c r="Y832" s="3" t="s">
        <v>1040</v>
      </c>
      <c r="AA832" s="3" t="s">
        <v>55</v>
      </c>
      <c r="AC832">
        <v>1985</v>
      </c>
    </row>
    <row r="833" spans="1:29" x14ac:dyDescent="0.3">
      <c r="A833" s="3" t="s">
        <v>10754</v>
      </c>
      <c r="B833" s="3" t="s">
        <v>10675</v>
      </c>
      <c r="C833" s="3" t="s">
        <v>10755</v>
      </c>
      <c r="D833" s="3" t="str">
        <f t="shared" si="179"/>
        <v>SWBE011-01 Windows_SFm</v>
      </c>
      <c r="E833" s="3" t="str">
        <f t="shared" si="199"/>
        <v>SWBE011-01 Windows_SFm_1985_Msr1</v>
      </c>
      <c r="F833" s="50" t="s">
        <v>10769</v>
      </c>
      <c r="G833" s="50" t="s">
        <v>10769</v>
      </c>
      <c r="H833" s="50" t="str">
        <f t="shared" si="182"/>
        <v>RE-Fenest-ManufWin-rNCEH-Ex</v>
      </c>
      <c r="J833" t="str">
        <f t="shared" si="183"/>
        <v>RE-Fenest-ManufWin-rNCEH-Eff</v>
      </c>
      <c r="K833" t="s">
        <v>10760</v>
      </c>
      <c r="M833" t="s">
        <v>10761</v>
      </c>
      <c r="N833" s="3" t="str">
        <f t="shared" si="190"/>
        <v>SFm&amp;2&amp;rNCEH&amp;Ex&amp;Fenest__ManufWin</v>
      </c>
      <c r="O833" s="3" t="s">
        <v>50</v>
      </c>
      <c r="P833" s="3">
        <v>2</v>
      </c>
      <c r="Q833" s="3" t="s">
        <v>71</v>
      </c>
      <c r="R833" s="3" t="s">
        <v>52</v>
      </c>
      <c r="S833" s="3" t="s">
        <v>10734</v>
      </c>
      <c r="T833" s="3" t="str">
        <f t="shared" si="180"/>
        <v>Fenest__ManufWin</v>
      </c>
      <c r="U833" s="3" t="str">
        <f t="shared" si="184"/>
        <v>Fenest__ManufWin</v>
      </c>
      <c r="V833" s="3" t="s">
        <v>785</v>
      </c>
      <c r="W833" s="3" t="s">
        <v>1040</v>
      </c>
      <c r="X833" s="3" t="s">
        <v>785</v>
      </c>
      <c r="Y833" s="3" t="s">
        <v>1040</v>
      </c>
      <c r="AA833" s="3" t="s">
        <v>55</v>
      </c>
      <c r="AC833">
        <v>1985</v>
      </c>
    </row>
    <row r="834" spans="1:29" x14ac:dyDescent="0.3">
      <c r="A834" s="3" t="s">
        <v>10754</v>
      </c>
      <c r="B834" s="3" t="s">
        <v>10675</v>
      </c>
      <c r="C834" s="3" t="s">
        <v>10755</v>
      </c>
      <c r="D834" s="3" t="str">
        <f t="shared" si="179"/>
        <v>SWBE011-01 Windows_SFm</v>
      </c>
      <c r="E834" s="3" t="str">
        <f t="shared" si="199"/>
        <v>SWBE011-01 Windows_SFm_1985_Msr1</v>
      </c>
      <c r="F834" s="50" t="s">
        <v>10769</v>
      </c>
      <c r="G834" s="50" t="s">
        <v>10769</v>
      </c>
      <c r="H834" s="50" t="str">
        <f t="shared" si="182"/>
        <v>RG-Fenest-ManufWin-rNCGF-Ex</v>
      </c>
      <c r="J834" t="str">
        <f t="shared" si="183"/>
        <v>RG-Fenest-ManufWin-rNCGF-Eff</v>
      </c>
      <c r="K834" t="s">
        <v>10762</v>
      </c>
      <c r="M834" t="s">
        <v>10763</v>
      </c>
      <c r="N834" s="3" t="str">
        <f t="shared" si="190"/>
        <v>SFm&amp;2&amp;rNCGF&amp;Ex&amp;Fenest__ManufWin</v>
      </c>
      <c r="O834" s="3" t="s">
        <v>50</v>
      </c>
      <c r="P834" s="3">
        <v>2</v>
      </c>
      <c r="Q834" s="3" t="s">
        <v>58</v>
      </c>
      <c r="R834" s="3" t="s">
        <v>52</v>
      </c>
      <c r="S834" s="3" t="s">
        <v>10734</v>
      </c>
      <c r="T834" s="3" t="str">
        <f t="shared" si="180"/>
        <v>Fenest__ManufWin</v>
      </c>
      <c r="U834" s="3" t="str">
        <f t="shared" si="184"/>
        <v>Fenest__ManufWin</v>
      </c>
      <c r="V834" s="3" t="s">
        <v>785</v>
      </c>
      <c r="W834" s="3" t="s">
        <v>1040</v>
      </c>
      <c r="X834" s="3" t="s">
        <v>785</v>
      </c>
      <c r="Y834" s="3" t="s">
        <v>1040</v>
      </c>
      <c r="AA834" s="3" t="s">
        <v>55</v>
      </c>
      <c r="AC834">
        <v>1985</v>
      </c>
    </row>
    <row r="835" spans="1:29" x14ac:dyDescent="0.3">
      <c r="A835" s="3" t="s">
        <v>10754</v>
      </c>
      <c r="B835" s="3" t="s">
        <v>10675</v>
      </c>
      <c r="C835" s="3" t="s">
        <v>10755</v>
      </c>
      <c r="D835" s="3" t="str">
        <f t="shared" ref="D835:D842" si="200">_xlfn.CONCAT(C835, " ", A835,"_",O835)</f>
        <v>SWBE011-01 Windows_SFm</v>
      </c>
      <c r="E835" s="3" t="str">
        <f>CONCATENATE(D835,"_",AC835,"_","Msr2")</f>
        <v>SWBE011-01 Windows_SFm_1985_Msr2</v>
      </c>
      <c r="F835" s="50" t="s">
        <v>10769</v>
      </c>
      <c r="G835" s="50" t="s">
        <v>10769</v>
      </c>
      <c r="H835" s="50" t="str">
        <f t="shared" si="182"/>
        <v>RG-Fenest-ManufWin-rDXGF-Ex</v>
      </c>
      <c r="J835" t="str">
        <f t="shared" si="183"/>
        <v>RG-Fenest-ManufWin-rDXGF-Eff</v>
      </c>
      <c r="K835" t="s">
        <v>10756</v>
      </c>
      <c r="M835" t="s">
        <v>10757</v>
      </c>
      <c r="N835" s="3" t="str">
        <f t="shared" si="190"/>
        <v>SFm&amp;2&amp;rDXGF&amp;Ex&amp;Fenest__ManufWin</v>
      </c>
      <c r="O835" s="3" t="s">
        <v>50</v>
      </c>
      <c r="P835" s="3">
        <v>2</v>
      </c>
      <c r="Q835" s="3" t="s">
        <v>51</v>
      </c>
      <c r="R835" s="3" t="s">
        <v>52</v>
      </c>
      <c r="S835" s="3" t="s">
        <v>10734</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x14ac:dyDescent="0.3">
      <c r="A836" s="3" t="s">
        <v>10754</v>
      </c>
      <c r="B836" s="3" t="s">
        <v>10675</v>
      </c>
      <c r="C836" s="3" t="s">
        <v>10755</v>
      </c>
      <c r="D836" s="3" t="str">
        <f t="shared" si="200"/>
        <v>SWBE011-01 Windows_SFm</v>
      </c>
      <c r="E836" s="3" t="str">
        <f t="shared" ref="E836:E838" si="202">CONCATENATE(D836,"_",AC836,"_","Msr2")</f>
        <v>SWBE011-01 Windows_SFm_1985_Msr2</v>
      </c>
      <c r="F836" s="50" t="s">
        <v>10769</v>
      </c>
      <c r="G836" s="50" t="s">
        <v>10769</v>
      </c>
      <c r="H836" s="50" t="str">
        <f t="shared" ref="H836:H843" si="203">K836</f>
        <v>RE-Fenest-ManufWin-rDXHP-Ex</v>
      </c>
      <c r="J836" t="str">
        <f t="shared" ref="J836:J843" si="204">M836</f>
        <v>RE-Fenest-ManufWin-rDXHP-Eff</v>
      </c>
      <c r="K836" t="s">
        <v>10758</v>
      </c>
      <c r="M836" t="s">
        <v>10759</v>
      </c>
      <c r="N836" s="3" t="str">
        <f t="shared" si="190"/>
        <v>SFm&amp;2&amp;rDXHP&amp;Ex&amp;Fenest__ManufWin</v>
      </c>
      <c r="O836" s="3" t="s">
        <v>50</v>
      </c>
      <c r="P836" s="3">
        <v>2</v>
      </c>
      <c r="Q836" s="3" t="s">
        <v>57</v>
      </c>
      <c r="R836" s="3" t="s">
        <v>52</v>
      </c>
      <c r="S836" s="3" t="s">
        <v>10734</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x14ac:dyDescent="0.3">
      <c r="A837" s="3" t="s">
        <v>10754</v>
      </c>
      <c r="B837" s="3" t="s">
        <v>10675</v>
      </c>
      <c r="C837" s="3" t="s">
        <v>10755</v>
      </c>
      <c r="D837" s="3" t="str">
        <f t="shared" si="200"/>
        <v>SWBE011-01 Windows_SFm</v>
      </c>
      <c r="E837" s="3" t="str">
        <f t="shared" si="202"/>
        <v>SWBE011-01 Windows_SFm_1985_Msr2</v>
      </c>
      <c r="F837" s="50" t="s">
        <v>10769</v>
      </c>
      <c r="G837" s="50" t="s">
        <v>10769</v>
      </c>
      <c r="H837" s="50" t="str">
        <f t="shared" si="203"/>
        <v>RE-Fenest-ManufWin-rNCEH-Ex</v>
      </c>
      <c r="J837" t="str">
        <f t="shared" si="204"/>
        <v>RE-Fenest-ManufWin-rNCEH-Eff</v>
      </c>
      <c r="K837" t="s">
        <v>10760</v>
      </c>
      <c r="M837" t="s">
        <v>10761</v>
      </c>
      <c r="N837" s="3" t="str">
        <f t="shared" si="190"/>
        <v>SFm&amp;2&amp;rNCEH&amp;Ex&amp;Fenest__ManufWin</v>
      </c>
      <c r="O837" s="3" t="s">
        <v>50</v>
      </c>
      <c r="P837" s="3">
        <v>2</v>
      </c>
      <c r="Q837" s="3" t="s">
        <v>71</v>
      </c>
      <c r="R837" s="3" t="s">
        <v>52</v>
      </c>
      <c r="S837" s="3" t="s">
        <v>10734</v>
      </c>
      <c r="T837" s="3" t="str">
        <f t="shared" si="201"/>
        <v>Fenest__ManufWin</v>
      </c>
      <c r="U837" s="3" t="str">
        <f t="shared" si="205"/>
        <v>Fenest__ManufWin</v>
      </c>
      <c r="V837" s="3" t="s">
        <v>785</v>
      </c>
      <c r="W837" s="3" t="s">
        <v>1040</v>
      </c>
      <c r="X837" s="3" t="s">
        <v>785</v>
      </c>
      <c r="Y837" s="3" t="s">
        <v>1040</v>
      </c>
      <c r="AA837" s="3" t="s">
        <v>55</v>
      </c>
      <c r="AC837">
        <v>1985</v>
      </c>
    </row>
    <row r="838" spans="1:29" x14ac:dyDescent="0.3">
      <c r="A838" s="3" t="s">
        <v>10754</v>
      </c>
      <c r="B838" s="3" t="s">
        <v>10675</v>
      </c>
      <c r="C838" s="3" t="s">
        <v>10755</v>
      </c>
      <c r="D838" s="3" t="str">
        <f t="shared" si="200"/>
        <v>SWBE011-01 Windows_SFm</v>
      </c>
      <c r="E838" s="3" t="str">
        <f t="shared" si="202"/>
        <v>SWBE011-01 Windows_SFm_1985_Msr2</v>
      </c>
      <c r="F838" s="50" t="s">
        <v>10769</v>
      </c>
      <c r="G838" s="50" t="s">
        <v>10769</v>
      </c>
      <c r="H838" s="50" t="str">
        <f t="shared" si="203"/>
        <v>RG-Fenest-ManufWin-rNCGF-Ex</v>
      </c>
      <c r="J838" t="str">
        <f t="shared" si="204"/>
        <v>RG-Fenest-ManufWin-rNCGF-Eff</v>
      </c>
      <c r="K838" t="s">
        <v>10762</v>
      </c>
      <c r="M838" t="s">
        <v>10763</v>
      </c>
      <c r="N838" s="3" t="str">
        <f t="shared" si="190"/>
        <v>SFm&amp;2&amp;rNCGF&amp;Ex&amp;Fenest__ManufWin</v>
      </c>
      <c r="O838" s="3" t="s">
        <v>50</v>
      </c>
      <c r="P838" s="3">
        <v>2</v>
      </c>
      <c r="Q838" s="3" t="s">
        <v>58</v>
      </c>
      <c r="R838" s="3" t="s">
        <v>52</v>
      </c>
      <c r="S838" s="3" t="s">
        <v>10734</v>
      </c>
      <c r="T838" s="3" t="str">
        <f t="shared" si="201"/>
        <v>Fenest__ManufWin</v>
      </c>
      <c r="U838" s="3" t="str">
        <f t="shared" si="205"/>
        <v>Fenest__ManufWin</v>
      </c>
      <c r="V838" s="3" t="s">
        <v>785</v>
      </c>
      <c r="W838" s="3" t="s">
        <v>1040</v>
      </c>
      <c r="X838" s="3" t="s">
        <v>785</v>
      </c>
      <c r="Y838" s="3" t="s">
        <v>1040</v>
      </c>
      <c r="AA838" s="3" t="s">
        <v>55</v>
      </c>
      <c r="AC838">
        <v>1985</v>
      </c>
    </row>
    <row r="839" spans="1:29" x14ac:dyDescent="0.3">
      <c r="A839" s="3" t="s">
        <v>10754</v>
      </c>
      <c r="B839" s="3" t="s">
        <v>10675</v>
      </c>
      <c r="C839" s="3" t="s">
        <v>10755</v>
      </c>
      <c r="D839" s="3" t="str">
        <f t="shared" si="200"/>
        <v>SWBE011-01 Windows_SFm</v>
      </c>
      <c r="E839" s="3" t="str">
        <f>CONCATENATE(D839,"_",AC839,"_","Msr3")</f>
        <v>SWBE011-01 Windows_SFm_1985_Msr3</v>
      </c>
      <c r="F839" s="50" t="s">
        <v>10769</v>
      </c>
      <c r="G839" s="50" t="s">
        <v>10769</v>
      </c>
      <c r="H839" s="50" t="str">
        <f t="shared" si="203"/>
        <v>RG-Fenest-ManufWin-rDXGF-Ex</v>
      </c>
      <c r="J839" t="str">
        <f t="shared" si="204"/>
        <v>RG-Fenest-ManufWin-rDXGF-Eff</v>
      </c>
      <c r="K839" t="s">
        <v>10756</v>
      </c>
      <c r="M839" t="s">
        <v>10757</v>
      </c>
      <c r="N839" s="3" t="str">
        <f t="shared" si="190"/>
        <v>SFm&amp;2&amp;rDXGF&amp;Ex&amp;Fenest__ManufWin</v>
      </c>
      <c r="O839" s="3" t="s">
        <v>50</v>
      </c>
      <c r="P839" s="3">
        <v>2</v>
      </c>
      <c r="Q839" s="3" t="s">
        <v>51</v>
      </c>
      <c r="R839" s="3" t="s">
        <v>52</v>
      </c>
      <c r="S839" s="3" t="s">
        <v>10734</v>
      </c>
      <c r="T839" s="3" t="str">
        <f t="shared" si="201"/>
        <v>Fenest__ManufWin</v>
      </c>
      <c r="U839" s="3" t="str">
        <f t="shared" si="205"/>
        <v>Fenest__ManufWin</v>
      </c>
      <c r="V839" s="3" t="s">
        <v>785</v>
      </c>
      <c r="W839" s="3" t="s">
        <v>1040</v>
      </c>
      <c r="X839" s="3" t="s">
        <v>785</v>
      </c>
      <c r="Y839" s="3" t="s">
        <v>1040</v>
      </c>
      <c r="AA839" s="3" t="s">
        <v>55</v>
      </c>
      <c r="AC839">
        <v>1985</v>
      </c>
    </row>
    <row r="840" spans="1:29" x14ac:dyDescent="0.3">
      <c r="A840" s="3" t="s">
        <v>10754</v>
      </c>
      <c r="B840" s="3" t="s">
        <v>10675</v>
      </c>
      <c r="C840" s="3" t="s">
        <v>10755</v>
      </c>
      <c r="D840" s="3" t="str">
        <f t="shared" si="200"/>
        <v>SWBE011-01 Windows_SFm</v>
      </c>
      <c r="E840" s="3" t="str">
        <f t="shared" ref="E840:E842" si="206">CONCATENATE(D840,"_",AC840,"_","Msr3")</f>
        <v>SWBE011-01 Windows_SFm_1985_Msr3</v>
      </c>
      <c r="F840" s="50" t="s">
        <v>10769</v>
      </c>
      <c r="G840" s="50" t="s">
        <v>10769</v>
      </c>
      <c r="H840" s="50" t="str">
        <f t="shared" si="203"/>
        <v>RE-Fenest-ManufWin-rDXHP-Ex</v>
      </c>
      <c r="J840" t="str">
        <f t="shared" si="204"/>
        <v>RE-Fenest-ManufWin-rDXHP-Eff</v>
      </c>
      <c r="K840" t="s">
        <v>10758</v>
      </c>
      <c r="M840" t="s">
        <v>10759</v>
      </c>
      <c r="N840" s="3" t="str">
        <f t="shared" si="190"/>
        <v>SFm&amp;2&amp;rDXHP&amp;Ex&amp;Fenest__ManufWin</v>
      </c>
      <c r="O840" s="3" t="s">
        <v>50</v>
      </c>
      <c r="P840" s="3">
        <v>2</v>
      </c>
      <c r="Q840" s="3" t="s">
        <v>57</v>
      </c>
      <c r="R840" s="3" t="s">
        <v>52</v>
      </c>
      <c r="S840" s="3" t="s">
        <v>10734</v>
      </c>
      <c r="T840" s="3" t="str">
        <f t="shared" si="201"/>
        <v>Fenest__ManufWin</v>
      </c>
      <c r="U840" s="3" t="str">
        <f t="shared" si="205"/>
        <v>Fenest__ManufWin</v>
      </c>
      <c r="V840" s="3" t="s">
        <v>785</v>
      </c>
      <c r="W840" s="3" t="s">
        <v>1040</v>
      </c>
      <c r="X840" s="3" t="s">
        <v>785</v>
      </c>
      <c r="Y840" s="3" t="s">
        <v>1040</v>
      </c>
      <c r="AA840" s="3" t="s">
        <v>55</v>
      </c>
      <c r="AC840">
        <v>1985</v>
      </c>
    </row>
    <row r="841" spans="1:29" x14ac:dyDescent="0.3">
      <c r="A841" s="3" t="s">
        <v>10754</v>
      </c>
      <c r="B841" s="3" t="s">
        <v>10675</v>
      </c>
      <c r="C841" s="3" t="s">
        <v>10755</v>
      </c>
      <c r="D841" s="3" t="str">
        <f t="shared" si="200"/>
        <v>SWBE011-01 Windows_SFm</v>
      </c>
      <c r="E841" s="3" t="str">
        <f t="shared" si="206"/>
        <v>SWBE011-01 Windows_SFm_1985_Msr3</v>
      </c>
      <c r="F841" s="50" t="s">
        <v>10769</v>
      </c>
      <c r="G841" s="50" t="s">
        <v>10769</v>
      </c>
      <c r="H841" s="50" t="str">
        <f t="shared" si="203"/>
        <v>RE-Fenest-ManufWin-rNCEH-Ex</v>
      </c>
      <c r="J841" t="str">
        <f t="shared" si="204"/>
        <v>RE-Fenest-ManufWin-rNCEH-Eff</v>
      </c>
      <c r="K841" t="s">
        <v>10760</v>
      </c>
      <c r="M841" t="s">
        <v>10761</v>
      </c>
      <c r="N841" s="3" t="str">
        <f t="shared" si="190"/>
        <v>SFm&amp;2&amp;rNCEH&amp;Ex&amp;Fenest__ManufWin</v>
      </c>
      <c r="O841" s="3" t="s">
        <v>50</v>
      </c>
      <c r="P841" s="3">
        <v>2</v>
      </c>
      <c r="Q841" s="3" t="s">
        <v>71</v>
      </c>
      <c r="R841" s="3" t="s">
        <v>52</v>
      </c>
      <c r="S841" s="3" t="s">
        <v>10734</v>
      </c>
      <c r="T841" s="3" t="str">
        <f t="shared" si="201"/>
        <v>Fenest__ManufWin</v>
      </c>
      <c r="U841" s="3" t="str">
        <f t="shared" si="205"/>
        <v>Fenest__ManufWin</v>
      </c>
      <c r="V841" s="3" t="s">
        <v>785</v>
      </c>
      <c r="W841" s="3" t="s">
        <v>1040</v>
      </c>
      <c r="X841" s="3" t="s">
        <v>785</v>
      </c>
      <c r="Y841" s="3" t="s">
        <v>1040</v>
      </c>
      <c r="AA841" s="3" t="s">
        <v>55</v>
      </c>
      <c r="AC841">
        <v>1985</v>
      </c>
    </row>
    <row r="842" spans="1:29" x14ac:dyDescent="0.3">
      <c r="A842" s="3" t="s">
        <v>10754</v>
      </c>
      <c r="B842" s="3" t="s">
        <v>10675</v>
      </c>
      <c r="C842" s="3" t="s">
        <v>10755</v>
      </c>
      <c r="D842" s="3" t="str">
        <f t="shared" si="200"/>
        <v>SWBE011-01 Windows_SFm</v>
      </c>
      <c r="E842" s="3" t="str">
        <f t="shared" si="206"/>
        <v>SWBE011-01 Windows_SFm_1985_Msr3</v>
      </c>
      <c r="F842" s="50" t="s">
        <v>10769</v>
      </c>
      <c r="G842" s="50" t="s">
        <v>10769</v>
      </c>
      <c r="H842" s="50" t="str">
        <f t="shared" si="203"/>
        <v>RG-Fenest-ManufWin-rNCGF-Ex</v>
      </c>
      <c r="J842" t="str">
        <f t="shared" si="204"/>
        <v>RG-Fenest-ManufWin-rNCGF-Eff</v>
      </c>
      <c r="K842" t="s">
        <v>10762</v>
      </c>
      <c r="M842" t="s">
        <v>10763</v>
      </c>
      <c r="N842" s="3" t="str">
        <f t="shared" si="190"/>
        <v>SFm&amp;2&amp;rNCGF&amp;Ex&amp;Fenest__ManufWin</v>
      </c>
      <c r="O842" s="3" t="s">
        <v>50</v>
      </c>
      <c r="P842" s="3">
        <v>2</v>
      </c>
      <c r="Q842" s="3" t="s">
        <v>58</v>
      </c>
      <c r="R842" s="3" t="s">
        <v>52</v>
      </c>
      <c r="S842" s="3" t="s">
        <v>10734</v>
      </c>
      <c r="T842" s="3" t="str">
        <f t="shared" si="201"/>
        <v>Fenest__ManufWin</v>
      </c>
      <c r="U842" s="3" t="str">
        <f t="shared" si="205"/>
        <v>Fenest__ManufWin</v>
      </c>
      <c r="V842" s="3" t="s">
        <v>785</v>
      </c>
      <c r="W842" s="3" t="s">
        <v>1040</v>
      </c>
      <c r="X842" s="3" t="s">
        <v>785</v>
      </c>
      <c r="Y842" s="3" t="s">
        <v>1040</v>
      </c>
      <c r="AA842" s="3" t="s">
        <v>55</v>
      </c>
      <c r="AC842">
        <v>1985</v>
      </c>
    </row>
    <row r="843" spans="1:29" x14ac:dyDescent="0.3">
      <c r="A843" s="3" t="s">
        <v>10754</v>
      </c>
      <c r="B843" s="3" t="s">
        <v>10665</v>
      </c>
      <c r="C843" s="3" t="s">
        <v>10764</v>
      </c>
      <c r="D843" s="3" t="str">
        <f>_xlfn.CONCAT(C843, " ", A843)</f>
        <v>SWBE012-01 Windows</v>
      </c>
      <c r="E843" s="3" t="str">
        <f>_xlfn.CONCAT(C843, " ", A843,"_",O843,"_",R843)</f>
        <v>SWBE012-01 Windows_Htl_Ex</v>
      </c>
      <c r="F843" s="50" t="str">
        <f t="shared" ref="F843" si="207">LEFT(H843,18)</f>
        <v>NB-Fenest-ManufWin</v>
      </c>
      <c r="G843" s="50" t="str">
        <f t="shared" ref="G843" si="208">F843</f>
        <v>NB-Fenest-ManufWin</v>
      </c>
      <c r="H843" s="50" t="str">
        <f t="shared" si="203"/>
        <v>NB-Fenest-ManufWin-cWtd-Ex</v>
      </c>
      <c r="J843" t="str">
        <f t="shared" si="204"/>
        <v>NB-Fenest-ManufWin-cWtd-Eff</v>
      </c>
      <c r="K843" t="s">
        <v>10768</v>
      </c>
      <c r="M843" t="s">
        <v>10767</v>
      </c>
      <c r="N843" s="3" t="str">
        <f t="shared" si="190"/>
        <v>Htl&amp;0&amp;cWtd&amp;Ex&amp;Fenest__ManufWin</v>
      </c>
      <c r="O843" s="3" t="s">
        <v>10673</v>
      </c>
      <c r="P843" s="3">
        <v>0</v>
      </c>
      <c r="Q843" s="3" t="s">
        <v>10766</v>
      </c>
      <c r="R843" s="3" t="s">
        <v>52</v>
      </c>
      <c r="S843" s="3" t="s">
        <v>10734</v>
      </c>
      <c r="T843" s="3" t="str">
        <f t="shared" ref="T843" si="209">V843&amp;"__"&amp;W843</f>
        <v>Fenest__ManufWin</v>
      </c>
      <c r="U843" s="3" t="str">
        <f t="shared" ref="U843" si="210">X843&amp;"__"&amp;Y843</f>
        <v>Fenest__ManufWin</v>
      </c>
      <c r="V843" s="3" t="s">
        <v>785</v>
      </c>
      <c r="W843" s="3" t="s">
        <v>1040</v>
      </c>
      <c r="X843" s="3" t="s">
        <v>785</v>
      </c>
      <c r="Y843" s="3" t="s">
        <v>1040</v>
      </c>
      <c r="AA843" t="s">
        <v>55</v>
      </c>
    </row>
  </sheetData>
  <autoFilter ref="A5:AG843" xr:uid="{00000000-0009-0000-0000-000001000000}"/>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4.4" x14ac:dyDescent="0.3"/>
  <cols>
    <col min="1" max="1" width="23.44140625" bestFit="1" customWidth="1"/>
    <col min="2" max="2" width="15" bestFit="1" customWidth="1"/>
    <col min="3" max="3" width="21.109375" bestFit="1" customWidth="1"/>
    <col min="4" max="4" width="44.5546875" bestFit="1" customWidth="1"/>
    <col min="5" max="28" width="8.44140625" customWidth="1"/>
  </cols>
  <sheetData>
    <row r="1" spans="1:28" ht="39" customHeight="1" thickBot="1" x14ac:dyDescent="0.35">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3">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4.4" x14ac:dyDescent="0.3"/>
  <cols>
    <col min="1" max="1" width="69" customWidth="1"/>
    <col min="2" max="2" width="36.44140625" bestFit="1" customWidth="1"/>
    <col min="3" max="3" width="38.109375" customWidth="1"/>
    <col min="4" max="4" width="21.109375" bestFit="1" customWidth="1"/>
    <col min="5" max="18" width="34.5546875" bestFit="1" customWidth="1"/>
    <col min="19" max="19" width="11" bestFit="1" customWidth="1"/>
    <col min="20" max="134" width="46.5546875" bestFit="1" customWidth="1"/>
    <col min="135" max="138" width="11" bestFit="1" customWidth="1"/>
    <col min="139" max="269" width="46.5546875" bestFit="1" customWidth="1"/>
    <col min="270" max="270" width="31.5546875" bestFit="1" customWidth="1"/>
    <col min="271" max="271" width="32.109375" bestFit="1" customWidth="1"/>
    <col min="272" max="402" width="46.5546875" bestFit="1" customWidth="1"/>
    <col min="403" max="404" width="31.5546875" bestFit="1" customWidth="1"/>
    <col min="405" max="405" width="32.109375" bestFit="1" customWidth="1"/>
  </cols>
  <sheetData>
    <row r="2" spans="1:4" x14ac:dyDescent="0.3">
      <c r="A2" s="33" t="s">
        <v>21</v>
      </c>
      <c r="B2" t="s">
        <v>10765</v>
      </c>
    </row>
    <row r="4" spans="1:4" x14ac:dyDescent="0.3">
      <c r="A4" s="33" t="s">
        <v>29</v>
      </c>
      <c r="B4" s="33" t="s">
        <v>26</v>
      </c>
      <c r="C4" s="33" t="s">
        <v>27</v>
      </c>
      <c r="D4" s="33" t="s">
        <v>28</v>
      </c>
    </row>
    <row r="5" spans="1:4" x14ac:dyDescent="0.3">
      <c r="A5" t="s">
        <v>339</v>
      </c>
    </row>
    <row r="6" spans="1:4" x14ac:dyDescent="0.3">
      <c r="A6" t="s">
        <v>344</v>
      </c>
    </row>
    <row r="7" spans="1:4" x14ac:dyDescent="0.3">
      <c r="A7" t="s">
        <v>345</v>
      </c>
    </row>
    <row r="8" spans="1:4" x14ac:dyDescent="0.3">
      <c r="A8" t="s">
        <v>346</v>
      </c>
    </row>
    <row r="9" spans="1:4" x14ac:dyDescent="0.3">
      <c r="A9" t="s">
        <v>347</v>
      </c>
    </row>
    <row r="10" spans="1:4" x14ac:dyDescent="0.3">
      <c r="A10" t="s">
        <v>348</v>
      </c>
    </row>
    <row r="11" spans="1:4" x14ac:dyDescent="0.3">
      <c r="A11" t="s">
        <v>349</v>
      </c>
    </row>
    <row r="12" spans="1:4" x14ac:dyDescent="0.3">
      <c r="A12" t="s">
        <v>350</v>
      </c>
    </row>
    <row r="13" spans="1:4" x14ac:dyDescent="0.3">
      <c r="A13" t="s">
        <v>351</v>
      </c>
    </row>
    <row r="14" spans="1:4" x14ac:dyDescent="0.3">
      <c r="A14" t="s">
        <v>352</v>
      </c>
    </row>
    <row r="15" spans="1:4" x14ac:dyDescent="0.3">
      <c r="A15" t="s">
        <v>353</v>
      </c>
    </row>
    <row r="16" spans="1:4" x14ac:dyDescent="0.3">
      <c r="A16" t="s">
        <v>354</v>
      </c>
    </row>
    <row r="17" spans="1:1" x14ac:dyDescent="0.3">
      <c r="A17" t="s">
        <v>355</v>
      </c>
    </row>
    <row r="18" spans="1:1" x14ac:dyDescent="0.3">
      <c r="A18" t="s">
        <v>356</v>
      </c>
    </row>
    <row r="19" spans="1:1" x14ac:dyDescent="0.3">
      <c r="A19" t="s">
        <v>357</v>
      </c>
    </row>
    <row r="20" spans="1:1" x14ac:dyDescent="0.3">
      <c r="A20" t="s">
        <v>358</v>
      </c>
    </row>
    <row r="21" spans="1:1" x14ac:dyDescent="0.3">
      <c r="A21" t="s">
        <v>359</v>
      </c>
    </row>
    <row r="22" spans="1:1" x14ac:dyDescent="0.3">
      <c r="A22" t="s">
        <v>360</v>
      </c>
    </row>
    <row r="23" spans="1:1" x14ac:dyDescent="0.3">
      <c r="A23" t="s">
        <v>361</v>
      </c>
    </row>
    <row r="24" spans="1:1" x14ac:dyDescent="0.3">
      <c r="A24" t="s">
        <v>362</v>
      </c>
    </row>
    <row r="25" spans="1:1" x14ac:dyDescent="0.3">
      <c r="A25" t="s">
        <v>363</v>
      </c>
    </row>
    <row r="26" spans="1:1" x14ac:dyDescent="0.3">
      <c r="A26" t="s">
        <v>364</v>
      </c>
    </row>
    <row r="27" spans="1:1" x14ac:dyDescent="0.3">
      <c r="A27" t="s">
        <v>365</v>
      </c>
    </row>
    <row r="28" spans="1:1" x14ac:dyDescent="0.3">
      <c r="A28" t="s">
        <v>366</v>
      </c>
    </row>
    <row r="29" spans="1:1" x14ac:dyDescent="0.3">
      <c r="A29" t="s">
        <v>367</v>
      </c>
    </row>
    <row r="30" spans="1:1" x14ac:dyDescent="0.3">
      <c r="A30" t="s">
        <v>368</v>
      </c>
    </row>
    <row r="31" spans="1:1" x14ac:dyDescent="0.3">
      <c r="A31" t="s">
        <v>369</v>
      </c>
    </row>
    <row r="32" spans="1:1" x14ac:dyDescent="0.3">
      <c r="A32" t="s">
        <v>370</v>
      </c>
    </row>
    <row r="33" spans="1:1" x14ac:dyDescent="0.3">
      <c r="A33" t="s">
        <v>371</v>
      </c>
    </row>
    <row r="34" spans="1:1" x14ac:dyDescent="0.3">
      <c r="A34" t="s">
        <v>372</v>
      </c>
    </row>
    <row r="35" spans="1:1" x14ac:dyDescent="0.3">
      <c r="A35" t="s">
        <v>373</v>
      </c>
    </row>
    <row r="36" spans="1:1" x14ac:dyDescent="0.3">
      <c r="A36" t="s">
        <v>374</v>
      </c>
    </row>
    <row r="37" spans="1:1" x14ac:dyDescent="0.3">
      <c r="A37" t="s">
        <v>375</v>
      </c>
    </row>
    <row r="38" spans="1:1" x14ac:dyDescent="0.3">
      <c r="A38" t="s">
        <v>376</v>
      </c>
    </row>
    <row r="39" spans="1:1" x14ac:dyDescent="0.3">
      <c r="A39" t="s">
        <v>377</v>
      </c>
    </row>
    <row r="40" spans="1:1" x14ac:dyDescent="0.3">
      <c r="A40" t="s">
        <v>378</v>
      </c>
    </row>
    <row r="41" spans="1:1" x14ac:dyDescent="0.3">
      <c r="A41" t="s">
        <v>379</v>
      </c>
    </row>
    <row r="42" spans="1:1" x14ac:dyDescent="0.3">
      <c r="A42" t="s">
        <v>380</v>
      </c>
    </row>
    <row r="43" spans="1:1" x14ac:dyDescent="0.3">
      <c r="A43" t="s">
        <v>381</v>
      </c>
    </row>
    <row r="44" spans="1:1" x14ac:dyDescent="0.3">
      <c r="A44" t="s">
        <v>382</v>
      </c>
    </row>
    <row r="45" spans="1:1" x14ac:dyDescent="0.3">
      <c r="A45" t="s">
        <v>383</v>
      </c>
    </row>
    <row r="46" spans="1:1" x14ac:dyDescent="0.3">
      <c r="A46" t="s">
        <v>384</v>
      </c>
    </row>
    <row r="47" spans="1:1" x14ac:dyDescent="0.3">
      <c r="A47" t="s">
        <v>385</v>
      </c>
    </row>
    <row r="48" spans="1:1" x14ac:dyDescent="0.3">
      <c r="A48" t="s">
        <v>386</v>
      </c>
    </row>
    <row r="49" spans="1:1" x14ac:dyDescent="0.3">
      <c r="A49" t="s">
        <v>387</v>
      </c>
    </row>
    <row r="50" spans="1:1" x14ac:dyDescent="0.3">
      <c r="A50" t="s">
        <v>388</v>
      </c>
    </row>
    <row r="51" spans="1:1" x14ac:dyDescent="0.3">
      <c r="A51" t="s">
        <v>389</v>
      </c>
    </row>
    <row r="52" spans="1:1" x14ac:dyDescent="0.3">
      <c r="A52" t="s">
        <v>390</v>
      </c>
    </row>
    <row r="53" spans="1:1" x14ac:dyDescent="0.3">
      <c r="A53" t="s">
        <v>391</v>
      </c>
    </row>
    <row r="54" spans="1:1" x14ac:dyDescent="0.3">
      <c r="A54" t="s">
        <v>392</v>
      </c>
    </row>
    <row r="55" spans="1:1" x14ac:dyDescent="0.3">
      <c r="A55" t="s">
        <v>393</v>
      </c>
    </row>
    <row r="56" spans="1:1" x14ac:dyDescent="0.3">
      <c r="A56" s="40" t="s">
        <v>394</v>
      </c>
    </row>
    <row r="57" spans="1:1" x14ac:dyDescent="0.3">
      <c r="A57" t="s">
        <v>395</v>
      </c>
    </row>
    <row r="58" spans="1:1" x14ac:dyDescent="0.3">
      <c r="A58" t="s">
        <v>396</v>
      </c>
    </row>
    <row r="59" spans="1:1" x14ac:dyDescent="0.3">
      <c r="A59" t="s">
        <v>397</v>
      </c>
    </row>
    <row r="60" spans="1:1" x14ac:dyDescent="0.3">
      <c r="A60" t="s">
        <v>398</v>
      </c>
    </row>
    <row r="61" spans="1:1" x14ac:dyDescent="0.3">
      <c r="A61" t="s">
        <v>399</v>
      </c>
    </row>
    <row r="62" spans="1:1" x14ac:dyDescent="0.3">
      <c r="A62" s="40" t="s">
        <v>400</v>
      </c>
    </row>
    <row r="63" spans="1:1" x14ac:dyDescent="0.3">
      <c r="A63" t="s">
        <v>401</v>
      </c>
    </row>
    <row r="64" spans="1:1" x14ac:dyDescent="0.3">
      <c r="A64" t="s">
        <v>402</v>
      </c>
    </row>
    <row r="65" spans="1:1" x14ac:dyDescent="0.3">
      <c r="A65" t="s">
        <v>403</v>
      </c>
    </row>
    <row r="66" spans="1:1" x14ac:dyDescent="0.3">
      <c r="A66" t="s">
        <v>404</v>
      </c>
    </row>
    <row r="67" spans="1:1" x14ac:dyDescent="0.3">
      <c r="A67" t="s">
        <v>405</v>
      </c>
    </row>
    <row r="68" spans="1:1" x14ac:dyDescent="0.3">
      <c r="A68" t="s">
        <v>406</v>
      </c>
    </row>
    <row r="69" spans="1:1" x14ac:dyDescent="0.3">
      <c r="A69" t="s">
        <v>407</v>
      </c>
    </row>
    <row r="70" spans="1:1" x14ac:dyDescent="0.3">
      <c r="A70" t="s">
        <v>408</v>
      </c>
    </row>
    <row r="71" spans="1:1" x14ac:dyDescent="0.3">
      <c r="A71" t="s">
        <v>409</v>
      </c>
    </row>
    <row r="72" spans="1:1" x14ac:dyDescent="0.3">
      <c r="A72" t="s">
        <v>410</v>
      </c>
    </row>
    <row r="73" spans="1:1" x14ac:dyDescent="0.3">
      <c r="A73" t="s">
        <v>411</v>
      </c>
    </row>
    <row r="74" spans="1:1" x14ac:dyDescent="0.3">
      <c r="A74" t="s">
        <v>412</v>
      </c>
    </row>
    <row r="75" spans="1:1" x14ac:dyDescent="0.3">
      <c r="A75" t="s">
        <v>413</v>
      </c>
    </row>
    <row r="76" spans="1:1" x14ac:dyDescent="0.3">
      <c r="A76" t="s">
        <v>414</v>
      </c>
    </row>
    <row r="77" spans="1:1" x14ac:dyDescent="0.3">
      <c r="A77" t="s">
        <v>415</v>
      </c>
    </row>
    <row r="78" spans="1:1" x14ac:dyDescent="0.3">
      <c r="A78" t="s">
        <v>416</v>
      </c>
    </row>
    <row r="79" spans="1:1" x14ac:dyDescent="0.3">
      <c r="A79" t="s">
        <v>417</v>
      </c>
    </row>
    <row r="80" spans="1:1" x14ac:dyDescent="0.3">
      <c r="A80" t="s">
        <v>418</v>
      </c>
    </row>
    <row r="81" spans="1:1" x14ac:dyDescent="0.3">
      <c r="A81" t="s">
        <v>419</v>
      </c>
    </row>
    <row r="82" spans="1:1" x14ac:dyDescent="0.3">
      <c r="A82" t="s">
        <v>420</v>
      </c>
    </row>
    <row r="83" spans="1:1" x14ac:dyDescent="0.3">
      <c r="A83" t="s">
        <v>421</v>
      </c>
    </row>
    <row r="84" spans="1:1" x14ac:dyDescent="0.3">
      <c r="A84" t="s">
        <v>422</v>
      </c>
    </row>
    <row r="85" spans="1:1" x14ac:dyDescent="0.3">
      <c r="A85" t="s">
        <v>423</v>
      </c>
    </row>
    <row r="86" spans="1:1" x14ac:dyDescent="0.3">
      <c r="A86" t="s">
        <v>424</v>
      </c>
    </row>
    <row r="87" spans="1:1" x14ac:dyDescent="0.3">
      <c r="A87" t="s">
        <v>425</v>
      </c>
    </row>
    <row r="88" spans="1:1" x14ac:dyDescent="0.3">
      <c r="A88" t="s">
        <v>426</v>
      </c>
    </row>
    <row r="89" spans="1:1" x14ac:dyDescent="0.3">
      <c r="A89" t="s">
        <v>427</v>
      </c>
    </row>
    <row r="90" spans="1:1" x14ac:dyDescent="0.3">
      <c r="A90" t="s">
        <v>428</v>
      </c>
    </row>
    <row r="91" spans="1:1" x14ac:dyDescent="0.3">
      <c r="A91" t="s">
        <v>429</v>
      </c>
    </row>
    <row r="92" spans="1:1" x14ac:dyDescent="0.3">
      <c r="A92" t="s">
        <v>430</v>
      </c>
    </row>
    <row r="93" spans="1:1" x14ac:dyDescent="0.3">
      <c r="A93" t="s">
        <v>431</v>
      </c>
    </row>
    <row r="94" spans="1:1" x14ac:dyDescent="0.3">
      <c r="A94" t="s">
        <v>432</v>
      </c>
    </row>
    <row r="95" spans="1:1" x14ac:dyDescent="0.3">
      <c r="A95" t="s">
        <v>433</v>
      </c>
    </row>
    <row r="96" spans="1:1" x14ac:dyDescent="0.3">
      <c r="A96" t="s">
        <v>434</v>
      </c>
    </row>
    <row r="97" spans="1:1" x14ac:dyDescent="0.3">
      <c r="A97" t="s">
        <v>435</v>
      </c>
    </row>
    <row r="98" spans="1:1" x14ac:dyDescent="0.3">
      <c r="A98" t="s">
        <v>436</v>
      </c>
    </row>
    <row r="99" spans="1:1" x14ac:dyDescent="0.3">
      <c r="A99" t="s">
        <v>437</v>
      </c>
    </row>
    <row r="100" spans="1:1" x14ac:dyDescent="0.3">
      <c r="A100" t="s">
        <v>438</v>
      </c>
    </row>
    <row r="101" spans="1:1" x14ac:dyDescent="0.3">
      <c r="A101" t="s">
        <v>439</v>
      </c>
    </row>
    <row r="102" spans="1:1" x14ac:dyDescent="0.3">
      <c r="A102" t="s">
        <v>440</v>
      </c>
    </row>
    <row r="103" spans="1:1" x14ac:dyDescent="0.3">
      <c r="A103" t="s">
        <v>441</v>
      </c>
    </row>
    <row r="104" spans="1:1" x14ac:dyDescent="0.3">
      <c r="A104" t="s">
        <v>442</v>
      </c>
    </row>
    <row r="105" spans="1:1" x14ac:dyDescent="0.3">
      <c r="A105" t="s">
        <v>443</v>
      </c>
    </row>
    <row r="106" spans="1:1" x14ac:dyDescent="0.3">
      <c r="A106" t="s">
        <v>444</v>
      </c>
    </row>
    <row r="107" spans="1:1" x14ac:dyDescent="0.3">
      <c r="A107" t="s">
        <v>445</v>
      </c>
    </row>
    <row r="108" spans="1:1" x14ac:dyDescent="0.3">
      <c r="A108" t="s">
        <v>446</v>
      </c>
    </row>
    <row r="109" spans="1:1" x14ac:dyDescent="0.3">
      <c r="A109" t="s">
        <v>447</v>
      </c>
    </row>
    <row r="110" spans="1:1" x14ac:dyDescent="0.3">
      <c r="A110" t="s">
        <v>448</v>
      </c>
    </row>
    <row r="111" spans="1:1" x14ac:dyDescent="0.3">
      <c r="A111" t="s">
        <v>449</v>
      </c>
    </row>
    <row r="112" spans="1:1" x14ac:dyDescent="0.3">
      <c r="A112" t="s">
        <v>450</v>
      </c>
    </row>
    <row r="113" spans="1:1" x14ac:dyDescent="0.3">
      <c r="A113" s="51" t="s">
        <v>451</v>
      </c>
    </row>
    <row r="114" spans="1:1" x14ac:dyDescent="0.3">
      <c r="A114" s="51" t="s">
        <v>452</v>
      </c>
    </row>
    <row r="115" spans="1:1" x14ac:dyDescent="0.3">
      <c r="A115" s="51" t="s">
        <v>453</v>
      </c>
    </row>
    <row r="116" spans="1:1" x14ac:dyDescent="0.3">
      <c r="A116" s="51" t="s">
        <v>454</v>
      </c>
    </row>
    <row r="117" spans="1:1" x14ac:dyDescent="0.3">
      <c r="A117" s="51" t="s">
        <v>455</v>
      </c>
    </row>
    <row r="118" spans="1:1" x14ac:dyDescent="0.3">
      <c r="A118" s="51" t="s">
        <v>456</v>
      </c>
    </row>
    <row r="119" spans="1:1" x14ac:dyDescent="0.3">
      <c r="A119" s="51" t="s">
        <v>457</v>
      </c>
    </row>
    <row r="120" spans="1:1" x14ac:dyDescent="0.3">
      <c r="A120" s="51" t="s">
        <v>458</v>
      </c>
    </row>
    <row r="121" spans="1:1" x14ac:dyDescent="0.3">
      <c r="A121" s="51" t="s">
        <v>459</v>
      </c>
    </row>
    <row r="122" spans="1:1" x14ac:dyDescent="0.3">
      <c r="A122" s="51" t="s">
        <v>460</v>
      </c>
    </row>
    <row r="123" spans="1:1" x14ac:dyDescent="0.3">
      <c r="A123" s="51" t="s">
        <v>461</v>
      </c>
    </row>
    <row r="124" spans="1:1" x14ac:dyDescent="0.3">
      <c r="A124" s="51" t="s">
        <v>462</v>
      </c>
    </row>
    <row r="125" spans="1:1" x14ac:dyDescent="0.3">
      <c r="A125" t="s">
        <v>316</v>
      </c>
    </row>
    <row r="126" spans="1:1" x14ac:dyDescent="0.3">
      <c r="A126" t="s">
        <v>317</v>
      </c>
    </row>
    <row r="127" spans="1:1" x14ac:dyDescent="0.3">
      <c r="A127" t="s">
        <v>318</v>
      </c>
    </row>
    <row r="128" spans="1:1" x14ac:dyDescent="0.3">
      <c r="A128" s="51" t="s">
        <v>319</v>
      </c>
    </row>
    <row r="129" spans="1:1" x14ac:dyDescent="0.3">
      <c r="A129" s="51" t="s">
        <v>320</v>
      </c>
    </row>
    <row r="130" spans="1:1" x14ac:dyDescent="0.3">
      <c r="A130" s="51" t="s">
        <v>321</v>
      </c>
    </row>
    <row r="131" spans="1:1" x14ac:dyDescent="0.3">
      <c r="A131" s="51" t="s">
        <v>322</v>
      </c>
    </row>
    <row r="132" spans="1:1" x14ac:dyDescent="0.3">
      <c r="A132" s="51" t="s">
        <v>323</v>
      </c>
    </row>
    <row r="133" spans="1:1" x14ac:dyDescent="0.3">
      <c r="A133" s="51" t="s">
        <v>324</v>
      </c>
    </row>
    <row r="134" spans="1:1" x14ac:dyDescent="0.3">
      <c r="A134" s="51" t="s">
        <v>325</v>
      </c>
    </row>
    <row r="135" spans="1:1" x14ac:dyDescent="0.3">
      <c r="A135" s="51" t="s">
        <v>326</v>
      </c>
    </row>
    <row r="136" spans="1:1" x14ac:dyDescent="0.3">
      <c r="A136" s="51" t="s">
        <v>327</v>
      </c>
    </row>
    <row r="137" spans="1:1" x14ac:dyDescent="0.3">
      <c r="A137" s="51" t="s">
        <v>328</v>
      </c>
    </row>
    <row r="138" spans="1:1" x14ac:dyDescent="0.3">
      <c r="A138" s="51" t="s">
        <v>329</v>
      </c>
    </row>
    <row r="139" spans="1:1" x14ac:dyDescent="0.3">
      <c r="A139" s="51" t="s">
        <v>330</v>
      </c>
    </row>
    <row r="140" spans="1:1" x14ac:dyDescent="0.3">
      <c r="A140" t="s">
        <v>331</v>
      </c>
    </row>
    <row r="141" spans="1:1" x14ac:dyDescent="0.3">
      <c r="A141" t="s">
        <v>463</v>
      </c>
    </row>
    <row r="142" spans="1:1" x14ac:dyDescent="0.3">
      <c r="A142" t="s">
        <v>464</v>
      </c>
    </row>
    <row r="143" spans="1:1" x14ac:dyDescent="0.3">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4.4" x14ac:dyDescent="0.3"/>
  <cols>
    <col min="1" max="1" width="68.5546875" bestFit="1" customWidth="1"/>
    <col min="2" max="2" width="12.109375" bestFit="1" customWidth="1"/>
    <col min="3" max="3" width="44.44140625" customWidth="1"/>
    <col min="4" max="4" width="31" customWidth="1"/>
    <col min="5" max="5" width="22.109375" customWidth="1"/>
    <col min="6" max="6" width="165.109375" bestFit="1" customWidth="1"/>
    <col min="11" max="11" width="19" bestFit="1" customWidth="1"/>
  </cols>
  <sheetData>
    <row r="1" spans="1:12" x14ac:dyDescent="0.3">
      <c r="A1" s="39" t="s">
        <v>333</v>
      </c>
      <c r="B1" t="s">
        <v>334</v>
      </c>
      <c r="C1" t="s">
        <v>335</v>
      </c>
      <c r="D1" t="s">
        <v>336</v>
      </c>
      <c r="E1" t="s">
        <v>337</v>
      </c>
      <c r="F1" t="s">
        <v>338</v>
      </c>
    </row>
    <row r="2" spans="1:12" hidden="1" x14ac:dyDescent="0.3">
      <c r="A2" s="34" t="s">
        <v>339</v>
      </c>
      <c r="B2">
        <f>LEN(A2)</f>
        <v>35</v>
      </c>
      <c r="C2" t="s">
        <v>340</v>
      </c>
      <c r="D2" t="s">
        <v>110</v>
      </c>
      <c r="E2" t="s">
        <v>341</v>
      </c>
      <c r="K2" s="2" t="s">
        <v>342</v>
      </c>
      <c r="L2" s="2" t="s">
        <v>343</v>
      </c>
    </row>
    <row r="3" spans="1:12" hidden="1" x14ac:dyDescent="0.3">
      <c r="A3" s="34" t="s">
        <v>344</v>
      </c>
      <c r="B3">
        <f t="shared" ref="B3:B66" si="0">LEN(A3)</f>
        <v>35</v>
      </c>
      <c r="K3" t="s">
        <v>79</v>
      </c>
      <c r="L3">
        <f>LEN(K3)</f>
        <v>18</v>
      </c>
    </row>
    <row r="4" spans="1:12" hidden="1" x14ac:dyDescent="0.3">
      <c r="A4" s="34" t="s">
        <v>345</v>
      </c>
      <c r="B4">
        <f t="shared" si="0"/>
        <v>35</v>
      </c>
      <c r="K4" t="s">
        <v>95</v>
      </c>
      <c r="L4">
        <f t="shared" ref="L4:L10" si="1">LEN(K4)</f>
        <v>19</v>
      </c>
    </row>
    <row r="5" spans="1:12" hidden="1" x14ac:dyDescent="0.3">
      <c r="A5" s="34" t="s">
        <v>346</v>
      </c>
      <c r="B5">
        <f t="shared" si="0"/>
        <v>35</v>
      </c>
      <c r="K5" t="s">
        <v>100</v>
      </c>
      <c r="L5">
        <f t="shared" si="1"/>
        <v>18</v>
      </c>
    </row>
    <row r="6" spans="1:12" hidden="1" x14ac:dyDescent="0.3">
      <c r="A6" s="34" t="s">
        <v>347</v>
      </c>
      <c r="B6">
        <f t="shared" si="0"/>
        <v>35</v>
      </c>
      <c r="K6" t="s">
        <v>131</v>
      </c>
      <c r="L6">
        <f t="shared" si="1"/>
        <v>7</v>
      </c>
    </row>
    <row r="7" spans="1:12" hidden="1" x14ac:dyDescent="0.3">
      <c r="A7" s="34" t="s">
        <v>348</v>
      </c>
      <c r="B7">
        <f t="shared" si="0"/>
        <v>35</v>
      </c>
      <c r="K7" t="s">
        <v>144</v>
      </c>
      <c r="L7">
        <f t="shared" si="1"/>
        <v>20</v>
      </c>
    </row>
    <row r="8" spans="1:12" hidden="1" x14ac:dyDescent="0.3">
      <c r="A8" s="34" t="s">
        <v>349</v>
      </c>
      <c r="B8">
        <f t="shared" si="0"/>
        <v>35</v>
      </c>
      <c r="K8" t="s">
        <v>159</v>
      </c>
      <c r="L8">
        <f t="shared" si="1"/>
        <v>15</v>
      </c>
    </row>
    <row r="9" spans="1:12" hidden="1" x14ac:dyDescent="0.3">
      <c r="A9" s="34" t="s">
        <v>350</v>
      </c>
      <c r="B9">
        <f t="shared" si="0"/>
        <v>35</v>
      </c>
      <c r="K9" t="s">
        <v>189</v>
      </c>
      <c r="L9">
        <f t="shared" si="1"/>
        <v>11</v>
      </c>
    </row>
    <row r="10" spans="1:12" hidden="1" x14ac:dyDescent="0.3">
      <c r="A10" s="34" t="s">
        <v>351</v>
      </c>
      <c r="B10">
        <f t="shared" si="0"/>
        <v>35</v>
      </c>
      <c r="K10" t="s">
        <v>0</v>
      </c>
      <c r="L10">
        <f t="shared" si="1"/>
        <v>16</v>
      </c>
    </row>
    <row r="11" spans="1:12" hidden="1" x14ac:dyDescent="0.3">
      <c r="A11" s="34" t="s">
        <v>352</v>
      </c>
      <c r="B11">
        <f t="shared" si="0"/>
        <v>35</v>
      </c>
    </row>
    <row r="12" spans="1:12" hidden="1" x14ac:dyDescent="0.3">
      <c r="A12" s="34" t="s">
        <v>353</v>
      </c>
      <c r="B12">
        <f t="shared" si="0"/>
        <v>35</v>
      </c>
    </row>
    <row r="13" spans="1:12" hidden="1" x14ac:dyDescent="0.3">
      <c r="A13" s="34" t="s">
        <v>354</v>
      </c>
      <c r="B13">
        <f t="shared" si="0"/>
        <v>35</v>
      </c>
    </row>
    <row r="14" spans="1:12" hidden="1" x14ac:dyDescent="0.3">
      <c r="A14" s="34" t="s">
        <v>355</v>
      </c>
      <c r="B14">
        <f t="shared" si="0"/>
        <v>37</v>
      </c>
    </row>
    <row r="15" spans="1:12" hidden="1" x14ac:dyDescent="0.3">
      <c r="A15" s="34" t="s">
        <v>356</v>
      </c>
      <c r="B15">
        <f t="shared" si="0"/>
        <v>37</v>
      </c>
    </row>
    <row r="16" spans="1:12" hidden="1" x14ac:dyDescent="0.3">
      <c r="A16" s="34" t="s">
        <v>357</v>
      </c>
      <c r="B16">
        <f t="shared" si="0"/>
        <v>37</v>
      </c>
    </row>
    <row r="17" spans="1:2" hidden="1" x14ac:dyDescent="0.3">
      <c r="A17" s="34" t="s">
        <v>358</v>
      </c>
      <c r="B17">
        <f t="shared" si="0"/>
        <v>37</v>
      </c>
    </row>
    <row r="18" spans="1:2" hidden="1" x14ac:dyDescent="0.3">
      <c r="A18" s="34" t="s">
        <v>359</v>
      </c>
      <c r="B18">
        <f t="shared" si="0"/>
        <v>37</v>
      </c>
    </row>
    <row r="19" spans="1:2" hidden="1" x14ac:dyDescent="0.3">
      <c r="A19" s="34" t="s">
        <v>360</v>
      </c>
      <c r="B19">
        <f t="shared" si="0"/>
        <v>37</v>
      </c>
    </row>
    <row r="20" spans="1:2" hidden="1" x14ac:dyDescent="0.3">
      <c r="A20" s="34" t="s">
        <v>361</v>
      </c>
      <c r="B20">
        <f t="shared" si="0"/>
        <v>37</v>
      </c>
    </row>
    <row r="21" spans="1:2" hidden="1" x14ac:dyDescent="0.3">
      <c r="A21" s="34" t="s">
        <v>362</v>
      </c>
      <c r="B21">
        <f t="shared" si="0"/>
        <v>37</v>
      </c>
    </row>
    <row r="22" spans="1:2" hidden="1" x14ac:dyDescent="0.3">
      <c r="A22" s="34" t="s">
        <v>363</v>
      </c>
      <c r="B22">
        <f t="shared" si="0"/>
        <v>37</v>
      </c>
    </row>
    <row r="23" spans="1:2" hidden="1" x14ac:dyDescent="0.3">
      <c r="A23" s="34" t="s">
        <v>364</v>
      </c>
      <c r="B23">
        <f t="shared" si="0"/>
        <v>37</v>
      </c>
    </row>
    <row r="24" spans="1:2" hidden="1" x14ac:dyDescent="0.3">
      <c r="A24" s="34" t="s">
        <v>365</v>
      </c>
      <c r="B24">
        <f t="shared" si="0"/>
        <v>37</v>
      </c>
    </row>
    <row r="25" spans="1:2" hidden="1" x14ac:dyDescent="0.3">
      <c r="A25" s="34" t="s">
        <v>366</v>
      </c>
      <c r="B25">
        <f t="shared" si="0"/>
        <v>37</v>
      </c>
    </row>
    <row r="26" spans="1:2" hidden="1" x14ac:dyDescent="0.3">
      <c r="A26" s="34" t="s">
        <v>367</v>
      </c>
      <c r="B26">
        <f t="shared" si="0"/>
        <v>37</v>
      </c>
    </row>
    <row r="27" spans="1:2" hidden="1" x14ac:dyDescent="0.3">
      <c r="A27" s="34" t="s">
        <v>368</v>
      </c>
      <c r="B27">
        <f t="shared" si="0"/>
        <v>37</v>
      </c>
    </row>
    <row r="28" spans="1:2" hidden="1" x14ac:dyDescent="0.3">
      <c r="A28" s="34" t="s">
        <v>369</v>
      </c>
      <c r="B28">
        <f t="shared" si="0"/>
        <v>37</v>
      </c>
    </row>
    <row r="29" spans="1:2" hidden="1" x14ac:dyDescent="0.3">
      <c r="A29" s="34" t="s">
        <v>370</v>
      </c>
      <c r="B29">
        <f t="shared" si="0"/>
        <v>37</v>
      </c>
    </row>
    <row r="30" spans="1:2" hidden="1" x14ac:dyDescent="0.3">
      <c r="A30" s="34" t="s">
        <v>371</v>
      </c>
      <c r="B30">
        <f t="shared" si="0"/>
        <v>35</v>
      </c>
    </row>
    <row r="31" spans="1:2" hidden="1" x14ac:dyDescent="0.3">
      <c r="A31" s="34" t="s">
        <v>372</v>
      </c>
      <c r="B31">
        <f t="shared" si="0"/>
        <v>35</v>
      </c>
    </row>
    <row r="32" spans="1:2" hidden="1" x14ac:dyDescent="0.3">
      <c r="A32" s="34" t="s">
        <v>373</v>
      </c>
      <c r="B32">
        <f t="shared" si="0"/>
        <v>35</v>
      </c>
    </row>
    <row r="33" spans="1:2" hidden="1" x14ac:dyDescent="0.3">
      <c r="A33" s="34" t="s">
        <v>374</v>
      </c>
      <c r="B33">
        <f t="shared" si="0"/>
        <v>35</v>
      </c>
    </row>
    <row r="34" spans="1:2" hidden="1" x14ac:dyDescent="0.3">
      <c r="A34" s="34" t="s">
        <v>375</v>
      </c>
      <c r="B34">
        <f t="shared" si="0"/>
        <v>35</v>
      </c>
    </row>
    <row r="35" spans="1:2" hidden="1" x14ac:dyDescent="0.3">
      <c r="A35" s="34" t="s">
        <v>376</v>
      </c>
      <c r="B35">
        <f t="shared" si="0"/>
        <v>35</v>
      </c>
    </row>
    <row r="36" spans="1:2" hidden="1" x14ac:dyDescent="0.3">
      <c r="A36" s="34" t="s">
        <v>377</v>
      </c>
      <c r="B36">
        <f t="shared" si="0"/>
        <v>35</v>
      </c>
    </row>
    <row r="37" spans="1:2" hidden="1" x14ac:dyDescent="0.3">
      <c r="A37" s="34" t="s">
        <v>378</v>
      </c>
      <c r="B37">
        <f t="shared" si="0"/>
        <v>35</v>
      </c>
    </row>
    <row r="38" spans="1:2" hidden="1" x14ac:dyDescent="0.3">
      <c r="A38" s="34" t="s">
        <v>379</v>
      </c>
      <c r="B38">
        <f t="shared" si="0"/>
        <v>35</v>
      </c>
    </row>
    <row r="39" spans="1:2" hidden="1" x14ac:dyDescent="0.3">
      <c r="A39" s="34" t="s">
        <v>380</v>
      </c>
      <c r="B39">
        <f t="shared" si="0"/>
        <v>35</v>
      </c>
    </row>
    <row r="40" spans="1:2" hidden="1" x14ac:dyDescent="0.3">
      <c r="A40" s="34" t="s">
        <v>381</v>
      </c>
      <c r="B40">
        <f t="shared" si="0"/>
        <v>35</v>
      </c>
    </row>
    <row r="41" spans="1:2" hidden="1" x14ac:dyDescent="0.3">
      <c r="A41" s="34" t="s">
        <v>382</v>
      </c>
      <c r="B41">
        <f t="shared" si="0"/>
        <v>35</v>
      </c>
    </row>
    <row r="42" spans="1:2" hidden="1" x14ac:dyDescent="0.3">
      <c r="A42" s="34" t="s">
        <v>383</v>
      </c>
      <c r="B42">
        <f t="shared" si="0"/>
        <v>35</v>
      </c>
    </row>
    <row r="43" spans="1:2" hidden="1" x14ac:dyDescent="0.3">
      <c r="A43" s="34" t="s">
        <v>384</v>
      </c>
      <c r="B43">
        <f t="shared" si="0"/>
        <v>35</v>
      </c>
    </row>
    <row r="44" spans="1:2" hidden="1" x14ac:dyDescent="0.3">
      <c r="A44" s="34" t="s">
        <v>385</v>
      </c>
      <c r="B44">
        <f t="shared" si="0"/>
        <v>35</v>
      </c>
    </row>
    <row r="45" spans="1:2" hidden="1" x14ac:dyDescent="0.3">
      <c r="A45" s="34" t="s">
        <v>386</v>
      </c>
      <c r="B45">
        <f t="shared" si="0"/>
        <v>35</v>
      </c>
    </row>
    <row r="46" spans="1:2" hidden="1" x14ac:dyDescent="0.3">
      <c r="A46" s="34" t="s">
        <v>387</v>
      </c>
      <c r="B46">
        <f t="shared" si="0"/>
        <v>39</v>
      </c>
    </row>
    <row r="47" spans="1:2" hidden="1" x14ac:dyDescent="0.3">
      <c r="A47" s="34" t="s">
        <v>388</v>
      </c>
      <c r="B47">
        <f t="shared" si="0"/>
        <v>39</v>
      </c>
    </row>
    <row r="48" spans="1:2" hidden="1" x14ac:dyDescent="0.3">
      <c r="A48" s="34" t="s">
        <v>389</v>
      </c>
      <c r="B48">
        <f t="shared" si="0"/>
        <v>39</v>
      </c>
    </row>
    <row r="49" spans="1:6" hidden="1" x14ac:dyDescent="0.3">
      <c r="A49" s="34" t="s">
        <v>390</v>
      </c>
      <c r="B49">
        <f t="shared" si="0"/>
        <v>39</v>
      </c>
    </row>
    <row r="50" spans="1:6" hidden="1" x14ac:dyDescent="0.3">
      <c r="A50" s="34" t="s">
        <v>391</v>
      </c>
      <c r="B50">
        <f t="shared" si="0"/>
        <v>41</v>
      </c>
    </row>
    <row r="51" spans="1:6" hidden="1" x14ac:dyDescent="0.3">
      <c r="A51" s="34" t="s">
        <v>392</v>
      </c>
      <c r="B51">
        <f t="shared" si="0"/>
        <v>41</v>
      </c>
    </row>
    <row r="52" spans="1:6" hidden="1" x14ac:dyDescent="0.3">
      <c r="A52" s="34" t="s">
        <v>393</v>
      </c>
      <c r="B52">
        <f t="shared" si="0"/>
        <v>41</v>
      </c>
    </row>
    <row r="53" spans="1:6" hidden="1" x14ac:dyDescent="0.3">
      <c r="A53" s="34" t="s">
        <v>394</v>
      </c>
      <c r="B53">
        <f t="shared" si="0"/>
        <v>41</v>
      </c>
    </row>
    <row r="54" spans="1:6" hidden="1" x14ac:dyDescent="0.3">
      <c r="A54" s="34" t="s">
        <v>395</v>
      </c>
      <c r="B54">
        <f t="shared" si="0"/>
        <v>42</v>
      </c>
    </row>
    <row r="55" spans="1:6" hidden="1" x14ac:dyDescent="0.3">
      <c r="A55" s="34" t="s">
        <v>396</v>
      </c>
      <c r="B55">
        <f t="shared" si="0"/>
        <v>42</v>
      </c>
    </row>
    <row r="56" spans="1:6" x14ac:dyDescent="0.3">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3">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3">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3">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3">
      <c r="A60" s="34" t="s">
        <v>401</v>
      </c>
      <c r="B60">
        <f t="shared" si="0"/>
        <v>38</v>
      </c>
    </row>
    <row r="61" spans="1:6" hidden="1" x14ac:dyDescent="0.3">
      <c r="A61" s="34" t="s">
        <v>402</v>
      </c>
      <c r="B61">
        <f t="shared" si="0"/>
        <v>38</v>
      </c>
    </row>
    <row r="62" spans="1:6" hidden="1" x14ac:dyDescent="0.3">
      <c r="A62" s="34" t="s">
        <v>403</v>
      </c>
      <c r="B62">
        <f t="shared" si="0"/>
        <v>38</v>
      </c>
    </row>
    <row r="63" spans="1:6" hidden="1" x14ac:dyDescent="0.3">
      <c r="A63" s="34" t="s">
        <v>404</v>
      </c>
      <c r="B63">
        <f t="shared" si="0"/>
        <v>38</v>
      </c>
    </row>
    <row r="64" spans="1:6" hidden="1" x14ac:dyDescent="0.3">
      <c r="A64" s="34" t="s">
        <v>405</v>
      </c>
      <c r="B64">
        <f t="shared" si="0"/>
        <v>38</v>
      </c>
    </row>
    <row r="65" spans="1:2" hidden="1" x14ac:dyDescent="0.3">
      <c r="A65" s="34" t="s">
        <v>406</v>
      </c>
      <c r="B65">
        <f t="shared" si="0"/>
        <v>38</v>
      </c>
    </row>
    <row r="66" spans="1:2" hidden="1" x14ac:dyDescent="0.3">
      <c r="A66" s="34" t="s">
        <v>407</v>
      </c>
      <c r="B66">
        <f t="shared" si="0"/>
        <v>38</v>
      </c>
    </row>
    <row r="67" spans="1:2" hidden="1" x14ac:dyDescent="0.3">
      <c r="A67" s="34" t="s">
        <v>408</v>
      </c>
      <c r="B67">
        <f t="shared" ref="B67:B130" si="4">LEN(A67)</f>
        <v>38</v>
      </c>
    </row>
    <row r="68" spans="1:2" hidden="1" x14ac:dyDescent="0.3">
      <c r="A68" s="34" t="s">
        <v>409</v>
      </c>
      <c r="B68">
        <f t="shared" si="4"/>
        <v>39</v>
      </c>
    </row>
    <row r="69" spans="1:2" hidden="1" x14ac:dyDescent="0.3">
      <c r="A69" s="34" t="s">
        <v>410</v>
      </c>
      <c r="B69">
        <f t="shared" si="4"/>
        <v>39</v>
      </c>
    </row>
    <row r="70" spans="1:2" hidden="1" x14ac:dyDescent="0.3">
      <c r="A70" s="34" t="s">
        <v>411</v>
      </c>
      <c r="B70">
        <f t="shared" si="4"/>
        <v>39</v>
      </c>
    </row>
    <row r="71" spans="1:2" hidden="1" x14ac:dyDescent="0.3">
      <c r="A71" s="34" t="s">
        <v>412</v>
      </c>
      <c r="B71">
        <f t="shared" si="4"/>
        <v>39</v>
      </c>
    </row>
    <row r="72" spans="1:2" hidden="1" x14ac:dyDescent="0.3">
      <c r="A72" s="34" t="s">
        <v>413</v>
      </c>
      <c r="B72">
        <f t="shared" si="4"/>
        <v>39</v>
      </c>
    </row>
    <row r="73" spans="1:2" hidden="1" x14ac:dyDescent="0.3">
      <c r="A73" s="34" t="s">
        <v>414</v>
      </c>
      <c r="B73">
        <f t="shared" si="4"/>
        <v>39</v>
      </c>
    </row>
    <row r="74" spans="1:2" hidden="1" x14ac:dyDescent="0.3">
      <c r="A74" s="34" t="s">
        <v>415</v>
      </c>
      <c r="B74">
        <f t="shared" si="4"/>
        <v>39</v>
      </c>
    </row>
    <row r="75" spans="1:2" hidden="1" x14ac:dyDescent="0.3">
      <c r="A75" s="34" t="s">
        <v>416</v>
      </c>
      <c r="B75">
        <f t="shared" si="4"/>
        <v>39</v>
      </c>
    </row>
    <row r="76" spans="1:2" hidden="1" x14ac:dyDescent="0.3">
      <c r="A76" s="34" t="s">
        <v>417</v>
      </c>
      <c r="B76">
        <f t="shared" si="4"/>
        <v>37</v>
      </c>
    </row>
    <row r="77" spans="1:2" hidden="1" x14ac:dyDescent="0.3">
      <c r="A77" s="34" t="s">
        <v>418</v>
      </c>
      <c r="B77">
        <f t="shared" si="4"/>
        <v>37</v>
      </c>
    </row>
    <row r="78" spans="1:2" hidden="1" x14ac:dyDescent="0.3">
      <c r="A78" s="34" t="s">
        <v>419</v>
      </c>
      <c r="B78">
        <f t="shared" si="4"/>
        <v>37</v>
      </c>
    </row>
    <row r="79" spans="1:2" hidden="1" x14ac:dyDescent="0.3">
      <c r="A79" s="34" t="s">
        <v>420</v>
      </c>
      <c r="B79">
        <f t="shared" si="4"/>
        <v>37</v>
      </c>
    </row>
    <row r="80" spans="1:2" hidden="1" x14ac:dyDescent="0.3">
      <c r="A80" s="34" t="s">
        <v>421</v>
      </c>
      <c r="B80">
        <f t="shared" si="4"/>
        <v>38</v>
      </c>
    </row>
    <row r="81" spans="1:2" hidden="1" x14ac:dyDescent="0.3">
      <c r="A81" s="34" t="s">
        <v>422</v>
      </c>
      <c r="B81">
        <f t="shared" si="4"/>
        <v>38</v>
      </c>
    </row>
    <row r="82" spans="1:2" hidden="1" x14ac:dyDescent="0.3">
      <c r="A82" s="34" t="s">
        <v>423</v>
      </c>
      <c r="B82">
        <f t="shared" si="4"/>
        <v>38</v>
      </c>
    </row>
    <row r="83" spans="1:2" hidden="1" x14ac:dyDescent="0.3">
      <c r="A83" s="34" t="s">
        <v>424</v>
      </c>
      <c r="B83">
        <f t="shared" si="4"/>
        <v>38</v>
      </c>
    </row>
    <row r="84" spans="1:2" hidden="1" x14ac:dyDescent="0.3">
      <c r="A84" s="34" t="s">
        <v>425</v>
      </c>
      <c r="B84">
        <f t="shared" si="4"/>
        <v>37</v>
      </c>
    </row>
    <row r="85" spans="1:2" hidden="1" x14ac:dyDescent="0.3">
      <c r="A85" s="34" t="s">
        <v>426</v>
      </c>
      <c r="B85">
        <f t="shared" si="4"/>
        <v>37</v>
      </c>
    </row>
    <row r="86" spans="1:2" hidden="1" x14ac:dyDescent="0.3">
      <c r="A86" s="34" t="s">
        <v>427</v>
      </c>
      <c r="B86">
        <f t="shared" si="4"/>
        <v>37</v>
      </c>
    </row>
    <row r="87" spans="1:2" hidden="1" x14ac:dyDescent="0.3">
      <c r="A87" s="34" t="s">
        <v>428</v>
      </c>
      <c r="B87">
        <f t="shared" si="4"/>
        <v>37</v>
      </c>
    </row>
    <row r="88" spans="1:2" hidden="1" x14ac:dyDescent="0.3">
      <c r="A88" s="34" t="s">
        <v>429</v>
      </c>
      <c r="B88">
        <f t="shared" si="4"/>
        <v>38</v>
      </c>
    </row>
    <row r="89" spans="1:2" hidden="1" x14ac:dyDescent="0.3">
      <c r="A89" s="34" t="s">
        <v>430</v>
      </c>
      <c r="B89">
        <f t="shared" si="4"/>
        <v>38</v>
      </c>
    </row>
    <row r="90" spans="1:2" hidden="1" x14ac:dyDescent="0.3">
      <c r="A90" s="34" t="s">
        <v>431</v>
      </c>
      <c r="B90">
        <f t="shared" si="4"/>
        <v>38</v>
      </c>
    </row>
    <row r="91" spans="1:2" hidden="1" x14ac:dyDescent="0.3">
      <c r="A91" s="34" t="s">
        <v>432</v>
      </c>
      <c r="B91">
        <f t="shared" si="4"/>
        <v>38</v>
      </c>
    </row>
    <row r="92" spans="1:2" hidden="1" x14ac:dyDescent="0.3">
      <c r="A92" s="34" t="s">
        <v>433</v>
      </c>
      <c r="B92">
        <f t="shared" si="4"/>
        <v>37</v>
      </c>
    </row>
    <row r="93" spans="1:2" hidden="1" x14ac:dyDescent="0.3">
      <c r="A93" s="34" t="s">
        <v>434</v>
      </c>
      <c r="B93">
        <f t="shared" si="4"/>
        <v>37</v>
      </c>
    </row>
    <row r="94" spans="1:2" hidden="1" x14ac:dyDescent="0.3">
      <c r="A94" s="34" t="s">
        <v>435</v>
      </c>
      <c r="B94">
        <f t="shared" si="4"/>
        <v>37</v>
      </c>
    </row>
    <row r="95" spans="1:2" hidden="1" x14ac:dyDescent="0.3">
      <c r="A95" s="34" t="s">
        <v>436</v>
      </c>
      <c r="B95">
        <f t="shared" si="4"/>
        <v>37</v>
      </c>
    </row>
    <row r="96" spans="1:2" hidden="1" x14ac:dyDescent="0.3">
      <c r="A96" s="34" t="s">
        <v>437</v>
      </c>
      <c r="B96">
        <f t="shared" si="4"/>
        <v>38</v>
      </c>
    </row>
    <row r="97" spans="1:2" hidden="1" x14ac:dyDescent="0.3">
      <c r="A97" s="34" t="s">
        <v>438</v>
      </c>
      <c r="B97">
        <f t="shared" si="4"/>
        <v>38</v>
      </c>
    </row>
    <row r="98" spans="1:2" hidden="1" x14ac:dyDescent="0.3">
      <c r="A98" s="34" t="s">
        <v>439</v>
      </c>
      <c r="B98">
        <f t="shared" si="4"/>
        <v>38</v>
      </c>
    </row>
    <row r="99" spans="1:2" hidden="1" x14ac:dyDescent="0.3">
      <c r="A99" s="34" t="s">
        <v>440</v>
      </c>
      <c r="B99">
        <f t="shared" si="4"/>
        <v>38</v>
      </c>
    </row>
    <row r="100" spans="1:2" hidden="1" x14ac:dyDescent="0.3">
      <c r="A100" s="34" t="s">
        <v>441</v>
      </c>
      <c r="B100">
        <f t="shared" si="4"/>
        <v>37</v>
      </c>
    </row>
    <row r="101" spans="1:2" hidden="1" x14ac:dyDescent="0.3">
      <c r="A101" s="34" t="s">
        <v>442</v>
      </c>
      <c r="B101">
        <f t="shared" si="4"/>
        <v>37</v>
      </c>
    </row>
    <row r="102" spans="1:2" hidden="1" x14ac:dyDescent="0.3">
      <c r="A102" s="34" t="s">
        <v>443</v>
      </c>
      <c r="B102">
        <f t="shared" si="4"/>
        <v>37</v>
      </c>
    </row>
    <row r="103" spans="1:2" hidden="1" x14ac:dyDescent="0.3">
      <c r="A103" s="34" t="s">
        <v>444</v>
      </c>
      <c r="B103">
        <f t="shared" si="4"/>
        <v>37</v>
      </c>
    </row>
    <row r="104" spans="1:2" hidden="1" x14ac:dyDescent="0.3">
      <c r="A104" s="34" t="s">
        <v>445</v>
      </c>
      <c r="B104">
        <f t="shared" si="4"/>
        <v>38</v>
      </c>
    </row>
    <row r="105" spans="1:2" hidden="1" x14ac:dyDescent="0.3">
      <c r="A105" s="34" t="s">
        <v>446</v>
      </c>
      <c r="B105">
        <f t="shared" si="4"/>
        <v>38</v>
      </c>
    </row>
    <row r="106" spans="1:2" hidden="1" x14ac:dyDescent="0.3">
      <c r="A106" s="34" t="s">
        <v>447</v>
      </c>
      <c r="B106">
        <f t="shared" si="4"/>
        <v>38</v>
      </c>
    </row>
    <row r="107" spans="1:2" hidden="1" x14ac:dyDescent="0.3">
      <c r="A107" s="34" t="s">
        <v>448</v>
      </c>
      <c r="B107">
        <f t="shared" si="4"/>
        <v>38</v>
      </c>
    </row>
    <row r="108" spans="1:2" hidden="1" x14ac:dyDescent="0.3">
      <c r="A108" s="34" t="s">
        <v>449</v>
      </c>
      <c r="B108">
        <f t="shared" si="4"/>
        <v>29</v>
      </c>
    </row>
    <row r="109" spans="1:2" hidden="1" x14ac:dyDescent="0.3">
      <c r="A109" s="34" t="s">
        <v>450</v>
      </c>
      <c r="B109">
        <f t="shared" si="4"/>
        <v>29</v>
      </c>
    </row>
    <row r="110" spans="1:2" hidden="1" x14ac:dyDescent="0.3">
      <c r="A110" s="34" t="s">
        <v>451</v>
      </c>
      <c r="B110">
        <f t="shared" si="4"/>
        <v>34</v>
      </c>
    </row>
    <row r="111" spans="1:2" hidden="1" x14ac:dyDescent="0.3">
      <c r="A111" s="34" t="s">
        <v>452</v>
      </c>
      <c r="B111">
        <f t="shared" si="4"/>
        <v>34</v>
      </c>
    </row>
    <row r="112" spans="1:2" hidden="1" x14ac:dyDescent="0.3">
      <c r="A112" s="34" t="s">
        <v>453</v>
      </c>
      <c r="B112">
        <f t="shared" si="4"/>
        <v>34</v>
      </c>
    </row>
    <row r="113" spans="1:2" hidden="1" x14ac:dyDescent="0.3">
      <c r="A113" s="34" t="s">
        <v>454</v>
      </c>
      <c r="B113">
        <f t="shared" si="4"/>
        <v>35</v>
      </c>
    </row>
    <row r="114" spans="1:2" hidden="1" x14ac:dyDescent="0.3">
      <c r="A114" s="34" t="s">
        <v>455</v>
      </c>
      <c r="B114">
        <f t="shared" si="4"/>
        <v>35</v>
      </c>
    </row>
    <row r="115" spans="1:2" hidden="1" x14ac:dyDescent="0.3">
      <c r="A115" s="34" t="s">
        <v>456</v>
      </c>
      <c r="B115">
        <f t="shared" si="4"/>
        <v>35</v>
      </c>
    </row>
    <row r="116" spans="1:2" hidden="1" x14ac:dyDescent="0.3">
      <c r="A116" s="34" t="s">
        <v>457</v>
      </c>
      <c r="B116">
        <f t="shared" si="4"/>
        <v>34</v>
      </c>
    </row>
    <row r="117" spans="1:2" hidden="1" x14ac:dyDescent="0.3">
      <c r="A117" s="34" t="s">
        <v>458</v>
      </c>
      <c r="B117">
        <f t="shared" si="4"/>
        <v>34</v>
      </c>
    </row>
    <row r="118" spans="1:2" hidden="1" x14ac:dyDescent="0.3">
      <c r="A118" s="34" t="s">
        <v>459</v>
      </c>
      <c r="B118">
        <f t="shared" si="4"/>
        <v>34</v>
      </c>
    </row>
    <row r="119" spans="1:2" hidden="1" x14ac:dyDescent="0.3">
      <c r="A119" s="34" t="s">
        <v>460</v>
      </c>
      <c r="B119">
        <f t="shared" si="4"/>
        <v>35</v>
      </c>
    </row>
    <row r="120" spans="1:2" hidden="1" x14ac:dyDescent="0.3">
      <c r="A120" s="34" t="s">
        <v>461</v>
      </c>
      <c r="B120">
        <f t="shared" si="4"/>
        <v>35</v>
      </c>
    </row>
    <row r="121" spans="1:2" hidden="1" x14ac:dyDescent="0.3">
      <c r="A121" s="34" t="s">
        <v>462</v>
      </c>
      <c r="B121">
        <f t="shared" si="4"/>
        <v>35</v>
      </c>
    </row>
    <row r="122" spans="1:2" hidden="1" x14ac:dyDescent="0.3">
      <c r="A122" s="34" t="s">
        <v>316</v>
      </c>
      <c r="B122">
        <f t="shared" si="4"/>
        <v>25</v>
      </c>
    </row>
    <row r="123" spans="1:2" hidden="1" x14ac:dyDescent="0.3">
      <c r="A123" s="34" t="s">
        <v>317</v>
      </c>
      <c r="B123">
        <f t="shared" si="4"/>
        <v>25</v>
      </c>
    </row>
    <row r="124" spans="1:2" hidden="1" x14ac:dyDescent="0.3">
      <c r="A124" s="34" t="s">
        <v>318</v>
      </c>
      <c r="B124">
        <f t="shared" si="4"/>
        <v>25</v>
      </c>
    </row>
    <row r="125" spans="1:2" hidden="1" x14ac:dyDescent="0.3">
      <c r="A125" s="34" t="s">
        <v>319</v>
      </c>
      <c r="B125">
        <f t="shared" si="4"/>
        <v>25</v>
      </c>
    </row>
    <row r="126" spans="1:2" hidden="1" x14ac:dyDescent="0.3">
      <c r="A126" s="34" t="s">
        <v>320</v>
      </c>
      <c r="B126">
        <f t="shared" si="4"/>
        <v>26</v>
      </c>
    </row>
    <row r="127" spans="1:2" hidden="1" x14ac:dyDescent="0.3">
      <c r="A127" s="34" t="s">
        <v>321</v>
      </c>
      <c r="B127">
        <f t="shared" si="4"/>
        <v>26</v>
      </c>
    </row>
    <row r="128" spans="1:2" hidden="1" x14ac:dyDescent="0.3">
      <c r="A128" s="34" t="s">
        <v>322</v>
      </c>
      <c r="B128">
        <f t="shared" si="4"/>
        <v>26</v>
      </c>
    </row>
    <row r="129" spans="1:2" hidden="1" x14ac:dyDescent="0.3">
      <c r="A129" s="34" t="s">
        <v>323</v>
      </c>
      <c r="B129">
        <f t="shared" si="4"/>
        <v>26</v>
      </c>
    </row>
    <row r="130" spans="1:2" hidden="1" x14ac:dyDescent="0.3">
      <c r="A130" s="34" t="s">
        <v>324</v>
      </c>
      <c r="B130">
        <f t="shared" si="4"/>
        <v>25</v>
      </c>
    </row>
    <row r="131" spans="1:2" hidden="1" x14ac:dyDescent="0.3">
      <c r="A131" s="34" t="s">
        <v>325</v>
      </c>
      <c r="B131">
        <f t="shared" ref="B131:B139" si="5">LEN(A131)</f>
        <v>25</v>
      </c>
    </row>
    <row r="132" spans="1:2" hidden="1" x14ac:dyDescent="0.3">
      <c r="A132" s="34" t="s">
        <v>326</v>
      </c>
      <c r="B132">
        <f t="shared" si="5"/>
        <v>25</v>
      </c>
    </row>
    <row r="133" spans="1:2" hidden="1" x14ac:dyDescent="0.3">
      <c r="A133" s="34" t="s">
        <v>327</v>
      </c>
      <c r="B133">
        <f t="shared" si="5"/>
        <v>25</v>
      </c>
    </row>
    <row r="134" spans="1:2" hidden="1" x14ac:dyDescent="0.3">
      <c r="A134" s="34" t="s">
        <v>328</v>
      </c>
      <c r="B134">
        <f t="shared" si="5"/>
        <v>26</v>
      </c>
    </row>
    <row r="135" spans="1:2" hidden="1" x14ac:dyDescent="0.3">
      <c r="A135" s="34" t="s">
        <v>329</v>
      </c>
      <c r="B135">
        <f t="shared" si="5"/>
        <v>26</v>
      </c>
    </row>
    <row r="136" spans="1:2" hidden="1" x14ac:dyDescent="0.3">
      <c r="A136" s="34" t="s">
        <v>330</v>
      </c>
      <c r="B136">
        <f t="shared" si="5"/>
        <v>26</v>
      </c>
    </row>
    <row r="137" spans="1:2" hidden="1" x14ac:dyDescent="0.3">
      <c r="A137" s="34" t="s">
        <v>331</v>
      </c>
      <c r="B137">
        <f t="shared" si="5"/>
        <v>26</v>
      </c>
    </row>
    <row r="138" spans="1:2" hidden="1" x14ac:dyDescent="0.3">
      <c r="A138" s="34" t="s">
        <v>463</v>
      </c>
      <c r="B138">
        <f t="shared" si="5"/>
        <v>42</v>
      </c>
    </row>
    <row r="139" spans="1:2" hidden="1" x14ac:dyDescent="0.3">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4.4" x14ac:dyDescent="0.3"/>
  <sheetData>
    <row r="1" spans="1:1" x14ac:dyDescent="0.3">
      <c r="A1" t="s">
        <v>465</v>
      </c>
    </row>
    <row r="2" spans="1:1" x14ac:dyDescent="0.3">
      <c r="A2" t="s">
        <v>466</v>
      </c>
    </row>
    <row r="3" spans="1:1" x14ac:dyDescent="0.3">
      <c r="A3" t="s">
        <v>467</v>
      </c>
    </row>
    <row r="6" spans="1:1" x14ac:dyDescent="0.3">
      <c r="A6" t="s">
        <v>45</v>
      </c>
    </row>
    <row r="7" spans="1:1" x14ac:dyDescent="0.3">
      <c r="A7" t="s">
        <v>131</v>
      </c>
    </row>
    <row r="8" spans="1:1" x14ac:dyDescent="0.3">
      <c r="A8" t="s">
        <v>468</v>
      </c>
    </row>
    <row r="9" spans="1:1" x14ac:dyDescent="0.3">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4.4" x14ac:dyDescent="0.3"/>
  <cols>
    <col min="1" max="1" width="52.5546875" customWidth="1"/>
    <col min="2" max="2" width="36.109375" customWidth="1"/>
  </cols>
  <sheetData>
    <row r="3" spans="1:1" x14ac:dyDescent="0.3">
      <c r="A3" t="s">
        <v>469</v>
      </c>
    </row>
    <row r="5" spans="1:1" x14ac:dyDescent="0.3">
      <c r="A5" t="s">
        <v>470</v>
      </c>
    </row>
    <row r="7" spans="1:1" x14ac:dyDescent="0.3">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4.4" x14ac:dyDescent="0.3"/>
  <cols>
    <col min="1" max="1" width="12.5546875" style="1" customWidth="1"/>
    <col min="2" max="2" width="30.88671875" bestFit="1" customWidth="1"/>
  </cols>
  <sheetData>
    <row r="1" spans="1:2" x14ac:dyDescent="0.3">
      <c r="A1" s="17" t="s">
        <v>472</v>
      </c>
      <c r="B1" s="2" t="s">
        <v>473</v>
      </c>
    </row>
    <row r="2" spans="1:2" hidden="1" x14ac:dyDescent="0.3">
      <c r="A2" s="1">
        <v>234</v>
      </c>
      <c r="B2" t="str" cm="1">
        <f t="array" ref="B2">IFERROR(SUBSTITUTE(INDEX(TechType[[#All],[TechTypeID]],$A2),":","__"),"")</f>
        <v/>
      </c>
    </row>
    <row r="3" spans="1:2" hidden="1" x14ac:dyDescent="0.3">
      <c r="A3" s="1">
        <v>235</v>
      </c>
      <c r="B3" t="str" cm="1">
        <f t="array" ref="B3">IFERROR(SUBSTITUTE(INDEX(TechType[[#All],[TechTypeID]],$A3),":","__"),"")</f>
        <v/>
      </c>
    </row>
    <row r="4" spans="1:2" hidden="1" x14ac:dyDescent="0.3">
      <c r="A4" s="1">
        <v>236</v>
      </c>
      <c r="B4" t="str" cm="1">
        <f t="array" ref="B4">IFERROR(SUBSTITUTE(INDEX(TechType[[#All],[TechTypeID]],$A4),":","__"),"")</f>
        <v/>
      </c>
    </row>
    <row r="5" spans="1:2" hidden="1" x14ac:dyDescent="0.3">
      <c r="A5" s="1">
        <v>237</v>
      </c>
      <c r="B5" t="str" cm="1">
        <f t="array" ref="B5">IFERROR(SUBSTITUTE(INDEX(TechType[[#All],[TechTypeID]],$A5),":","__"),"")</f>
        <v/>
      </c>
    </row>
    <row r="6" spans="1:2" hidden="1" x14ac:dyDescent="0.3">
      <c r="A6" s="1">
        <v>238</v>
      </c>
      <c r="B6" t="str" cm="1">
        <f t="array" ref="B6">IFERROR(SUBSTITUTE(INDEX(TechType[[#All],[TechTypeID]],$A6),":","__"),"")</f>
        <v/>
      </c>
    </row>
    <row r="7" spans="1:2" hidden="1" x14ac:dyDescent="0.3">
      <c r="A7" s="1">
        <v>239</v>
      </c>
      <c r="B7" t="str" cm="1">
        <f t="array" ref="B7">IFERROR(SUBSTITUTE(INDEX(TechType[[#All],[TechTypeID]],$A7),":","__"),"")</f>
        <v/>
      </c>
    </row>
    <row r="8" spans="1:2" hidden="1" x14ac:dyDescent="0.3">
      <c r="A8" s="1">
        <v>240</v>
      </c>
      <c r="B8" t="str" cm="1">
        <f t="array" ref="B8">IFERROR(SUBSTITUTE(INDEX(TechType[[#All],[TechTypeID]],$A8),":","__"),"")</f>
        <v/>
      </c>
    </row>
    <row r="9" spans="1:2" hidden="1" x14ac:dyDescent="0.3">
      <c r="A9" s="1">
        <v>241</v>
      </c>
      <c r="B9" t="str" cm="1">
        <f t="array" ref="B9">IFERROR(SUBSTITUTE(INDEX(TechType[[#All],[TechTypeID]],$A9),":","__"),"")</f>
        <v/>
      </c>
    </row>
    <row r="10" spans="1:2" hidden="1" x14ac:dyDescent="0.3">
      <c r="A10" s="1">
        <v>242</v>
      </c>
      <c r="B10" t="str" cm="1">
        <f t="array" ref="B10">IFERROR(SUBSTITUTE(INDEX(TechType[[#All],[TechTypeID]],$A10),":","__"),"")</f>
        <v/>
      </c>
    </row>
    <row r="11" spans="1:2" hidden="1" x14ac:dyDescent="0.3">
      <c r="A11" s="1">
        <v>243</v>
      </c>
      <c r="B11" t="str" cm="1">
        <f t="array" ref="B11">IFERROR(SUBSTITUTE(INDEX(TechType[[#All],[TechTypeID]],$A11),":","__"),"")</f>
        <v/>
      </c>
    </row>
    <row r="12" spans="1:2" hidden="1" x14ac:dyDescent="0.3">
      <c r="A12" s="1">
        <v>244</v>
      </c>
      <c r="B12" t="str" cm="1">
        <f t="array" ref="B12">IFERROR(SUBSTITUTE(INDEX(TechType[[#All],[TechTypeID]],$A12),":","__"),"")</f>
        <v/>
      </c>
    </row>
    <row r="13" spans="1:2" hidden="1" x14ac:dyDescent="0.3">
      <c r="A13" s="1">
        <v>245</v>
      </c>
      <c r="B13" t="str" cm="1">
        <f t="array" ref="B13">IFERROR(SUBSTITUTE(INDEX(TechType[[#All],[TechTypeID]],$A13),":","__"),"")</f>
        <v/>
      </c>
    </row>
    <row r="14" spans="1:2" hidden="1" x14ac:dyDescent="0.3">
      <c r="A14" s="1">
        <v>246</v>
      </c>
      <c r="B14" t="str" cm="1">
        <f t="array" ref="B14">IFERROR(SUBSTITUTE(INDEX(TechType[[#All],[TechTypeID]],$A14),":","__"),"")</f>
        <v/>
      </c>
    </row>
    <row r="15" spans="1:2" hidden="1" x14ac:dyDescent="0.3">
      <c r="A15" s="1">
        <v>247</v>
      </c>
      <c r="B15" t="str" cm="1">
        <f t="array" ref="B15">IFERROR(SUBSTITUTE(INDEX(TechType[[#All],[TechTypeID]],$A15),":","__"),"")</f>
        <v/>
      </c>
    </row>
    <row r="16" spans="1:2" hidden="1" x14ac:dyDescent="0.3">
      <c r="A16" s="1">
        <v>248</v>
      </c>
      <c r="B16" t="str" cm="1">
        <f t="array" ref="B16">IFERROR(SUBSTITUTE(INDEX(TechType[[#All],[TechTypeID]],$A16),":","__"),"")</f>
        <v/>
      </c>
    </row>
    <row r="17" spans="1:2" hidden="1" x14ac:dyDescent="0.3">
      <c r="A17" s="1">
        <v>249</v>
      </c>
      <c r="B17" t="str" cm="1">
        <f t="array" ref="B17">IFERROR(SUBSTITUTE(INDEX(TechType[[#All],[TechTypeID]],$A17),":","__"),"")</f>
        <v/>
      </c>
    </row>
    <row r="18" spans="1:2" hidden="1" x14ac:dyDescent="0.3">
      <c r="A18" s="1">
        <v>250</v>
      </c>
      <c r="B18" t="str" cm="1">
        <f t="array" ref="B18">IFERROR(SUBSTITUTE(INDEX(TechType[[#All],[TechTypeID]],$A18),":","__"),"")</f>
        <v/>
      </c>
    </row>
    <row r="19" spans="1:2" hidden="1" x14ac:dyDescent="0.3">
      <c r="A19" s="1">
        <v>251</v>
      </c>
      <c r="B19" t="str" cm="1">
        <f t="array" ref="B19">IFERROR(SUBSTITUTE(INDEX(TechType[[#All],[TechTypeID]],$A19),":","__"),"")</f>
        <v/>
      </c>
    </row>
    <row r="20" spans="1:2" hidden="1" x14ac:dyDescent="0.3">
      <c r="A20" s="1">
        <v>252</v>
      </c>
      <c r="B20" t="str" cm="1">
        <f t="array" ref="B20">IFERROR(SUBSTITUTE(INDEX(TechType[[#All],[TechTypeID]],$A20),":","__"),"")</f>
        <v/>
      </c>
    </row>
    <row r="21" spans="1:2" hidden="1" x14ac:dyDescent="0.3">
      <c r="A21" s="1">
        <v>253</v>
      </c>
      <c r="B21" t="str" cm="1">
        <f t="array" ref="B21">IFERROR(SUBSTITUTE(INDEX(TechType[[#All],[TechTypeID]],$A21),":","__"),"")</f>
        <v/>
      </c>
    </row>
    <row r="22" spans="1:2" hidden="1" x14ac:dyDescent="0.3">
      <c r="A22" s="1">
        <v>254</v>
      </c>
      <c r="B22" t="str" cm="1">
        <f t="array" ref="B22">IFERROR(SUBSTITUTE(INDEX(TechType[[#All],[TechTypeID]],$A22),":","__"),"")</f>
        <v/>
      </c>
    </row>
    <row r="23" spans="1:2" hidden="1" x14ac:dyDescent="0.3">
      <c r="A23" s="1">
        <v>255</v>
      </c>
      <c r="B23" t="str" cm="1">
        <f t="array" ref="B23">IFERROR(SUBSTITUTE(INDEX(TechType[[#All],[TechTypeID]],$A23),":","__"),"")</f>
        <v/>
      </c>
    </row>
    <row r="24" spans="1:2" hidden="1" x14ac:dyDescent="0.3">
      <c r="A24" s="1">
        <v>256</v>
      </c>
      <c r="B24" t="str" cm="1">
        <f t="array" ref="B24">IFERROR(SUBSTITUTE(INDEX(TechType[[#All],[TechTypeID]],$A24),":","__"),"")</f>
        <v/>
      </c>
    </row>
    <row r="25" spans="1:2" hidden="1" x14ac:dyDescent="0.3">
      <c r="A25" s="1">
        <v>257</v>
      </c>
      <c r="B25" t="str" cm="1">
        <f t="array" ref="B25">IFERROR(SUBSTITUTE(INDEX(TechType[[#All],[TechTypeID]],$A25),":","__"),"")</f>
        <v/>
      </c>
    </row>
    <row r="26" spans="1:2" hidden="1" x14ac:dyDescent="0.3">
      <c r="A26" s="1">
        <v>258</v>
      </c>
      <c r="B26" t="str" cm="1">
        <f t="array" ref="B26">IFERROR(SUBSTITUTE(INDEX(TechType[[#All],[TechTypeID]],$A26),":","__"),"")</f>
        <v/>
      </c>
    </row>
    <row r="27" spans="1:2" hidden="1" x14ac:dyDescent="0.3">
      <c r="A27" s="1">
        <v>259</v>
      </c>
      <c r="B27" t="str" cm="1">
        <f t="array" ref="B27">IFERROR(SUBSTITUTE(INDEX(TechType[[#All],[TechTypeID]],$A27),":","__"),"")</f>
        <v/>
      </c>
    </row>
    <row r="28" spans="1:2" hidden="1" x14ac:dyDescent="0.3">
      <c r="A28" s="1">
        <v>260</v>
      </c>
      <c r="B28" t="str" cm="1">
        <f t="array" ref="B28">IFERROR(SUBSTITUTE(INDEX(TechType[[#All],[TechTypeID]],$A28),":","__"),"")</f>
        <v/>
      </c>
    </row>
    <row r="29" spans="1:2" hidden="1" x14ac:dyDescent="0.3">
      <c r="A29" s="1">
        <v>261</v>
      </c>
      <c r="B29" t="str" cm="1">
        <f t="array" ref="B29">IFERROR(SUBSTITUTE(INDEX(TechType[[#All],[TechTypeID]],$A29),":","__"),"")</f>
        <v/>
      </c>
    </row>
    <row r="30" spans="1:2" hidden="1" x14ac:dyDescent="0.3">
      <c r="A30" s="1">
        <v>262</v>
      </c>
      <c r="B30" t="str" cm="1">
        <f t="array" ref="B30">IFERROR(SUBSTITUTE(INDEX(TechType[[#All],[TechTypeID]],$A30),":","__"),"")</f>
        <v/>
      </c>
    </row>
    <row r="31" spans="1:2" hidden="1" x14ac:dyDescent="0.3">
      <c r="A31" s="1">
        <v>263</v>
      </c>
      <c r="B31" t="str" cm="1">
        <f t="array" ref="B31">IFERROR(SUBSTITUTE(INDEX(TechType[[#All],[TechTypeID]],$A31),":","__"),"")</f>
        <v/>
      </c>
    </row>
    <row r="32" spans="1:2" hidden="1" x14ac:dyDescent="0.3">
      <c r="A32" s="1">
        <v>264</v>
      </c>
      <c r="B32" t="str" cm="1">
        <f t="array" ref="B32">IFERROR(SUBSTITUTE(INDEX(TechType[[#All],[TechTypeID]],$A32),":","__"),"")</f>
        <v/>
      </c>
    </row>
    <row r="33" spans="1:2" hidden="1" x14ac:dyDescent="0.3">
      <c r="A33" s="1">
        <v>265</v>
      </c>
      <c r="B33" t="str" cm="1">
        <f t="array" ref="B33">IFERROR(SUBSTITUTE(INDEX(TechType[[#All],[TechTypeID]],$A33),":","__"),"")</f>
        <v/>
      </c>
    </row>
    <row r="34" spans="1:2" hidden="1" x14ac:dyDescent="0.3">
      <c r="A34" s="1">
        <v>266</v>
      </c>
      <c r="B34" t="str" cm="1">
        <f t="array" ref="B34">IFERROR(SUBSTITUTE(INDEX(TechType[[#All],[TechTypeID]],$A34),":","__"),"")</f>
        <v/>
      </c>
    </row>
    <row r="35" spans="1:2" hidden="1" x14ac:dyDescent="0.3">
      <c r="A35" s="1">
        <v>267</v>
      </c>
      <c r="B35" t="str" cm="1">
        <f t="array" ref="B35">IFERROR(SUBSTITUTE(INDEX(TechType[[#All],[TechTypeID]],$A35),":","__"),"")</f>
        <v/>
      </c>
    </row>
    <row r="36" spans="1:2" hidden="1" x14ac:dyDescent="0.3">
      <c r="A36" s="1">
        <v>268</v>
      </c>
      <c r="B36" t="str" cm="1">
        <f t="array" ref="B36">IFERROR(SUBSTITUTE(INDEX(TechType[[#All],[TechTypeID]],$A36),":","__"),"")</f>
        <v/>
      </c>
    </row>
    <row r="37" spans="1:2" hidden="1" x14ac:dyDescent="0.3">
      <c r="A37" s="1">
        <v>269</v>
      </c>
      <c r="B37" t="str" cm="1">
        <f t="array" ref="B37">IFERROR(SUBSTITUTE(INDEX(TechType[[#All],[TechTypeID]],$A37),":","__"),"")</f>
        <v/>
      </c>
    </row>
    <row r="38" spans="1:2" hidden="1" x14ac:dyDescent="0.3">
      <c r="A38" s="1">
        <v>270</v>
      </c>
      <c r="B38" t="str" cm="1">
        <f t="array" ref="B38">IFERROR(SUBSTITUTE(INDEX(TechType[[#All],[TechTypeID]],$A38),":","__"),"")</f>
        <v/>
      </c>
    </row>
    <row r="39" spans="1:2" hidden="1" x14ac:dyDescent="0.3">
      <c r="A39" s="1">
        <v>271</v>
      </c>
      <c r="B39" t="str" cm="1">
        <f t="array" ref="B39">IFERROR(SUBSTITUTE(INDEX(TechType[[#All],[TechTypeID]],$A39),":","__"),"")</f>
        <v/>
      </c>
    </row>
    <row r="40" spans="1:2" hidden="1" x14ac:dyDescent="0.3">
      <c r="A40" s="1">
        <v>272</v>
      </c>
      <c r="B40" t="str" cm="1">
        <f t="array" ref="B40">IFERROR(SUBSTITUTE(INDEX(TechType[[#All],[TechTypeID]],$A40),":","__"),"")</f>
        <v/>
      </c>
    </row>
    <row r="41" spans="1:2" hidden="1" x14ac:dyDescent="0.3">
      <c r="A41" s="1">
        <v>273</v>
      </c>
      <c r="B41" t="str" cm="1">
        <f t="array" ref="B41">IFERROR(SUBSTITUTE(INDEX(TechType[[#All],[TechTypeID]],$A41),":","__"),"")</f>
        <v/>
      </c>
    </row>
    <row r="42" spans="1:2" hidden="1" x14ac:dyDescent="0.3">
      <c r="A42" s="1">
        <v>274</v>
      </c>
      <c r="B42" t="str" cm="1">
        <f t="array" ref="B42">IFERROR(SUBSTITUTE(INDEX(TechType[[#All],[TechTypeID]],$A42),":","__"),"")</f>
        <v/>
      </c>
    </row>
    <row r="43" spans="1:2" hidden="1" x14ac:dyDescent="0.3">
      <c r="A43" s="1">
        <v>275</v>
      </c>
      <c r="B43" t="str" cm="1">
        <f t="array" ref="B43">IFERROR(SUBSTITUTE(INDEX(TechType[[#All],[TechTypeID]],$A43),":","__"),"")</f>
        <v/>
      </c>
    </row>
    <row r="44" spans="1:2" hidden="1" x14ac:dyDescent="0.3">
      <c r="A44" s="1">
        <v>276</v>
      </c>
      <c r="B44" t="str" cm="1">
        <f t="array" ref="B44">IFERROR(SUBSTITUTE(INDEX(TechType[[#All],[TechTypeID]],$A44),":","__"),"")</f>
        <v/>
      </c>
    </row>
    <row r="45" spans="1:2" hidden="1" x14ac:dyDescent="0.3">
      <c r="A45" s="1">
        <v>277</v>
      </c>
      <c r="B45" t="str" cm="1">
        <f t="array" ref="B45">IFERROR(SUBSTITUTE(INDEX(TechType[[#All],[TechTypeID]],$A45),":","__"),"")</f>
        <v/>
      </c>
    </row>
    <row r="46" spans="1:2" hidden="1" x14ac:dyDescent="0.3">
      <c r="A46" s="1">
        <v>278</v>
      </c>
      <c r="B46" t="str" cm="1">
        <f t="array" ref="B46">IFERROR(SUBSTITUTE(INDEX(TechType[[#All],[TechTypeID]],$A46),":","__"),"")</f>
        <v/>
      </c>
    </row>
    <row r="47" spans="1:2" hidden="1" x14ac:dyDescent="0.3">
      <c r="A47" s="1">
        <v>279</v>
      </c>
      <c r="B47" t="str" cm="1">
        <f t="array" ref="B47">IFERROR(SUBSTITUTE(INDEX(TechType[[#All],[TechTypeID]],$A47),":","__"),"")</f>
        <v/>
      </c>
    </row>
    <row r="48" spans="1:2" hidden="1" x14ac:dyDescent="0.3">
      <c r="A48" s="1">
        <v>280</v>
      </c>
      <c r="B48" t="str" cm="1">
        <f t="array" ref="B48">IFERROR(SUBSTITUTE(INDEX(TechType[[#All],[TechTypeID]],$A48),":","__"),"")</f>
        <v/>
      </c>
    </row>
    <row r="49" spans="1:2" hidden="1" x14ac:dyDescent="0.3">
      <c r="A49" s="1">
        <v>281</v>
      </c>
      <c r="B49" t="str" cm="1">
        <f t="array" ref="B49">IFERROR(SUBSTITUTE(INDEX(TechType[[#All],[TechTypeID]],$A49),":","__"),"")</f>
        <v/>
      </c>
    </row>
    <row r="50" spans="1:2" hidden="1" x14ac:dyDescent="0.3">
      <c r="A50" s="1">
        <v>282</v>
      </c>
      <c r="B50" t="str" cm="1">
        <f t="array" ref="B50">IFERROR(SUBSTITUTE(INDEX(TechType[[#All],[TechTypeID]],$A50),":","__"),"")</f>
        <v/>
      </c>
    </row>
    <row r="51" spans="1:2" hidden="1" x14ac:dyDescent="0.3">
      <c r="A51" s="1">
        <v>283</v>
      </c>
      <c r="B51" t="str" cm="1">
        <f t="array" ref="B51">IFERROR(SUBSTITUTE(INDEX(TechType[[#All],[TechTypeID]],$A51),":","__"),"")</f>
        <v/>
      </c>
    </row>
    <row r="52" spans="1:2" hidden="1" x14ac:dyDescent="0.3">
      <c r="A52" s="1">
        <v>284</v>
      </c>
      <c r="B52" t="str" cm="1">
        <f t="array" ref="B52">IFERROR(SUBSTITUTE(INDEX(TechType[[#All],[TechTypeID]],$A52),":","__"),"")</f>
        <v/>
      </c>
    </row>
    <row r="53" spans="1:2" hidden="1" x14ac:dyDescent="0.3">
      <c r="A53" s="1">
        <v>285</v>
      </c>
      <c r="B53" t="str" cm="1">
        <f t="array" ref="B53">IFERROR(SUBSTITUTE(INDEX(TechType[[#All],[TechTypeID]],$A53),":","__"),"")</f>
        <v/>
      </c>
    </row>
    <row r="54" spans="1:2" hidden="1" x14ac:dyDescent="0.3">
      <c r="A54" s="1">
        <v>286</v>
      </c>
      <c r="B54" t="str" cm="1">
        <f t="array" ref="B54">IFERROR(SUBSTITUTE(INDEX(TechType[[#All],[TechTypeID]],$A54),":","__"),"")</f>
        <v/>
      </c>
    </row>
    <row r="55" spans="1:2" hidden="1" x14ac:dyDescent="0.3">
      <c r="A55" s="1">
        <v>287</v>
      </c>
      <c r="B55" t="str" cm="1">
        <f t="array" ref="B55">IFERROR(SUBSTITUTE(INDEX(TechType[[#All],[TechTypeID]],$A55),":","__"),"")</f>
        <v/>
      </c>
    </row>
    <row r="56" spans="1:2" hidden="1" x14ac:dyDescent="0.3">
      <c r="A56" s="1">
        <v>288</v>
      </c>
      <c r="B56" t="str" cm="1">
        <f t="array" ref="B56">IFERROR(SUBSTITUTE(INDEX(TechType[[#All],[TechTypeID]],$A56),":","__"),"")</f>
        <v/>
      </c>
    </row>
    <row r="57" spans="1:2" hidden="1" x14ac:dyDescent="0.3">
      <c r="A57" s="1">
        <v>289</v>
      </c>
      <c r="B57" t="str" cm="1">
        <f t="array" ref="B57">IFERROR(SUBSTITUTE(INDEX(TechType[[#All],[TechTypeID]],$A57),":","__"),"")</f>
        <v/>
      </c>
    </row>
    <row r="58" spans="1:2" hidden="1" x14ac:dyDescent="0.3">
      <c r="A58" s="1">
        <v>290</v>
      </c>
      <c r="B58" t="str" cm="1">
        <f t="array" ref="B58">IFERROR(SUBSTITUTE(INDEX(TechType[[#All],[TechTypeID]],$A58),":","__"),"")</f>
        <v/>
      </c>
    </row>
    <row r="59" spans="1:2" hidden="1" x14ac:dyDescent="0.3">
      <c r="A59" s="1">
        <v>291</v>
      </c>
      <c r="B59" t="str" cm="1">
        <f t="array" ref="B59">IFERROR(SUBSTITUTE(INDEX(TechType[[#All],[TechTypeID]],$A59),":","__"),"")</f>
        <v/>
      </c>
    </row>
    <row r="60" spans="1:2" hidden="1" x14ac:dyDescent="0.3">
      <c r="A60" s="1">
        <v>292</v>
      </c>
      <c r="B60" t="str" cm="1">
        <f t="array" ref="B60">IFERROR(SUBSTITUTE(INDEX(TechType[[#All],[TechTypeID]],$A60),":","__"),"")</f>
        <v/>
      </c>
    </row>
    <row r="61" spans="1:2" hidden="1" x14ac:dyDescent="0.3">
      <c r="A61" s="1">
        <v>293</v>
      </c>
      <c r="B61" t="str" cm="1">
        <f t="array" ref="B61">IFERROR(SUBSTITUTE(INDEX(TechType[[#All],[TechTypeID]],$A61),":","__"),"")</f>
        <v/>
      </c>
    </row>
    <row r="62" spans="1:2" hidden="1" x14ac:dyDescent="0.3">
      <c r="A62" s="1">
        <v>294</v>
      </c>
      <c r="B62" t="str" cm="1">
        <f t="array" ref="B62">IFERROR(SUBSTITUTE(INDEX(TechType[[#All],[TechTypeID]],$A62),":","__"),"")</f>
        <v/>
      </c>
    </row>
    <row r="63" spans="1:2" hidden="1" x14ac:dyDescent="0.3">
      <c r="A63" s="1">
        <v>295</v>
      </c>
      <c r="B63" t="str" cm="1">
        <f t="array" ref="B63">IFERROR(SUBSTITUTE(INDEX(TechType[[#All],[TechTypeID]],$A63),":","__"),"")</f>
        <v/>
      </c>
    </row>
    <row r="64" spans="1:2" hidden="1" x14ac:dyDescent="0.3">
      <c r="A64" s="1">
        <v>296</v>
      </c>
      <c r="B64" t="str" cm="1">
        <f t="array" ref="B64">IFERROR(SUBSTITUTE(INDEX(TechType[[#All],[TechTypeID]],$A64),":","__"),"")</f>
        <v/>
      </c>
    </row>
    <row r="65" spans="1:2" hidden="1" x14ac:dyDescent="0.3">
      <c r="A65" s="1">
        <v>297</v>
      </c>
      <c r="B65" t="str" cm="1">
        <f t="array" ref="B65">IFERROR(SUBSTITUTE(INDEX(TechType[[#All],[TechTypeID]],$A65),":","__"),"")</f>
        <v/>
      </c>
    </row>
    <row r="66" spans="1:2" hidden="1" x14ac:dyDescent="0.3">
      <c r="A66" s="1">
        <v>298</v>
      </c>
      <c r="B66" t="str" cm="1">
        <f t="array" ref="B66">IFERROR(SUBSTITUTE(INDEX(TechType[[#All],[TechTypeID]],$A66),":","__"),"")</f>
        <v/>
      </c>
    </row>
    <row r="67" spans="1:2" hidden="1" x14ac:dyDescent="0.3">
      <c r="A67" s="1">
        <v>299</v>
      </c>
      <c r="B67" t="str" cm="1">
        <f t="array" ref="B67">IFERROR(SUBSTITUTE(INDEX(TechType[[#All],[TechTypeID]],$A67),":","__"),"")</f>
        <v/>
      </c>
    </row>
    <row r="68" spans="1:2" hidden="1" x14ac:dyDescent="0.3">
      <c r="A68" s="1">
        <v>300</v>
      </c>
      <c r="B68" t="str" cm="1">
        <f t="array" ref="B68">IFERROR(SUBSTITUTE(INDEX(TechType[[#All],[TechTypeID]],$A68),":","__"),"")</f>
        <v/>
      </c>
    </row>
    <row r="69" spans="1:2" hidden="1" x14ac:dyDescent="0.3">
      <c r="A69" s="1">
        <v>301</v>
      </c>
      <c r="B69" t="str" cm="1">
        <f t="array" ref="B69">IFERROR(SUBSTITUTE(INDEX(TechType[[#All],[TechTypeID]],$A69),":","__"),"")</f>
        <v/>
      </c>
    </row>
    <row r="70" spans="1:2" hidden="1" x14ac:dyDescent="0.3">
      <c r="A70" s="1">
        <v>302</v>
      </c>
      <c r="B70" t="str" cm="1">
        <f t="array" ref="B70">IFERROR(SUBSTITUTE(INDEX(TechType[[#All],[TechTypeID]],$A70),":","__"),"")</f>
        <v/>
      </c>
    </row>
    <row r="71" spans="1:2" hidden="1" x14ac:dyDescent="0.3">
      <c r="A71" s="1">
        <v>303</v>
      </c>
      <c r="B71" t="str" cm="1">
        <f t="array" ref="B71">IFERROR(SUBSTITUTE(INDEX(TechType[[#All],[TechTypeID]],$A71),":","__"),"")</f>
        <v/>
      </c>
    </row>
    <row r="72" spans="1:2" hidden="1" x14ac:dyDescent="0.3">
      <c r="A72" s="1">
        <v>304</v>
      </c>
      <c r="B72" t="str" cm="1">
        <f t="array" ref="B72">IFERROR(SUBSTITUTE(INDEX(TechType[[#All],[TechTypeID]],$A72),":","__"),"")</f>
        <v/>
      </c>
    </row>
    <row r="73" spans="1:2" hidden="1" x14ac:dyDescent="0.3">
      <c r="A73" s="1">
        <v>305</v>
      </c>
      <c r="B73" t="str" cm="1">
        <f t="array" ref="B73">IFERROR(SUBSTITUTE(INDEX(TechType[[#All],[TechTypeID]],$A73),":","__"),"")</f>
        <v/>
      </c>
    </row>
    <row r="74" spans="1:2" hidden="1" x14ac:dyDescent="0.3">
      <c r="A74" s="1">
        <v>306</v>
      </c>
      <c r="B74" t="str" cm="1">
        <f t="array" ref="B74">IFERROR(SUBSTITUTE(INDEX(TechType[[#All],[TechTypeID]],$A74),":","__"),"")</f>
        <v/>
      </c>
    </row>
    <row r="75" spans="1:2" hidden="1" x14ac:dyDescent="0.3">
      <c r="A75" s="1">
        <v>307</v>
      </c>
      <c r="B75" t="str" cm="1">
        <f t="array" ref="B75">IFERROR(SUBSTITUTE(INDEX(TechType[[#All],[TechTypeID]],$A75),":","__"),"")</f>
        <v/>
      </c>
    </row>
    <row r="76" spans="1:2" hidden="1" x14ac:dyDescent="0.3">
      <c r="A76" s="1">
        <v>308</v>
      </c>
      <c r="B76" t="str" cm="1">
        <f t="array" ref="B76">IFERROR(SUBSTITUTE(INDEX(TechType[[#All],[TechTypeID]],$A76),":","__"),"")</f>
        <v/>
      </c>
    </row>
    <row r="77" spans="1:2" hidden="1" x14ac:dyDescent="0.3">
      <c r="A77" s="1">
        <v>309</v>
      </c>
      <c r="B77" t="str" cm="1">
        <f t="array" ref="B77">IFERROR(SUBSTITUTE(INDEX(TechType[[#All],[TechTypeID]],$A77),":","__"),"")</f>
        <v/>
      </c>
    </row>
    <row r="78" spans="1:2" hidden="1" x14ac:dyDescent="0.3">
      <c r="A78" s="1">
        <v>310</v>
      </c>
      <c r="B78" t="str" cm="1">
        <f t="array" ref="B78">IFERROR(SUBSTITUTE(INDEX(TechType[[#All],[TechTypeID]],$A78),":","__"),"")</f>
        <v/>
      </c>
    </row>
    <row r="79" spans="1:2" hidden="1" x14ac:dyDescent="0.3">
      <c r="A79" s="1">
        <v>311</v>
      </c>
      <c r="B79" t="str" cm="1">
        <f t="array" ref="B79">IFERROR(SUBSTITUTE(INDEX(TechType[[#All],[TechTypeID]],$A79),":","__"),"")</f>
        <v/>
      </c>
    </row>
    <row r="80" spans="1:2" hidden="1" x14ac:dyDescent="0.3">
      <c r="A80" s="1">
        <v>312</v>
      </c>
      <c r="B80" t="str" cm="1">
        <f t="array" ref="B80">IFERROR(SUBSTITUTE(INDEX(TechType[[#All],[TechTypeID]],$A80),":","__"),"")</f>
        <v/>
      </c>
    </row>
    <row r="81" spans="1:2" hidden="1" x14ac:dyDescent="0.3">
      <c r="A81" s="1">
        <v>313</v>
      </c>
      <c r="B81" t="str" cm="1">
        <f t="array" ref="B81">IFERROR(SUBSTITUTE(INDEX(TechType[[#All],[TechTypeID]],$A81),":","__"),"")</f>
        <v/>
      </c>
    </row>
    <row r="82" spans="1:2" hidden="1" x14ac:dyDescent="0.3">
      <c r="A82" s="1">
        <v>314</v>
      </c>
      <c r="B82" t="str" cm="1">
        <f t="array" ref="B82">IFERROR(SUBSTITUTE(INDEX(TechType[[#All],[TechTypeID]],$A82),":","__"),"")</f>
        <v/>
      </c>
    </row>
    <row r="83" spans="1:2" hidden="1" x14ac:dyDescent="0.3">
      <c r="A83" s="1">
        <v>315</v>
      </c>
      <c r="B83" t="str" cm="1">
        <f t="array" ref="B83">IFERROR(SUBSTITUTE(INDEX(TechType[[#All],[TechTypeID]],$A83),":","__"),"")</f>
        <v/>
      </c>
    </row>
    <row r="84" spans="1:2" hidden="1" x14ac:dyDescent="0.3">
      <c r="A84" s="1">
        <v>316</v>
      </c>
      <c r="B84" t="str" cm="1">
        <f t="array" ref="B84">IFERROR(SUBSTITUTE(INDEX(TechType[[#All],[TechTypeID]],$A84),":","__"),"")</f>
        <v/>
      </c>
    </row>
    <row r="85" spans="1:2" hidden="1" x14ac:dyDescent="0.3">
      <c r="A85" s="1">
        <v>317</v>
      </c>
      <c r="B85" t="str" cm="1">
        <f t="array" ref="B85">IFERROR(SUBSTITUTE(INDEX(TechType[[#All],[TechTypeID]],$A85),":","__"),"")</f>
        <v/>
      </c>
    </row>
    <row r="86" spans="1:2" hidden="1" x14ac:dyDescent="0.3">
      <c r="A86" s="1">
        <v>318</v>
      </c>
      <c r="B86" t="str" cm="1">
        <f t="array" ref="B86">IFERROR(SUBSTITUTE(INDEX(TechType[[#All],[TechTypeID]],$A86),":","__"),"")</f>
        <v/>
      </c>
    </row>
    <row r="87" spans="1:2" hidden="1" x14ac:dyDescent="0.3">
      <c r="A87" s="1">
        <v>319</v>
      </c>
      <c r="B87" t="str" cm="1">
        <f t="array" ref="B87">IFERROR(SUBSTITUTE(INDEX(TechType[[#All],[TechTypeID]],$A87),":","__"),"")</f>
        <v/>
      </c>
    </row>
    <row r="88" spans="1:2" hidden="1" x14ac:dyDescent="0.3">
      <c r="A88" s="1">
        <v>320</v>
      </c>
      <c r="B88" t="str" cm="1">
        <f t="array" ref="B88">IFERROR(SUBSTITUTE(INDEX(TechType[[#All],[TechTypeID]],$A88),":","__"),"")</f>
        <v/>
      </c>
    </row>
    <row r="89" spans="1:2" hidden="1" x14ac:dyDescent="0.3">
      <c r="A89" s="1">
        <v>321</v>
      </c>
      <c r="B89" t="str" cm="1">
        <f t="array" ref="B89">IFERROR(SUBSTITUTE(INDEX(TechType[[#All],[TechTypeID]],$A89),":","__"),"")</f>
        <v/>
      </c>
    </row>
    <row r="90" spans="1:2" hidden="1" x14ac:dyDescent="0.3">
      <c r="A90" s="1">
        <v>322</v>
      </c>
      <c r="B90" t="str" cm="1">
        <f t="array" ref="B90">IFERROR(SUBSTITUTE(INDEX(TechType[[#All],[TechTypeID]],$A90),":","__"),"")</f>
        <v/>
      </c>
    </row>
    <row r="91" spans="1:2" hidden="1" x14ac:dyDescent="0.3">
      <c r="A91" s="1">
        <v>323</v>
      </c>
      <c r="B91" t="str" cm="1">
        <f t="array" ref="B91">IFERROR(SUBSTITUTE(INDEX(TechType[[#All],[TechTypeID]],$A91),":","__"),"")</f>
        <v/>
      </c>
    </row>
    <row r="92" spans="1:2" hidden="1" x14ac:dyDescent="0.3">
      <c r="A92" s="1">
        <v>324</v>
      </c>
      <c r="B92" t="str" cm="1">
        <f t="array" ref="B92">IFERROR(SUBSTITUTE(INDEX(TechType[[#All],[TechTypeID]],$A92),":","__"),"")</f>
        <v/>
      </c>
    </row>
    <row r="93" spans="1:2" hidden="1" x14ac:dyDescent="0.3">
      <c r="A93" s="1">
        <v>325</v>
      </c>
      <c r="B93" t="str" cm="1">
        <f t="array" ref="B93">IFERROR(SUBSTITUTE(INDEX(TechType[[#All],[TechTypeID]],$A93),":","__"),"")</f>
        <v/>
      </c>
    </row>
    <row r="94" spans="1:2" hidden="1" x14ac:dyDescent="0.3">
      <c r="A94" s="1">
        <v>326</v>
      </c>
      <c r="B94" t="str" cm="1">
        <f t="array" ref="B94">IFERROR(SUBSTITUTE(INDEX(TechType[[#All],[TechTypeID]],$A94),":","__"),"")</f>
        <v/>
      </c>
    </row>
    <row r="95" spans="1:2" hidden="1" x14ac:dyDescent="0.3">
      <c r="A95" s="1">
        <v>327</v>
      </c>
      <c r="B95" t="str" cm="1">
        <f t="array" ref="B95">IFERROR(SUBSTITUTE(INDEX(TechType[[#All],[TechTypeID]],$A95),":","__"),"")</f>
        <v/>
      </c>
    </row>
    <row r="96" spans="1:2" hidden="1" x14ac:dyDescent="0.3">
      <c r="A96" s="1">
        <v>328</v>
      </c>
      <c r="B96" t="str" cm="1">
        <f t="array" ref="B96">IFERROR(SUBSTITUTE(INDEX(TechType[[#All],[TechTypeID]],$A96),":","__"),"")</f>
        <v/>
      </c>
    </row>
    <row r="97" spans="1:2" hidden="1" x14ac:dyDescent="0.3">
      <c r="A97" s="1">
        <v>329</v>
      </c>
      <c r="B97" t="str" cm="1">
        <f t="array" ref="B97">IFERROR(SUBSTITUTE(INDEX(TechType[[#All],[TechTypeID]],$A97),":","__"),"")</f>
        <v/>
      </c>
    </row>
    <row r="98" spans="1:2" hidden="1" x14ac:dyDescent="0.3">
      <c r="A98" s="1">
        <v>330</v>
      </c>
      <c r="B98" t="str" cm="1">
        <f t="array" ref="B98">IFERROR(SUBSTITUTE(INDEX(TechType[[#All],[TechTypeID]],$A98),":","__"),"")</f>
        <v/>
      </c>
    </row>
    <row r="99" spans="1:2" hidden="1" x14ac:dyDescent="0.3">
      <c r="A99" s="1">
        <v>331</v>
      </c>
      <c r="B99" t="str" cm="1">
        <f t="array" ref="B99">IFERROR(SUBSTITUTE(INDEX(TechType[[#All],[TechTypeID]],$A99),":","__"),"")</f>
        <v/>
      </c>
    </row>
    <row r="100" spans="1:2" hidden="1" x14ac:dyDescent="0.3">
      <c r="A100" s="1">
        <v>332</v>
      </c>
      <c r="B100" t="str" cm="1">
        <f t="array" ref="B100">IFERROR(SUBSTITUTE(INDEX(TechType[[#All],[TechTypeID]],$A100),":","__"),"")</f>
        <v/>
      </c>
    </row>
    <row r="101" spans="1:2" hidden="1" x14ac:dyDescent="0.3">
      <c r="A101" s="1">
        <v>333</v>
      </c>
      <c r="B101" t="str" cm="1">
        <f t="array" ref="B101">IFERROR(SUBSTITUTE(INDEX(TechType[[#All],[TechTypeID]],$A101),":","__"),"")</f>
        <v/>
      </c>
    </row>
    <row r="102" spans="1:2" hidden="1" x14ac:dyDescent="0.3">
      <c r="A102" s="1">
        <v>334</v>
      </c>
      <c r="B102" t="str" cm="1">
        <f t="array" ref="B102">IFERROR(SUBSTITUTE(INDEX(TechType[[#All],[TechTypeID]],$A102),":","__"),"")</f>
        <v/>
      </c>
    </row>
    <row r="103" spans="1:2" hidden="1" x14ac:dyDescent="0.3">
      <c r="A103" s="1">
        <v>335</v>
      </c>
      <c r="B103" t="str" cm="1">
        <f t="array" ref="B103">IFERROR(SUBSTITUTE(INDEX(TechType[[#All],[TechTypeID]],$A103),":","__"),"")</f>
        <v/>
      </c>
    </row>
    <row r="104" spans="1:2" hidden="1" x14ac:dyDescent="0.3">
      <c r="A104" s="1">
        <v>336</v>
      </c>
      <c r="B104" t="str" cm="1">
        <f t="array" ref="B104">IFERROR(SUBSTITUTE(INDEX(TechType[[#All],[TechTypeID]],$A104),":","__"),"")</f>
        <v/>
      </c>
    </row>
    <row r="105" spans="1:2" hidden="1" x14ac:dyDescent="0.3">
      <c r="A105" s="1">
        <v>337</v>
      </c>
      <c r="B105" t="str" cm="1">
        <f t="array" ref="B105">IFERROR(SUBSTITUTE(INDEX(TechType[[#All],[TechTypeID]],$A105),":","__"),"")</f>
        <v/>
      </c>
    </row>
    <row r="106" spans="1:2" hidden="1" x14ac:dyDescent="0.3">
      <c r="A106" s="1">
        <v>338</v>
      </c>
      <c r="B106" t="str" cm="1">
        <f t="array" ref="B106">IFERROR(SUBSTITUTE(INDEX(TechType[[#All],[TechTypeID]],$A106),":","__"),"")</f>
        <v/>
      </c>
    </row>
    <row r="107" spans="1:2" hidden="1" x14ac:dyDescent="0.3">
      <c r="A107" s="1">
        <v>339</v>
      </c>
      <c r="B107" t="str" cm="1">
        <f t="array" ref="B107">IFERROR(SUBSTITUTE(INDEX(TechType[[#All],[TechTypeID]],$A107),":","__"),"")</f>
        <v/>
      </c>
    </row>
    <row r="108" spans="1:2" hidden="1" x14ac:dyDescent="0.3">
      <c r="A108" s="1">
        <v>340</v>
      </c>
      <c r="B108" t="str" cm="1">
        <f t="array" ref="B108">IFERROR(SUBSTITUTE(INDEX(TechType[[#All],[TechTypeID]],$A108),":","__"),"")</f>
        <v/>
      </c>
    </row>
    <row r="109" spans="1:2" hidden="1" x14ac:dyDescent="0.3">
      <c r="A109" s="1">
        <v>341</v>
      </c>
      <c r="B109" t="str" cm="1">
        <f t="array" ref="B109">IFERROR(SUBSTITUTE(INDEX(TechType[[#All],[TechTypeID]],$A109),":","__"),"")</f>
        <v/>
      </c>
    </row>
    <row r="110" spans="1:2" hidden="1" x14ac:dyDescent="0.3">
      <c r="A110" s="1">
        <v>342</v>
      </c>
      <c r="B110" t="str" cm="1">
        <f t="array" ref="B110">IFERROR(SUBSTITUTE(INDEX(TechType[[#All],[TechTypeID]],$A110),":","__"),"")</f>
        <v/>
      </c>
    </row>
    <row r="111" spans="1:2" hidden="1" x14ac:dyDescent="0.3">
      <c r="A111" s="1">
        <v>343</v>
      </c>
      <c r="B111" t="str" cm="1">
        <f t="array" ref="B111">IFERROR(SUBSTITUTE(INDEX(TechType[[#All],[TechTypeID]],$A111),":","__"),"")</f>
        <v/>
      </c>
    </row>
    <row r="112" spans="1:2" hidden="1" x14ac:dyDescent="0.3">
      <c r="A112" s="1">
        <v>344</v>
      </c>
      <c r="B112" t="str" cm="1">
        <f t="array" ref="B112">IFERROR(SUBSTITUTE(INDEX(TechType[[#All],[TechTypeID]],$A112),":","__"),"")</f>
        <v/>
      </c>
    </row>
    <row r="113" spans="1:2" hidden="1" x14ac:dyDescent="0.3">
      <c r="A113" s="1">
        <v>345</v>
      </c>
      <c r="B113" t="str" cm="1">
        <f t="array" ref="B113">IFERROR(SUBSTITUTE(INDEX(TechType[[#All],[TechTypeID]],$A113),":","__"),"")</f>
        <v/>
      </c>
    </row>
    <row r="114" spans="1:2" hidden="1" x14ac:dyDescent="0.3">
      <c r="A114" s="1">
        <v>346</v>
      </c>
      <c r="B114" t="str" cm="1">
        <f t="array" ref="B114">IFERROR(SUBSTITUTE(INDEX(TechType[[#All],[TechTypeID]],$A114),":","__"),"")</f>
        <v/>
      </c>
    </row>
    <row r="115" spans="1:2" hidden="1" x14ac:dyDescent="0.3">
      <c r="A115" s="1">
        <v>347</v>
      </c>
      <c r="B115" t="str" cm="1">
        <f t="array" ref="B115">IFERROR(SUBSTITUTE(INDEX(TechType[[#All],[TechTypeID]],$A115),":","__"),"")</f>
        <v/>
      </c>
    </row>
    <row r="116" spans="1:2" hidden="1" x14ac:dyDescent="0.3">
      <c r="A116" s="1">
        <v>348</v>
      </c>
      <c r="B116" t="str" cm="1">
        <f t="array" ref="B116">IFERROR(SUBSTITUTE(INDEX(TechType[[#All],[TechTypeID]],$A116),":","__"),"")</f>
        <v/>
      </c>
    </row>
    <row r="117" spans="1:2" hidden="1" x14ac:dyDescent="0.3">
      <c r="A117" s="1">
        <v>349</v>
      </c>
      <c r="B117" t="str" cm="1">
        <f t="array" ref="B117">IFERROR(SUBSTITUTE(INDEX(TechType[[#All],[TechTypeID]],$A117),":","__"),"")</f>
        <v/>
      </c>
    </row>
    <row r="118" spans="1:2" hidden="1" x14ac:dyDescent="0.3">
      <c r="A118" s="1">
        <v>350</v>
      </c>
      <c r="B118" t="str" cm="1">
        <f t="array" ref="B118">IFERROR(SUBSTITUTE(INDEX(TechType[[#All],[TechTypeID]],$A118),":","__"),"")</f>
        <v/>
      </c>
    </row>
    <row r="119" spans="1:2" hidden="1" x14ac:dyDescent="0.3">
      <c r="A119" s="1">
        <v>351</v>
      </c>
      <c r="B119" t="str" cm="1">
        <f t="array" ref="B119">IFERROR(SUBSTITUTE(INDEX(TechType[[#All],[TechTypeID]],$A119),":","__"),"")</f>
        <v/>
      </c>
    </row>
    <row r="120" spans="1:2" hidden="1" x14ac:dyDescent="0.3">
      <c r="A120" s="1">
        <v>352</v>
      </c>
      <c r="B120" t="str" cm="1">
        <f t="array" ref="B120">IFERROR(SUBSTITUTE(INDEX(TechType[[#All],[TechTypeID]],$A120),":","__"),"")</f>
        <v/>
      </c>
    </row>
    <row r="121" spans="1:2" hidden="1" x14ac:dyDescent="0.3">
      <c r="A121" s="1">
        <v>353</v>
      </c>
      <c r="B121" t="str" cm="1">
        <f t="array" ref="B121">IFERROR(SUBSTITUTE(INDEX(TechType[[#All],[TechTypeID]],$A121),":","__"),"")</f>
        <v/>
      </c>
    </row>
    <row r="122" spans="1:2" hidden="1" x14ac:dyDescent="0.3">
      <c r="A122" s="1">
        <v>354</v>
      </c>
      <c r="B122" t="str" cm="1">
        <f t="array" ref="B122">IFERROR(SUBSTITUTE(INDEX(TechType[[#All],[TechTypeID]],$A122),":","__"),"")</f>
        <v/>
      </c>
    </row>
    <row r="123" spans="1:2" hidden="1" x14ac:dyDescent="0.3">
      <c r="A123" s="1">
        <v>355</v>
      </c>
      <c r="B123" t="str" cm="1">
        <f t="array" ref="B123">IFERROR(SUBSTITUTE(INDEX(TechType[[#All],[TechTypeID]],$A123),":","__"),"")</f>
        <v/>
      </c>
    </row>
    <row r="124" spans="1:2" hidden="1" x14ac:dyDescent="0.3">
      <c r="A124" s="1">
        <v>356</v>
      </c>
      <c r="B124" t="str" cm="1">
        <f t="array" ref="B124">IFERROR(SUBSTITUTE(INDEX(TechType[[#All],[TechTypeID]],$A124),":","__"),"")</f>
        <v/>
      </c>
    </row>
    <row r="125" spans="1:2" hidden="1" x14ac:dyDescent="0.3">
      <c r="A125" s="1">
        <v>357</v>
      </c>
      <c r="B125" t="str" cm="1">
        <f t="array" ref="B125">IFERROR(SUBSTITUTE(INDEX(TechType[[#All],[TechTypeID]],$A125),":","__"),"")</f>
        <v/>
      </c>
    </row>
    <row r="126" spans="1:2" hidden="1" x14ac:dyDescent="0.3">
      <c r="A126" s="1">
        <v>358</v>
      </c>
      <c r="B126" t="str" cm="1">
        <f t="array" ref="B126">IFERROR(SUBSTITUTE(INDEX(TechType[[#All],[TechTypeID]],$A126),":","__"),"")</f>
        <v/>
      </c>
    </row>
    <row r="127" spans="1:2" hidden="1" x14ac:dyDescent="0.3">
      <c r="A127" s="1">
        <v>359</v>
      </c>
      <c r="B127" t="str" cm="1">
        <f t="array" ref="B127">IFERROR(SUBSTITUTE(INDEX(TechType[[#All],[TechTypeID]],$A127),":","__"),"")</f>
        <v/>
      </c>
    </row>
    <row r="128" spans="1:2" hidden="1" x14ac:dyDescent="0.3">
      <c r="A128" s="1">
        <v>360</v>
      </c>
      <c r="B128" t="str" cm="1">
        <f t="array" ref="B128">IFERROR(SUBSTITUTE(INDEX(TechType[[#All],[TechTypeID]],$A128),":","__"),"")</f>
        <v/>
      </c>
    </row>
    <row r="129" spans="1:2" hidden="1" x14ac:dyDescent="0.3">
      <c r="A129" s="1">
        <v>361</v>
      </c>
      <c r="B129" t="str" cm="1">
        <f t="array" ref="B129">IFERROR(SUBSTITUTE(INDEX(TechType[[#All],[TechTypeID]],$A129),":","__"),"")</f>
        <v/>
      </c>
    </row>
    <row r="130" spans="1:2" hidden="1" x14ac:dyDescent="0.3">
      <c r="A130" s="1">
        <v>362</v>
      </c>
      <c r="B130" t="str" cm="1">
        <f t="array" ref="B130">IFERROR(SUBSTITUTE(INDEX(TechType[[#All],[TechTypeID]],$A130),":","__"),"")</f>
        <v/>
      </c>
    </row>
    <row r="131" spans="1:2" hidden="1" x14ac:dyDescent="0.3">
      <c r="A131" s="1">
        <v>363</v>
      </c>
      <c r="B131" t="str" cm="1">
        <f t="array" ref="B131">IFERROR(SUBSTITUTE(INDEX(TechType[[#All],[TechTypeID]],$A131),":","__"),"")</f>
        <v/>
      </c>
    </row>
    <row r="132" spans="1:2" hidden="1" x14ac:dyDescent="0.3">
      <c r="A132" s="1">
        <v>364</v>
      </c>
      <c r="B132" t="str" cm="1">
        <f t="array" ref="B132">IFERROR(SUBSTITUTE(INDEX(TechType[[#All],[TechTypeID]],$A132),":","__"),"")</f>
        <v/>
      </c>
    </row>
    <row r="133" spans="1:2" hidden="1" x14ac:dyDescent="0.3">
      <c r="A133" s="1">
        <v>365</v>
      </c>
      <c r="B133" t="str" cm="1">
        <f t="array" ref="B133">IFERROR(SUBSTITUTE(INDEX(TechType[[#All],[TechTypeID]],$A133),":","__"),"")</f>
        <v/>
      </c>
    </row>
    <row r="134" spans="1:2" hidden="1" x14ac:dyDescent="0.3">
      <c r="A134" s="1">
        <v>366</v>
      </c>
      <c r="B134" t="str" cm="1">
        <f t="array" ref="B134">IFERROR(SUBSTITUTE(INDEX(TechType[[#All],[TechTypeID]],$A134),":","__"),"")</f>
        <v/>
      </c>
    </row>
    <row r="135" spans="1:2" hidden="1" x14ac:dyDescent="0.3">
      <c r="A135" s="1">
        <v>367</v>
      </c>
      <c r="B135" t="str" cm="1">
        <f t="array" ref="B135">IFERROR(SUBSTITUTE(INDEX(TechType[[#All],[TechTypeID]],$A135),":","__"),"")</f>
        <v/>
      </c>
    </row>
    <row r="136" spans="1:2" hidden="1" x14ac:dyDescent="0.3">
      <c r="A136" s="1">
        <v>368</v>
      </c>
      <c r="B136" t="str" cm="1">
        <f t="array" ref="B136">IFERROR(SUBSTITUTE(INDEX(TechType[[#All],[TechTypeID]],$A136),":","__"),"")</f>
        <v/>
      </c>
    </row>
    <row r="137" spans="1:2" hidden="1" x14ac:dyDescent="0.3">
      <c r="A137" s="1">
        <v>369</v>
      </c>
      <c r="B137" t="str" cm="1">
        <f t="array" ref="B137">IFERROR(SUBSTITUTE(INDEX(TechType[[#All],[TechTypeID]],$A137),":","__"),"")</f>
        <v/>
      </c>
    </row>
    <row r="138" spans="1:2" hidden="1" x14ac:dyDescent="0.3">
      <c r="A138" s="1">
        <v>370</v>
      </c>
      <c r="B138" t="str" cm="1">
        <f t="array" ref="B138">IFERROR(SUBSTITUTE(INDEX(TechType[[#All],[TechTypeID]],$A138),":","__"),"")</f>
        <v/>
      </c>
    </row>
    <row r="139" spans="1:2" hidden="1" x14ac:dyDescent="0.3">
      <c r="A139" s="1">
        <v>371</v>
      </c>
      <c r="B139" t="str" cm="1">
        <f t="array" ref="B139">IFERROR(SUBSTITUTE(INDEX(TechType[[#All],[TechTypeID]],$A139),":","__"),"")</f>
        <v/>
      </c>
    </row>
    <row r="140" spans="1:2" hidden="1" x14ac:dyDescent="0.3">
      <c r="A140" s="1">
        <v>372</v>
      </c>
      <c r="B140" t="str" cm="1">
        <f t="array" ref="B140">IFERROR(SUBSTITUTE(INDEX(TechType[[#All],[TechTypeID]],$A140),":","__"),"")</f>
        <v/>
      </c>
    </row>
    <row r="141" spans="1:2" hidden="1" x14ac:dyDescent="0.3">
      <c r="A141" s="1">
        <v>373</v>
      </c>
      <c r="B141" t="str" cm="1">
        <f t="array" ref="B141">IFERROR(SUBSTITUTE(INDEX(TechType[[#All],[TechTypeID]],$A141),":","__"),"")</f>
        <v/>
      </c>
    </row>
    <row r="142" spans="1:2" hidden="1" x14ac:dyDescent="0.3">
      <c r="A142" s="1">
        <v>374</v>
      </c>
      <c r="B142" t="str" cm="1">
        <f t="array" ref="B142">IFERROR(SUBSTITUTE(INDEX(TechType[[#All],[TechTypeID]],$A142),":","__"),"")</f>
        <v/>
      </c>
    </row>
    <row r="143" spans="1:2" hidden="1" x14ac:dyDescent="0.3">
      <c r="A143" s="1">
        <v>375</v>
      </c>
      <c r="B143" t="str" cm="1">
        <f t="array" ref="B143">IFERROR(SUBSTITUTE(INDEX(TechType[[#All],[TechTypeID]],$A143),":","__"),"")</f>
        <v/>
      </c>
    </row>
    <row r="144" spans="1:2" hidden="1" x14ac:dyDescent="0.3">
      <c r="A144" s="1">
        <v>376</v>
      </c>
      <c r="B144" t="str" cm="1">
        <f t="array" ref="B144">IFERROR(SUBSTITUTE(INDEX(TechType[[#All],[TechTypeID]],$A144),":","__"),"")</f>
        <v/>
      </c>
    </row>
    <row r="145" spans="1:2" hidden="1" x14ac:dyDescent="0.3">
      <c r="A145" s="1">
        <v>377</v>
      </c>
      <c r="B145" t="str" cm="1">
        <f t="array" ref="B145">IFERROR(SUBSTITUTE(INDEX(TechType[[#All],[TechTypeID]],$A145),":","__"),"")</f>
        <v/>
      </c>
    </row>
    <row r="146" spans="1:2" hidden="1" x14ac:dyDescent="0.3">
      <c r="A146" s="1">
        <v>378</v>
      </c>
      <c r="B146" t="str" cm="1">
        <f t="array" ref="B146">IFERROR(SUBSTITUTE(INDEX(TechType[[#All],[TechTypeID]],$A146),":","__"),"")</f>
        <v/>
      </c>
    </row>
    <row r="147" spans="1:2" hidden="1" x14ac:dyDescent="0.3">
      <c r="A147" s="1">
        <v>379</v>
      </c>
      <c r="B147" t="str" cm="1">
        <f t="array" ref="B147">IFERROR(SUBSTITUTE(INDEX(TechType[[#All],[TechTypeID]],$A147),":","__"),"")</f>
        <v/>
      </c>
    </row>
    <row r="148" spans="1:2" hidden="1" x14ac:dyDescent="0.3">
      <c r="A148" s="1">
        <v>380</v>
      </c>
      <c r="B148" t="str" cm="1">
        <f t="array" ref="B148">IFERROR(SUBSTITUTE(INDEX(TechType[[#All],[TechTypeID]],$A148),":","__"),"")</f>
        <v/>
      </c>
    </row>
    <row r="149" spans="1:2" hidden="1" x14ac:dyDescent="0.3">
      <c r="A149" s="1">
        <v>381</v>
      </c>
      <c r="B149" t="str" cm="1">
        <f t="array" ref="B149">IFERROR(SUBSTITUTE(INDEX(TechType[[#All],[TechTypeID]],$A149),":","__"),"")</f>
        <v/>
      </c>
    </row>
    <row r="150" spans="1:2" hidden="1" x14ac:dyDescent="0.3">
      <c r="A150" s="1">
        <v>382</v>
      </c>
      <c r="B150" t="str" cm="1">
        <f t="array" ref="B150">IFERROR(SUBSTITUTE(INDEX(TechType[[#All],[TechTypeID]],$A150),":","__"),"")</f>
        <v/>
      </c>
    </row>
    <row r="151" spans="1:2" hidden="1" x14ac:dyDescent="0.3">
      <c r="A151" s="1">
        <v>383</v>
      </c>
      <c r="B151" t="str" cm="1">
        <f t="array" ref="B151">IFERROR(SUBSTITUTE(INDEX(TechType[[#All],[TechTypeID]],$A151),":","__"),"")</f>
        <v/>
      </c>
    </row>
    <row r="152" spans="1:2" hidden="1" x14ac:dyDescent="0.3">
      <c r="A152" s="1">
        <v>384</v>
      </c>
      <c r="B152" t="str" cm="1">
        <f t="array" ref="B152">IFERROR(SUBSTITUTE(INDEX(TechType[[#All],[TechTypeID]],$A152),":","__"),"")</f>
        <v/>
      </c>
    </row>
    <row r="153" spans="1:2" hidden="1" x14ac:dyDescent="0.3">
      <c r="A153" s="1">
        <v>385</v>
      </c>
      <c r="B153" t="str" cm="1">
        <f t="array" ref="B153">IFERROR(SUBSTITUTE(INDEX(TechType[[#All],[TechTypeID]],$A153),":","__"),"")</f>
        <v/>
      </c>
    </row>
    <row r="154" spans="1:2" hidden="1" x14ac:dyDescent="0.3">
      <c r="A154" s="1">
        <v>386</v>
      </c>
      <c r="B154" t="str" cm="1">
        <f t="array" ref="B154">IFERROR(SUBSTITUTE(INDEX(TechType[[#All],[TechTypeID]],$A154),":","__"),"")</f>
        <v/>
      </c>
    </row>
    <row r="155" spans="1:2" hidden="1" x14ac:dyDescent="0.3">
      <c r="A155" s="1">
        <v>387</v>
      </c>
      <c r="B155" t="str" cm="1">
        <f t="array" ref="B155">IFERROR(SUBSTITUTE(INDEX(TechType[[#All],[TechTypeID]],$A155),":","__"),"")</f>
        <v/>
      </c>
    </row>
    <row r="156" spans="1:2" hidden="1" x14ac:dyDescent="0.3">
      <c r="A156" s="1">
        <v>388</v>
      </c>
      <c r="B156" t="str" cm="1">
        <f t="array" ref="B156">IFERROR(SUBSTITUTE(INDEX(TechType[[#All],[TechTypeID]],$A156),":","__"),"")</f>
        <v/>
      </c>
    </row>
    <row r="157" spans="1:2" hidden="1" x14ac:dyDescent="0.3">
      <c r="A157" s="1">
        <v>389</v>
      </c>
      <c r="B157" t="str" cm="1">
        <f t="array" ref="B157">IFERROR(SUBSTITUTE(INDEX(TechType[[#All],[TechTypeID]],$A157),":","__"),"")</f>
        <v/>
      </c>
    </row>
    <row r="158" spans="1:2" hidden="1" x14ac:dyDescent="0.3">
      <c r="A158" s="1">
        <v>390</v>
      </c>
      <c r="B158" t="str" cm="1">
        <f t="array" ref="B158">IFERROR(SUBSTITUTE(INDEX(TechType[[#All],[TechTypeID]],$A158),":","__"),"")</f>
        <v/>
      </c>
    </row>
    <row r="159" spans="1:2" hidden="1" x14ac:dyDescent="0.3">
      <c r="A159" s="1">
        <v>391</v>
      </c>
      <c r="B159" t="str" cm="1">
        <f t="array" ref="B159">IFERROR(SUBSTITUTE(INDEX(TechType[[#All],[TechTypeID]],$A159),":","__"),"")</f>
        <v/>
      </c>
    </row>
    <row r="160" spans="1:2" hidden="1" x14ac:dyDescent="0.3">
      <c r="A160" s="1">
        <v>392</v>
      </c>
      <c r="B160" t="str" cm="1">
        <f t="array" ref="B160">IFERROR(SUBSTITUTE(INDEX(TechType[[#All],[TechTypeID]],$A160),":","__"),"")</f>
        <v/>
      </c>
    </row>
    <row r="161" spans="1:2" hidden="1" x14ac:dyDescent="0.3">
      <c r="A161" s="1">
        <v>393</v>
      </c>
      <c r="B161" t="str" cm="1">
        <f t="array" ref="B161">IFERROR(SUBSTITUTE(INDEX(TechType[[#All],[TechTypeID]],$A161),":","__"),"")</f>
        <v/>
      </c>
    </row>
    <row r="162" spans="1:2" hidden="1" x14ac:dyDescent="0.3">
      <c r="A162" s="1">
        <v>394</v>
      </c>
      <c r="B162" t="str" cm="1">
        <f t="array" ref="B162">IFERROR(SUBSTITUTE(INDEX(TechType[[#All],[TechTypeID]],$A162),":","__"),"")</f>
        <v/>
      </c>
    </row>
    <row r="163" spans="1:2" hidden="1" x14ac:dyDescent="0.3">
      <c r="A163" s="1">
        <v>395</v>
      </c>
      <c r="B163" t="str" cm="1">
        <f t="array" ref="B163">IFERROR(SUBSTITUTE(INDEX(TechType[[#All],[TechTypeID]],$A163),":","__"),"")</f>
        <v/>
      </c>
    </row>
    <row r="164" spans="1:2" hidden="1" x14ac:dyDescent="0.3">
      <c r="A164" s="1">
        <v>396</v>
      </c>
      <c r="B164" t="str" cm="1">
        <f t="array" ref="B164">IFERROR(SUBSTITUTE(INDEX(TechType[[#All],[TechTypeID]],$A164),":","__"),"")</f>
        <v/>
      </c>
    </row>
    <row r="165" spans="1:2" hidden="1" x14ac:dyDescent="0.3">
      <c r="A165" s="1">
        <v>397</v>
      </c>
      <c r="B165" t="str" cm="1">
        <f t="array" ref="B165">IFERROR(SUBSTITUTE(INDEX(TechType[[#All],[TechTypeID]],$A165),":","__"),"")</f>
        <v/>
      </c>
    </row>
    <row r="166" spans="1:2" hidden="1" x14ac:dyDescent="0.3">
      <c r="A166" s="1">
        <v>398</v>
      </c>
      <c r="B166" t="str" cm="1">
        <f t="array" ref="B166">IFERROR(SUBSTITUTE(INDEX(TechType[[#All],[TechTypeID]],$A166),":","__"),"")</f>
        <v/>
      </c>
    </row>
    <row r="167" spans="1:2" hidden="1" x14ac:dyDescent="0.3">
      <c r="A167" s="1">
        <v>399</v>
      </c>
      <c r="B167" t="str" cm="1">
        <f t="array" ref="B167">IFERROR(SUBSTITUTE(INDEX(TechType[[#All],[TechTypeID]],$A167),":","__"),"")</f>
        <v/>
      </c>
    </row>
    <row r="168" spans="1:2" hidden="1" x14ac:dyDescent="0.3">
      <c r="A168" s="1">
        <v>400</v>
      </c>
      <c r="B168" t="str" cm="1">
        <f t="array" ref="B168">IFERROR(SUBSTITUTE(INDEX(TechType[[#All],[TechTypeID]],$A168),":","__"),"")</f>
        <v/>
      </c>
    </row>
    <row r="169" spans="1:2" hidden="1" x14ac:dyDescent="0.3">
      <c r="A169" s="1">
        <v>401</v>
      </c>
      <c r="B169" t="str" cm="1">
        <f t="array" ref="B169">IFERROR(SUBSTITUTE(INDEX(TechType[[#All],[TechTypeID]],$A169),":","__"),"")</f>
        <v/>
      </c>
    </row>
    <row r="170" spans="1:2" hidden="1" x14ac:dyDescent="0.3">
      <c r="A170" s="1">
        <v>402</v>
      </c>
      <c r="B170" t="str" cm="1">
        <f t="array" ref="B170">IFERROR(SUBSTITUTE(INDEX(TechType[[#All],[TechTypeID]],$A170),":","__"),"")</f>
        <v/>
      </c>
    </row>
    <row r="171" spans="1:2" hidden="1" x14ac:dyDescent="0.3">
      <c r="A171" s="1">
        <v>403</v>
      </c>
      <c r="B171" t="str" cm="1">
        <f t="array" ref="B171">IFERROR(SUBSTITUTE(INDEX(TechType[[#All],[TechTypeID]],$A171),":","__"),"")</f>
        <v/>
      </c>
    </row>
    <row r="172" spans="1:2" hidden="1" x14ac:dyDescent="0.3">
      <c r="A172" s="1">
        <v>404</v>
      </c>
      <c r="B172" t="str" cm="1">
        <f t="array" ref="B172">IFERROR(SUBSTITUTE(INDEX(TechType[[#All],[TechTypeID]],$A172),":","__"),"")</f>
        <v/>
      </c>
    </row>
    <row r="173" spans="1:2" hidden="1" x14ac:dyDescent="0.3">
      <c r="A173" s="1">
        <v>405</v>
      </c>
      <c r="B173" t="str" cm="1">
        <f t="array" ref="B173">IFERROR(SUBSTITUTE(INDEX(TechType[[#All],[TechTypeID]],$A173),":","__"),"")</f>
        <v/>
      </c>
    </row>
    <row r="174" spans="1:2" hidden="1" x14ac:dyDescent="0.3">
      <c r="A174" s="1">
        <v>406</v>
      </c>
      <c r="B174" t="str" cm="1">
        <f t="array" ref="B174">IFERROR(SUBSTITUTE(INDEX(TechType[[#All],[TechTypeID]],$A174),":","__"),"")</f>
        <v/>
      </c>
    </row>
    <row r="175" spans="1:2" hidden="1" x14ac:dyDescent="0.3">
      <c r="A175" s="1">
        <v>407</v>
      </c>
      <c r="B175" t="str" cm="1">
        <f t="array" ref="B175">IFERROR(SUBSTITUTE(INDEX(TechType[[#All],[TechTypeID]],$A175),":","__"),"")</f>
        <v/>
      </c>
    </row>
    <row r="176" spans="1:2" hidden="1" x14ac:dyDescent="0.3">
      <c r="A176" s="1">
        <v>408</v>
      </c>
      <c r="B176" t="str" cm="1">
        <f t="array" ref="B176">IFERROR(SUBSTITUTE(INDEX(TechType[[#All],[TechTypeID]],$A176),":","__"),"")</f>
        <v/>
      </c>
    </row>
    <row r="177" spans="1:2" hidden="1" x14ac:dyDescent="0.3">
      <c r="A177" s="1">
        <v>409</v>
      </c>
      <c r="B177" t="str" cm="1">
        <f t="array" ref="B177">IFERROR(SUBSTITUTE(INDEX(TechType[[#All],[TechTypeID]],$A177),":","__"),"")</f>
        <v/>
      </c>
    </row>
    <row r="178" spans="1:2" hidden="1" x14ac:dyDescent="0.3">
      <c r="A178" s="1">
        <v>410</v>
      </c>
      <c r="B178" t="str" cm="1">
        <f t="array" ref="B178">IFERROR(SUBSTITUTE(INDEX(TechType[[#All],[TechTypeID]],$A178),":","__"),"")</f>
        <v/>
      </c>
    </row>
    <row r="179" spans="1:2" hidden="1" x14ac:dyDescent="0.3">
      <c r="A179" s="1">
        <v>411</v>
      </c>
      <c r="B179" t="str" cm="1">
        <f t="array" ref="B179">IFERROR(SUBSTITUTE(INDEX(TechType[[#All],[TechTypeID]],$A179),":","__"),"")</f>
        <v/>
      </c>
    </row>
    <row r="180" spans="1:2" hidden="1" x14ac:dyDescent="0.3">
      <c r="A180" s="1">
        <v>412</v>
      </c>
      <c r="B180" t="str" cm="1">
        <f t="array" ref="B180">IFERROR(SUBSTITUTE(INDEX(TechType[[#All],[TechTypeID]],$A180),":","__"),"")</f>
        <v/>
      </c>
    </row>
    <row r="181" spans="1:2" hidden="1" x14ac:dyDescent="0.3">
      <c r="A181" s="1">
        <v>413</v>
      </c>
      <c r="B181" t="str" cm="1">
        <f t="array" ref="B181">IFERROR(SUBSTITUTE(INDEX(TechType[[#All],[TechTypeID]],$A181),":","__"),"")</f>
        <v/>
      </c>
    </row>
    <row r="182" spans="1:2" hidden="1" x14ac:dyDescent="0.3">
      <c r="A182" s="1">
        <v>414</v>
      </c>
      <c r="B182" t="str" cm="1">
        <f t="array" ref="B182">IFERROR(SUBSTITUTE(INDEX(TechType[[#All],[TechTypeID]],$A182),":","__"),"")</f>
        <v/>
      </c>
    </row>
    <row r="183" spans="1:2" hidden="1" x14ac:dyDescent="0.3">
      <c r="A183" s="1">
        <v>415</v>
      </c>
      <c r="B183" t="str" cm="1">
        <f t="array" ref="B183">IFERROR(SUBSTITUTE(INDEX(TechType[[#All],[TechTypeID]],$A183),":","__"),"")</f>
        <v/>
      </c>
    </row>
    <row r="184" spans="1:2" hidden="1" x14ac:dyDescent="0.3">
      <c r="A184" s="1">
        <v>416</v>
      </c>
      <c r="B184" t="str" cm="1">
        <f t="array" ref="B184">IFERROR(SUBSTITUTE(INDEX(TechType[[#All],[TechTypeID]],$A184),":","__"),"")</f>
        <v/>
      </c>
    </row>
    <row r="185" spans="1:2" hidden="1" x14ac:dyDescent="0.3">
      <c r="A185" s="1">
        <v>417</v>
      </c>
      <c r="B185" t="str" cm="1">
        <f t="array" ref="B185">IFERROR(SUBSTITUTE(INDEX(TechType[[#All],[TechTypeID]],$A185),":","__"),"")</f>
        <v/>
      </c>
    </row>
    <row r="186" spans="1:2" hidden="1" x14ac:dyDescent="0.3">
      <c r="A186" s="1">
        <v>418</v>
      </c>
      <c r="B186" t="str" cm="1">
        <f t="array" ref="B186">IFERROR(SUBSTITUTE(INDEX(TechType[[#All],[TechTypeID]],$A186),":","__"),"")</f>
        <v/>
      </c>
    </row>
    <row r="187" spans="1:2" hidden="1" x14ac:dyDescent="0.3">
      <c r="A187" s="1">
        <v>419</v>
      </c>
      <c r="B187" t="str" cm="1">
        <f t="array" ref="B187">IFERROR(SUBSTITUTE(INDEX(TechType[[#All],[TechTypeID]],$A187),":","__"),"")</f>
        <v/>
      </c>
    </row>
    <row r="188" spans="1:2" hidden="1" x14ac:dyDescent="0.3">
      <c r="A188" s="1">
        <v>420</v>
      </c>
      <c r="B188" t="str" cm="1">
        <f t="array" ref="B188">IFERROR(SUBSTITUTE(INDEX(TechType[[#All],[TechTypeID]],$A188),":","__"),"")</f>
        <v/>
      </c>
    </row>
    <row r="189" spans="1:2" hidden="1" x14ac:dyDescent="0.3">
      <c r="A189" s="1">
        <v>421</v>
      </c>
      <c r="B189" t="str" cm="1">
        <f t="array" ref="B189">IFERROR(SUBSTITUTE(INDEX(TechType[[#All],[TechTypeID]],$A189),":","__"),"")</f>
        <v/>
      </c>
    </row>
    <row r="190" spans="1:2" hidden="1" x14ac:dyDescent="0.3">
      <c r="A190" s="1">
        <v>422</v>
      </c>
      <c r="B190" t="str" cm="1">
        <f t="array" ref="B190">IFERROR(SUBSTITUTE(INDEX(TechType[[#All],[TechTypeID]],$A190),":","__"),"")</f>
        <v/>
      </c>
    </row>
    <row r="191" spans="1:2" hidden="1" x14ac:dyDescent="0.3">
      <c r="A191" s="1">
        <v>423</v>
      </c>
      <c r="B191" t="str" cm="1">
        <f t="array" ref="B191">IFERROR(SUBSTITUTE(INDEX(TechType[[#All],[TechTypeID]],$A191),":","__"),"")</f>
        <v/>
      </c>
    </row>
    <row r="192" spans="1:2" hidden="1" x14ac:dyDescent="0.3">
      <c r="A192" s="1">
        <v>424</v>
      </c>
      <c r="B192" t="str" cm="1">
        <f t="array" ref="B192">IFERROR(SUBSTITUTE(INDEX(TechType[[#All],[TechTypeID]],$A192),":","__"),"")</f>
        <v/>
      </c>
    </row>
    <row r="193" spans="1:2" hidden="1" x14ac:dyDescent="0.3">
      <c r="A193" s="1">
        <v>425</v>
      </c>
      <c r="B193" t="str" cm="1">
        <f t="array" ref="B193">IFERROR(SUBSTITUTE(INDEX(TechType[[#All],[TechTypeID]],$A193),":","__"),"")</f>
        <v/>
      </c>
    </row>
    <row r="194" spans="1:2" hidden="1" x14ac:dyDescent="0.3">
      <c r="A194" s="1">
        <v>426</v>
      </c>
      <c r="B194" t="str" cm="1">
        <f t="array" ref="B194">IFERROR(SUBSTITUTE(INDEX(TechType[[#All],[TechTypeID]],$A194),":","__"),"")</f>
        <v/>
      </c>
    </row>
    <row r="195" spans="1:2" hidden="1" x14ac:dyDescent="0.3">
      <c r="A195" s="1">
        <v>427</v>
      </c>
      <c r="B195" t="str" cm="1">
        <f t="array" ref="B195">IFERROR(SUBSTITUTE(INDEX(TechType[[#All],[TechTypeID]],$A195),":","__"),"")</f>
        <v/>
      </c>
    </row>
    <row r="196" spans="1:2" hidden="1" x14ac:dyDescent="0.3">
      <c r="A196" s="1">
        <v>428</v>
      </c>
      <c r="B196" t="str" cm="1">
        <f t="array" ref="B196">IFERROR(SUBSTITUTE(INDEX(TechType[[#All],[TechTypeID]],$A196),":","__"),"")</f>
        <v/>
      </c>
    </row>
    <row r="197" spans="1:2" hidden="1" x14ac:dyDescent="0.3">
      <c r="A197" s="1">
        <v>429</v>
      </c>
      <c r="B197" t="str" cm="1">
        <f t="array" ref="B197">IFERROR(SUBSTITUTE(INDEX(TechType[[#All],[TechTypeID]],$A197),":","__"),"")</f>
        <v/>
      </c>
    </row>
    <row r="198" spans="1:2" hidden="1" x14ac:dyDescent="0.3">
      <c r="A198" s="1">
        <v>430</v>
      </c>
      <c r="B198" t="str" cm="1">
        <f t="array" ref="B198">IFERROR(SUBSTITUTE(INDEX(TechType[[#All],[TechTypeID]],$A198),":","__"),"")</f>
        <v/>
      </c>
    </row>
    <row r="199" spans="1:2" hidden="1" x14ac:dyDescent="0.3">
      <c r="A199" s="1">
        <v>431</v>
      </c>
      <c r="B199" t="str" cm="1">
        <f t="array" ref="B199">IFERROR(SUBSTITUTE(INDEX(TechType[[#All],[TechTypeID]],$A199),":","__"),"")</f>
        <v/>
      </c>
    </row>
    <row r="200" spans="1:2" hidden="1" x14ac:dyDescent="0.3">
      <c r="A200" s="1">
        <v>432</v>
      </c>
      <c r="B200" t="str" cm="1">
        <f t="array" ref="B200">IFERROR(SUBSTITUTE(INDEX(TechType[[#All],[TechTypeID]],$A200),":","__"),"")</f>
        <v/>
      </c>
    </row>
    <row r="201" spans="1:2" hidden="1" x14ac:dyDescent="0.3">
      <c r="A201" s="1">
        <v>433</v>
      </c>
      <c r="B201" t="str" cm="1">
        <f t="array" ref="B201">IFERROR(SUBSTITUTE(INDEX(TechType[[#All],[TechTypeID]],$A201),":","__"),"")</f>
        <v/>
      </c>
    </row>
    <row r="202" spans="1:2" hidden="1" x14ac:dyDescent="0.3">
      <c r="A202" s="1">
        <v>434</v>
      </c>
      <c r="B202" t="str" cm="1">
        <f t="array" ref="B202">IFERROR(SUBSTITUTE(INDEX(TechType[[#All],[TechTypeID]],$A202),":","__"),"")</f>
        <v/>
      </c>
    </row>
    <row r="203" spans="1:2" hidden="1" x14ac:dyDescent="0.3">
      <c r="A203" s="1">
        <v>435</v>
      </c>
      <c r="B203" t="str" cm="1">
        <f t="array" ref="B203">IFERROR(SUBSTITUTE(INDEX(TechType[[#All],[TechTypeID]],$A203),":","__"),"")</f>
        <v/>
      </c>
    </row>
    <row r="204" spans="1:2" hidden="1" x14ac:dyDescent="0.3">
      <c r="A204" s="1">
        <v>436</v>
      </c>
      <c r="B204" t="str" cm="1">
        <f t="array" ref="B204">IFERROR(SUBSTITUTE(INDEX(TechType[[#All],[TechTypeID]],$A204),":","__"),"")</f>
        <v/>
      </c>
    </row>
    <row r="205" spans="1:2" hidden="1" x14ac:dyDescent="0.3">
      <c r="A205" s="1">
        <v>437</v>
      </c>
      <c r="B205" t="str" cm="1">
        <f t="array" ref="B205">IFERROR(SUBSTITUTE(INDEX(TechType[[#All],[TechTypeID]],$A205),":","__"),"")</f>
        <v/>
      </c>
    </row>
    <row r="206" spans="1:2" hidden="1" x14ac:dyDescent="0.3">
      <c r="A206" s="1">
        <v>438</v>
      </c>
      <c r="B206" t="str" cm="1">
        <f t="array" ref="B206">IFERROR(SUBSTITUTE(INDEX(TechType[[#All],[TechTypeID]],$A206),":","__"),"")</f>
        <v/>
      </c>
    </row>
    <row r="207" spans="1:2" hidden="1" x14ac:dyDescent="0.3">
      <c r="A207" s="1">
        <v>439</v>
      </c>
      <c r="B207" t="str" cm="1">
        <f t="array" ref="B207">IFERROR(SUBSTITUTE(INDEX(TechType[[#All],[TechTypeID]],$A207),":","__"),"")</f>
        <v/>
      </c>
    </row>
    <row r="208" spans="1:2" hidden="1" x14ac:dyDescent="0.3">
      <c r="A208" s="1">
        <v>440</v>
      </c>
      <c r="B208" t="str" cm="1">
        <f t="array" ref="B208">IFERROR(SUBSTITUTE(INDEX(TechType[[#All],[TechTypeID]],$A208),":","__"),"")</f>
        <v/>
      </c>
    </row>
    <row r="209" spans="1:2" hidden="1" x14ac:dyDescent="0.3">
      <c r="A209" s="1">
        <v>441</v>
      </c>
      <c r="B209" t="str" cm="1">
        <f t="array" ref="B209">IFERROR(SUBSTITUTE(INDEX(TechType[[#All],[TechTypeID]],$A209),":","__"),"")</f>
        <v/>
      </c>
    </row>
    <row r="210" spans="1:2" hidden="1" x14ac:dyDescent="0.3">
      <c r="A210" s="1">
        <v>442</v>
      </c>
      <c r="B210" t="str" cm="1">
        <f t="array" ref="B210">IFERROR(SUBSTITUTE(INDEX(TechType[[#All],[TechTypeID]],$A210),":","__"),"")</f>
        <v/>
      </c>
    </row>
    <row r="211" spans="1:2" hidden="1" x14ac:dyDescent="0.3">
      <c r="A211" s="1">
        <v>443</v>
      </c>
      <c r="B211" t="str" cm="1">
        <f t="array" ref="B211">IFERROR(SUBSTITUTE(INDEX(TechType[[#All],[TechTypeID]],$A211),":","__"),"")</f>
        <v/>
      </c>
    </row>
    <row r="212" spans="1:2" hidden="1" x14ac:dyDescent="0.3">
      <c r="A212" s="1">
        <v>444</v>
      </c>
      <c r="B212" t="str" cm="1">
        <f t="array" ref="B212">IFERROR(SUBSTITUTE(INDEX(TechType[[#All],[TechTypeID]],$A212),":","__"),"")</f>
        <v/>
      </c>
    </row>
    <row r="213" spans="1:2" hidden="1" x14ac:dyDescent="0.3">
      <c r="A213" s="1">
        <v>445</v>
      </c>
      <c r="B213" t="str" cm="1">
        <f t="array" ref="B213">IFERROR(SUBSTITUTE(INDEX(TechType[[#All],[TechTypeID]],$A213),":","__"),"")</f>
        <v/>
      </c>
    </row>
    <row r="214" spans="1:2" hidden="1" x14ac:dyDescent="0.3">
      <c r="A214" s="1">
        <v>446</v>
      </c>
      <c r="B214" t="str" cm="1">
        <f t="array" ref="B214">IFERROR(SUBSTITUTE(INDEX(TechType[[#All],[TechTypeID]],$A214),":","__"),"")</f>
        <v/>
      </c>
    </row>
    <row r="215" spans="1:2" hidden="1" x14ac:dyDescent="0.3">
      <c r="A215" s="1">
        <v>447</v>
      </c>
      <c r="B215" t="str" cm="1">
        <f t="array" ref="B215">IFERROR(SUBSTITUTE(INDEX(TechType[[#All],[TechTypeID]],$A215),":","__"),"")</f>
        <v/>
      </c>
    </row>
    <row r="216" spans="1:2" hidden="1" x14ac:dyDescent="0.3">
      <c r="A216" s="1">
        <v>448</v>
      </c>
      <c r="B216" t="str" cm="1">
        <f t="array" ref="B216">IFERROR(SUBSTITUTE(INDEX(TechType[[#All],[TechTypeID]],$A216),":","__"),"")</f>
        <v/>
      </c>
    </row>
    <row r="217" spans="1:2" hidden="1" x14ac:dyDescent="0.3">
      <c r="A217" s="1">
        <v>449</v>
      </c>
      <c r="B217" t="str" cm="1">
        <f t="array" ref="B217">IFERROR(SUBSTITUTE(INDEX(TechType[[#All],[TechTypeID]],$A217),":","__"),"")</f>
        <v/>
      </c>
    </row>
    <row r="218" spans="1:2" hidden="1" x14ac:dyDescent="0.3">
      <c r="A218" s="1">
        <v>450</v>
      </c>
      <c r="B218" t="str" cm="1">
        <f t="array" ref="B218">IFERROR(SUBSTITUTE(INDEX(TechType[[#All],[TechTypeID]],$A218),":","__"),"")</f>
        <v/>
      </c>
    </row>
    <row r="219" spans="1:2" hidden="1" x14ac:dyDescent="0.3">
      <c r="A219" s="1">
        <v>451</v>
      </c>
      <c r="B219" t="str" cm="1">
        <f t="array" ref="B219">IFERROR(SUBSTITUTE(INDEX(TechType[[#All],[TechTypeID]],$A219),":","__"),"")</f>
        <v/>
      </c>
    </row>
    <row r="220" spans="1:2" hidden="1" x14ac:dyDescent="0.3">
      <c r="A220" s="1">
        <v>452</v>
      </c>
      <c r="B220" t="str" cm="1">
        <f t="array" ref="B220">IFERROR(SUBSTITUTE(INDEX(TechType[[#All],[TechTypeID]],$A220),":","__"),"")</f>
        <v/>
      </c>
    </row>
    <row r="221" spans="1:2" hidden="1" x14ac:dyDescent="0.3">
      <c r="A221" s="1">
        <v>453</v>
      </c>
      <c r="B221" t="str" cm="1">
        <f t="array" ref="B221">IFERROR(SUBSTITUTE(INDEX(TechType[[#All],[TechTypeID]],$A221),":","__"),"")</f>
        <v/>
      </c>
    </row>
    <row r="222" spans="1:2" hidden="1" x14ac:dyDescent="0.3">
      <c r="A222" s="1">
        <v>454</v>
      </c>
      <c r="B222" t="str" cm="1">
        <f t="array" ref="B222">IFERROR(SUBSTITUTE(INDEX(TechType[[#All],[TechTypeID]],$A222),":","__"),"")</f>
        <v/>
      </c>
    </row>
    <row r="223" spans="1:2" hidden="1" x14ac:dyDescent="0.3">
      <c r="A223" s="1">
        <v>455</v>
      </c>
      <c r="B223" t="str" cm="1">
        <f t="array" ref="B223">IFERROR(SUBSTITUTE(INDEX(TechType[[#All],[TechTypeID]],$A223),":","__"),"")</f>
        <v/>
      </c>
    </row>
    <row r="224" spans="1:2" hidden="1" x14ac:dyDescent="0.3">
      <c r="A224" s="1">
        <v>456</v>
      </c>
      <c r="B224" t="str" cm="1">
        <f t="array" ref="B224">IFERROR(SUBSTITUTE(INDEX(TechType[[#All],[TechTypeID]],$A224),":","__"),"")</f>
        <v/>
      </c>
    </row>
    <row r="225" spans="1:2" hidden="1" x14ac:dyDescent="0.3">
      <c r="A225" s="1">
        <v>457</v>
      </c>
      <c r="B225" t="str" cm="1">
        <f t="array" ref="B225">IFERROR(SUBSTITUTE(INDEX(TechType[[#All],[TechTypeID]],$A225),":","__"),"")</f>
        <v/>
      </c>
    </row>
    <row r="226" spans="1:2" hidden="1" x14ac:dyDescent="0.3">
      <c r="A226" s="1">
        <v>458</v>
      </c>
      <c r="B226" t="str" cm="1">
        <f t="array" ref="B226">IFERROR(SUBSTITUTE(INDEX(TechType[[#All],[TechTypeID]],$A226),":","__"),"")</f>
        <v/>
      </c>
    </row>
    <row r="227" spans="1:2" hidden="1" x14ac:dyDescent="0.3">
      <c r="A227" s="1">
        <v>459</v>
      </c>
      <c r="B227" t="str" cm="1">
        <f t="array" ref="B227">IFERROR(SUBSTITUTE(INDEX(TechType[[#All],[TechTypeID]],$A227),":","__"),"")</f>
        <v/>
      </c>
    </row>
    <row r="228" spans="1:2" hidden="1" x14ac:dyDescent="0.3">
      <c r="A228" s="1">
        <v>460</v>
      </c>
      <c r="B228" t="str" cm="1">
        <f t="array" ref="B228">IFERROR(SUBSTITUTE(INDEX(TechType[[#All],[TechTypeID]],$A228),":","__"),"")</f>
        <v/>
      </c>
    </row>
    <row r="229" spans="1:2" hidden="1" x14ac:dyDescent="0.3">
      <c r="A229" s="1">
        <v>461</v>
      </c>
      <c r="B229" t="str" cm="1">
        <f t="array" ref="B229">IFERROR(SUBSTITUTE(INDEX(TechType[[#All],[TechTypeID]],$A229),":","__"),"")</f>
        <v/>
      </c>
    </row>
    <row r="230" spans="1:2" hidden="1" x14ac:dyDescent="0.3">
      <c r="A230" s="1">
        <v>462</v>
      </c>
      <c r="B230" t="str" cm="1">
        <f t="array" ref="B230">IFERROR(SUBSTITUTE(INDEX(TechType[[#All],[TechTypeID]],$A230),":","__"),"")</f>
        <v/>
      </c>
    </row>
    <row r="231" spans="1:2" hidden="1" x14ac:dyDescent="0.3">
      <c r="A231" s="1">
        <v>463</v>
      </c>
      <c r="B231" t="str" cm="1">
        <f t="array" ref="B231">IFERROR(SUBSTITUTE(INDEX(TechType[[#All],[TechTypeID]],$A231),":","__"),"")</f>
        <v/>
      </c>
    </row>
    <row r="232" spans="1:2" hidden="1" x14ac:dyDescent="0.3">
      <c r="A232" s="1">
        <v>464</v>
      </c>
      <c r="B232" t="str" cm="1">
        <f t="array" ref="B232">IFERROR(SUBSTITUTE(INDEX(TechType[[#All],[TechTypeID]],$A232),":","__"),"")</f>
        <v/>
      </c>
    </row>
    <row r="233" spans="1:2" hidden="1" x14ac:dyDescent="0.3">
      <c r="A233" s="1">
        <v>465</v>
      </c>
      <c r="B233" t="str" cm="1">
        <f t="array" ref="B233">IFERROR(SUBSTITUTE(INDEX(TechType[[#All],[TechTypeID]],$A233),":","__"),"")</f>
        <v/>
      </c>
    </row>
    <row r="234" spans="1:2" hidden="1" x14ac:dyDescent="0.3">
      <c r="A234" s="1">
        <v>466</v>
      </c>
      <c r="B234" t="str" cm="1">
        <f t="array" ref="B234">IFERROR(SUBSTITUTE(INDEX(TechType[[#All],[TechTypeID]],$A234),":","__"),"")</f>
        <v/>
      </c>
    </row>
    <row r="235" spans="1:2" hidden="1" x14ac:dyDescent="0.3">
      <c r="A235" s="1">
        <v>467</v>
      </c>
      <c r="B235" t="str" cm="1">
        <f t="array" ref="B235">IFERROR(SUBSTITUTE(INDEX(TechType[[#All],[TechTypeID]],$A235),":","__"),"")</f>
        <v/>
      </c>
    </row>
    <row r="236" spans="1:2" hidden="1" x14ac:dyDescent="0.3">
      <c r="A236" s="1">
        <v>468</v>
      </c>
      <c r="B236" t="str" cm="1">
        <f t="array" ref="B236">IFERROR(SUBSTITUTE(INDEX(TechType[[#All],[TechTypeID]],$A236),":","__"),"")</f>
        <v/>
      </c>
    </row>
    <row r="237" spans="1:2" hidden="1" x14ac:dyDescent="0.3">
      <c r="A237" s="1">
        <v>469</v>
      </c>
      <c r="B237" t="str" cm="1">
        <f t="array" ref="B237">IFERROR(SUBSTITUTE(INDEX(TechType[[#All],[TechTypeID]],$A237),":","__"),"")</f>
        <v/>
      </c>
    </row>
    <row r="238" spans="1:2" hidden="1" x14ac:dyDescent="0.3">
      <c r="A238" s="1">
        <v>470</v>
      </c>
      <c r="B238" t="str" cm="1">
        <f t="array" ref="B238">IFERROR(SUBSTITUTE(INDEX(TechType[[#All],[TechTypeID]],$A238),":","__"),"")</f>
        <v/>
      </c>
    </row>
    <row r="239" spans="1:2" hidden="1" x14ac:dyDescent="0.3">
      <c r="A239" s="1">
        <v>471</v>
      </c>
      <c r="B239" t="str" cm="1">
        <f t="array" ref="B239">IFERROR(SUBSTITUTE(INDEX(TechType[[#All],[TechTypeID]],$A239),":","__"),"")</f>
        <v/>
      </c>
    </row>
    <row r="240" spans="1:2" hidden="1" x14ac:dyDescent="0.3">
      <c r="A240" s="1">
        <v>472</v>
      </c>
      <c r="B240" t="str" cm="1">
        <f t="array" ref="B240">IFERROR(SUBSTITUTE(INDEX(TechType[[#All],[TechTypeID]],$A240),":","__"),"")</f>
        <v/>
      </c>
    </row>
    <row r="241" spans="1:2" hidden="1" x14ac:dyDescent="0.3">
      <c r="A241" s="1">
        <v>473</v>
      </c>
      <c r="B241" t="str" cm="1">
        <f t="array" ref="B241">IFERROR(SUBSTITUTE(INDEX(TechType[[#All],[TechTypeID]],$A241),":","__"),"")</f>
        <v/>
      </c>
    </row>
    <row r="242" spans="1:2" hidden="1" x14ac:dyDescent="0.3">
      <c r="A242" s="1">
        <v>474</v>
      </c>
      <c r="B242" t="str" cm="1">
        <f t="array" ref="B242">IFERROR(SUBSTITUTE(INDEX(TechType[[#All],[TechTypeID]],$A242),":","__"),"")</f>
        <v/>
      </c>
    </row>
    <row r="243" spans="1:2" hidden="1" x14ac:dyDescent="0.3">
      <c r="A243" s="1">
        <v>475</v>
      </c>
      <c r="B243" t="str" cm="1">
        <f t="array" ref="B243">IFERROR(SUBSTITUTE(INDEX(TechType[[#All],[TechTypeID]],$A243),":","__"),"")</f>
        <v/>
      </c>
    </row>
    <row r="244" spans="1:2" hidden="1" x14ac:dyDescent="0.3">
      <c r="A244" s="1">
        <v>476</v>
      </c>
      <c r="B244" t="str" cm="1">
        <f t="array" ref="B244">IFERROR(SUBSTITUTE(INDEX(TechType[[#All],[TechTypeID]],$A244),":","__"),"")</f>
        <v/>
      </c>
    </row>
    <row r="245" spans="1:2" hidden="1" x14ac:dyDescent="0.3">
      <c r="A245" s="1">
        <v>477</v>
      </c>
      <c r="B245" t="str" cm="1">
        <f t="array" ref="B245">IFERROR(SUBSTITUTE(INDEX(TechType[[#All],[TechTypeID]],$A245),":","__"),"")</f>
        <v/>
      </c>
    </row>
    <row r="246" spans="1:2" hidden="1" x14ac:dyDescent="0.3">
      <c r="A246" s="1">
        <v>478</v>
      </c>
      <c r="B246" t="str" cm="1">
        <f t="array" ref="B246">IFERROR(SUBSTITUTE(INDEX(TechType[[#All],[TechTypeID]],$A246),":","__"),"")</f>
        <v/>
      </c>
    </row>
    <row r="247" spans="1:2" hidden="1" x14ac:dyDescent="0.3">
      <c r="A247" s="1">
        <v>479</v>
      </c>
      <c r="B247" t="str" cm="1">
        <f t="array" ref="B247">IFERROR(SUBSTITUTE(INDEX(TechType[[#All],[TechTypeID]],$A247),":","__"),"")</f>
        <v/>
      </c>
    </row>
    <row r="248" spans="1:2" hidden="1" x14ac:dyDescent="0.3">
      <c r="A248" s="1">
        <v>480</v>
      </c>
      <c r="B248" t="str" cm="1">
        <f t="array" ref="B248">IFERROR(SUBSTITUTE(INDEX(TechType[[#All],[TechTypeID]],$A248),":","__"),"")</f>
        <v/>
      </c>
    </row>
    <row r="249" spans="1:2" hidden="1" x14ac:dyDescent="0.3">
      <c r="A249" s="1">
        <v>481</v>
      </c>
      <c r="B249" t="str" cm="1">
        <f t="array" ref="B249">IFERROR(SUBSTITUTE(INDEX(TechType[[#All],[TechTypeID]],$A249),":","__"),"")</f>
        <v/>
      </c>
    </row>
    <row r="250" spans="1:2" hidden="1" x14ac:dyDescent="0.3">
      <c r="A250" s="1">
        <v>482</v>
      </c>
      <c r="B250" t="str" cm="1">
        <f t="array" ref="B250">IFERROR(SUBSTITUTE(INDEX(TechType[[#All],[TechTypeID]],$A250),":","__"),"")</f>
        <v/>
      </c>
    </row>
    <row r="251" spans="1:2" hidden="1" x14ac:dyDescent="0.3">
      <c r="A251" s="1">
        <v>483</v>
      </c>
      <c r="B251" t="str" cm="1">
        <f t="array" ref="B251">IFERROR(SUBSTITUTE(INDEX(TechType[[#All],[TechTypeID]],$A251),":","__"),"")</f>
        <v/>
      </c>
    </row>
    <row r="252" spans="1:2" hidden="1" x14ac:dyDescent="0.3">
      <c r="A252" s="1">
        <v>484</v>
      </c>
      <c r="B252" t="str" cm="1">
        <f t="array" ref="B252">IFERROR(SUBSTITUTE(INDEX(TechType[[#All],[TechTypeID]],$A252),":","__"),"")</f>
        <v/>
      </c>
    </row>
    <row r="253" spans="1:2" hidden="1" x14ac:dyDescent="0.3">
      <c r="A253" s="1">
        <v>485</v>
      </c>
      <c r="B253" t="str" cm="1">
        <f t="array" ref="B253">IFERROR(SUBSTITUTE(INDEX(TechType[[#All],[TechTypeID]],$A253),":","__"),"")</f>
        <v/>
      </c>
    </row>
    <row r="254" spans="1:2" hidden="1" x14ac:dyDescent="0.3">
      <c r="A254" s="1">
        <v>486</v>
      </c>
      <c r="B254" t="str" cm="1">
        <f t="array" ref="B254">IFERROR(SUBSTITUTE(INDEX(TechType[[#All],[TechTypeID]],$A254),":","__"),"")</f>
        <v/>
      </c>
    </row>
    <row r="255" spans="1:2" hidden="1" x14ac:dyDescent="0.3">
      <c r="A255" s="1">
        <v>487</v>
      </c>
      <c r="B255" t="str" cm="1">
        <f t="array" ref="B255">IFERROR(SUBSTITUTE(INDEX(TechType[[#All],[TechTypeID]],$A255),":","__"),"")</f>
        <v/>
      </c>
    </row>
    <row r="256" spans="1:2" hidden="1" x14ac:dyDescent="0.3">
      <c r="A256" s="1">
        <v>488</v>
      </c>
      <c r="B256" t="str" cm="1">
        <f t="array" ref="B256">IFERROR(SUBSTITUTE(INDEX(TechType[[#All],[TechTypeID]],$A256),":","__"),"")</f>
        <v/>
      </c>
    </row>
    <row r="257" spans="1:2" hidden="1" x14ac:dyDescent="0.3">
      <c r="A257" s="1">
        <v>489</v>
      </c>
      <c r="B257" t="str" cm="1">
        <f t="array" ref="B257">IFERROR(SUBSTITUTE(INDEX(TechType[[#All],[TechTypeID]],$A257),":","__"),"")</f>
        <v/>
      </c>
    </row>
    <row r="258" spans="1:2" hidden="1" x14ac:dyDescent="0.3">
      <c r="A258" s="1">
        <v>490</v>
      </c>
      <c r="B258" t="str" cm="1">
        <f t="array" ref="B258">IFERROR(SUBSTITUTE(INDEX(TechType[[#All],[TechTypeID]],$A258),":","__"),"")</f>
        <v/>
      </c>
    </row>
    <row r="259" spans="1:2" hidden="1" x14ac:dyDescent="0.3">
      <c r="A259" s="1">
        <v>491</v>
      </c>
      <c r="B259" t="str" cm="1">
        <f t="array" ref="B259">IFERROR(SUBSTITUTE(INDEX(TechType[[#All],[TechTypeID]],$A259),":","__"),"")</f>
        <v/>
      </c>
    </row>
    <row r="260" spans="1:2" hidden="1" x14ac:dyDescent="0.3">
      <c r="A260" s="1">
        <v>492</v>
      </c>
      <c r="B260" t="str" cm="1">
        <f t="array" ref="B260">IFERROR(SUBSTITUTE(INDEX(TechType[[#All],[TechTypeID]],$A260),":","__"),"")</f>
        <v/>
      </c>
    </row>
    <row r="261" spans="1:2" hidden="1" x14ac:dyDescent="0.3">
      <c r="A261" s="1">
        <v>493</v>
      </c>
      <c r="B261" t="str" cm="1">
        <f t="array" ref="B261">IFERROR(SUBSTITUTE(INDEX(TechType[[#All],[TechTypeID]],$A261),":","__"),"")</f>
        <v/>
      </c>
    </row>
    <row r="262" spans="1:2" hidden="1" x14ac:dyDescent="0.3">
      <c r="A262" s="1">
        <v>494</v>
      </c>
      <c r="B262" t="str" cm="1">
        <f t="array" ref="B262">IFERROR(SUBSTITUTE(INDEX(TechType[[#All],[TechTypeID]],$A262),":","__"),"")</f>
        <v/>
      </c>
    </row>
    <row r="263" spans="1:2" hidden="1" x14ac:dyDescent="0.3">
      <c r="A263" s="1">
        <v>495</v>
      </c>
      <c r="B263" t="str" cm="1">
        <f t="array" ref="B263">IFERROR(SUBSTITUTE(INDEX(TechType[[#All],[TechTypeID]],$A263),":","__"),"")</f>
        <v/>
      </c>
    </row>
    <row r="264" spans="1:2" hidden="1" x14ac:dyDescent="0.3">
      <c r="A264" s="1">
        <v>496</v>
      </c>
      <c r="B264" t="str" cm="1">
        <f t="array" ref="B264">IFERROR(SUBSTITUTE(INDEX(TechType[[#All],[TechTypeID]],$A264),":","__"),"")</f>
        <v/>
      </c>
    </row>
    <row r="265" spans="1:2" hidden="1" x14ac:dyDescent="0.3">
      <c r="A265" s="1">
        <v>497</v>
      </c>
      <c r="B265" t="str" cm="1">
        <f t="array" ref="B265">IFERROR(SUBSTITUTE(INDEX(TechType[[#All],[TechTypeID]],$A265),":","__"),"")</f>
        <v/>
      </c>
    </row>
    <row r="266" spans="1:2" hidden="1" x14ac:dyDescent="0.3">
      <c r="A266" s="1">
        <v>498</v>
      </c>
      <c r="B266" t="str" cm="1">
        <f t="array" ref="B266">IFERROR(SUBSTITUTE(INDEX(TechType[[#All],[TechTypeID]],$A266),":","__"),"")</f>
        <v/>
      </c>
    </row>
    <row r="267" spans="1:2" hidden="1" x14ac:dyDescent="0.3">
      <c r="A267" s="1">
        <v>499</v>
      </c>
      <c r="B267" t="str" cm="1">
        <f t="array" ref="B267">IFERROR(SUBSTITUTE(INDEX(TechType[[#All],[TechTypeID]],$A267),":","__"),"")</f>
        <v/>
      </c>
    </row>
    <row r="268" spans="1:2" hidden="1" x14ac:dyDescent="0.3">
      <c r="A268" s="1">
        <v>500</v>
      </c>
      <c r="B268" t="str" cm="1">
        <f t="array" ref="B268">IFERROR(SUBSTITUTE(INDEX(TechType[[#All],[TechTypeID]],$A268),":","__"),"")</f>
        <v/>
      </c>
    </row>
    <row r="269" spans="1:2" hidden="1" x14ac:dyDescent="0.3">
      <c r="A269" s="1">
        <v>501</v>
      </c>
      <c r="B269" t="str" cm="1">
        <f t="array" ref="B269">IFERROR(SUBSTITUTE(INDEX(TechType[[#All],[TechTypeID]],$A269),":","__"),"")</f>
        <v/>
      </c>
    </row>
    <row r="270" spans="1:2" hidden="1" x14ac:dyDescent="0.3">
      <c r="A270" s="1">
        <v>502</v>
      </c>
      <c r="B270" t="str" cm="1">
        <f t="array" ref="B270">IFERROR(SUBSTITUTE(INDEX(TechType[[#All],[TechTypeID]],$A270),":","__"),"")</f>
        <v/>
      </c>
    </row>
    <row r="271" spans="1:2" hidden="1" x14ac:dyDescent="0.3">
      <c r="A271" s="1">
        <v>503</v>
      </c>
      <c r="B271" t="str" cm="1">
        <f t="array" ref="B271">IFERROR(SUBSTITUTE(INDEX(TechType[[#All],[TechTypeID]],$A271),":","__"),"")</f>
        <v/>
      </c>
    </row>
    <row r="272" spans="1:2" hidden="1" x14ac:dyDescent="0.3">
      <c r="A272" s="1">
        <v>504</v>
      </c>
      <c r="B272" t="str" cm="1">
        <f t="array" ref="B272">IFERROR(SUBSTITUTE(INDEX(TechType[[#All],[TechTypeID]],$A272),":","__"),"")</f>
        <v/>
      </c>
    </row>
    <row r="273" spans="1:2" hidden="1" x14ac:dyDescent="0.3">
      <c r="A273" s="1">
        <v>505</v>
      </c>
      <c r="B273" t="str" cm="1">
        <f t="array" ref="B273">IFERROR(SUBSTITUTE(INDEX(TechType[[#All],[TechTypeID]],$A273),":","__"),"")</f>
        <v/>
      </c>
    </row>
    <row r="274" spans="1:2" hidden="1" x14ac:dyDescent="0.3">
      <c r="A274" s="1">
        <v>506</v>
      </c>
      <c r="B274" t="str" cm="1">
        <f t="array" ref="B274">IFERROR(SUBSTITUTE(INDEX(TechType[[#All],[TechTypeID]],$A274),":","__"),"")</f>
        <v/>
      </c>
    </row>
    <row r="275" spans="1:2" hidden="1" x14ac:dyDescent="0.3">
      <c r="A275" s="1">
        <v>507</v>
      </c>
      <c r="B275" t="str" cm="1">
        <f t="array" ref="B275">IFERROR(SUBSTITUTE(INDEX(TechType[[#All],[TechTypeID]],$A275),":","__"),"")</f>
        <v/>
      </c>
    </row>
    <row r="276" spans="1:2" hidden="1" x14ac:dyDescent="0.3">
      <c r="A276" s="1">
        <v>508</v>
      </c>
      <c r="B276" t="str" cm="1">
        <f t="array" ref="B276">IFERROR(SUBSTITUTE(INDEX(TechType[[#All],[TechTypeID]],$A276),":","__"),"")</f>
        <v/>
      </c>
    </row>
    <row r="277" spans="1:2" hidden="1" x14ac:dyDescent="0.3">
      <c r="A277" s="1">
        <v>509</v>
      </c>
      <c r="B277" t="str" cm="1">
        <f t="array" ref="B277">IFERROR(SUBSTITUTE(INDEX(TechType[[#All],[TechTypeID]],$A277),":","__"),"")</f>
        <v/>
      </c>
    </row>
    <row r="278" spans="1:2" hidden="1" x14ac:dyDescent="0.3">
      <c r="A278" s="1">
        <v>510</v>
      </c>
      <c r="B278" t="str" cm="1">
        <f t="array" ref="B278">IFERROR(SUBSTITUTE(INDEX(TechType[[#All],[TechTypeID]],$A278),":","__"),"")</f>
        <v/>
      </c>
    </row>
    <row r="279" spans="1:2" hidden="1" x14ac:dyDescent="0.3">
      <c r="A279" s="1">
        <v>511</v>
      </c>
      <c r="B279" t="str" cm="1">
        <f t="array" ref="B279">IFERROR(SUBSTITUTE(INDEX(TechType[[#All],[TechTypeID]],$A279),":","__"),"")</f>
        <v/>
      </c>
    </row>
    <row r="280" spans="1:2" hidden="1" x14ac:dyDescent="0.3">
      <c r="A280" s="1">
        <v>512</v>
      </c>
      <c r="B280" t="str" cm="1">
        <f t="array" ref="B280">IFERROR(SUBSTITUTE(INDEX(TechType[[#All],[TechTypeID]],$A280),":","__"),"")</f>
        <v/>
      </c>
    </row>
    <row r="281" spans="1:2" hidden="1" x14ac:dyDescent="0.3">
      <c r="A281" s="1">
        <v>513</v>
      </c>
      <c r="B281" t="str" cm="1">
        <f t="array" ref="B281">IFERROR(SUBSTITUTE(INDEX(TechType[[#All],[TechTypeID]],$A281),":","__"),"")</f>
        <v/>
      </c>
    </row>
    <row r="282" spans="1:2" hidden="1" x14ac:dyDescent="0.3">
      <c r="A282" s="1">
        <v>514</v>
      </c>
      <c r="B282" t="str" cm="1">
        <f t="array" ref="B282">IFERROR(SUBSTITUTE(INDEX(TechType[[#All],[TechTypeID]],$A282),":","__"),"")</f>
        <v/>
      </c>
    </row>
    <row r="283" spans="1:2" hidden="1" x14ac:dyDescent="0.3">
      <c r="A283" s="1">
        <v>515</v>
      </c>
      <c r="B283" t="str" cm="1">
        <f t="array" ref="B283">IFERROR(SUBSTITUTE(INDEX(TechType[[#All],[TechTypeID]],$A283),":","__"),"")</f>
        <v/>
      </c>
    </row>
    <row r="284" spans="1:2" hidden="1" x14ac:dyDescent="0.3">
      <c r="A284" s="1">
        <v>516</v>
      </c>
      <c r="B284" t="str" cm="1">
        <f t="array" ref="B284">IFERROR(SUBSTITUTE(INDEX(TechType[[#All],[TechTypeID]],$A284),":","__"),"")</f>
        <v/>
      </c>
    </row>
    <row r="285" spans="1:2" hidden="1" x14ac:dyDescent="0.3">
      <c r="A285" s="1">
        <v>517</v>
      </c>
      <c r="B285" t="str" cm="1">
        <f t="array" ref="B285">IFERROR(SUBSTITUTE(INDEX(TechType[[#All],[TechTypeID]],$A285),":","__"),"")</f>
        <v/>
      </c>
    </row>
    <row r="286" spans="1:2" hidden="1" x14ac:dyDescent="0.3">
      <c r="A286" s="1">
        <v>518</v>
      </c>
      <c r="B286" t="str" cm="1">
        <f t="array" ref="B286">IFERROR(SUBSTITUTE(INDEX(TechType[[#All],[TechTypeID]],$A286),":","__"),"")</f>
        <v/>
      </c>
    </row>
    <row r="287" spans="1:2" hidden="1" x14ac:dyDescent="0.3">
      <c r="A287" s="1">
        <v>519</v>
      </c>
      <c r="B287" t="str" cm="1">
        <f t="array" ref="B287">IFERROR(SUBSTITUTE(INDEX(TechType[[#All],[TechTypeID]],$A287),":","__"),"")</f>
        <v/>
      </c>
    </row>
    <row r="288" spans="1:2" hidden="1" x14ac:dyDescent="0.3">
      <c r="A288" s="1">
        <v>520</v>
      </c>
      <c r="B288" t="str" cm="1">
        <f t="array" ref="B288">IFERROR(SUBSTITUTE(INDEX(TechType[[#All],[TechTypeID]],$A288),":","__"),"")</f>
        <v/>
      </c>
    </row>
    <row r="289" spans="1:2" hidden="1" x14ac:dyDescent="0.3">
      <c r="A289" s="1">
        <v>521</v>
      </c>
      <c r="B289" t="str" cm="1">
        <f t="array" ref="B289">IFERROR(SUBSTITUTE(INDEX(TechType[[#All],[TechTypeID]],$A289),":","__"),"")</f>
        <v/>
      </c>
    </row>
    <row r="290" spans="1:2" hidden="1" x14ac:dyDescent="0.3">
      <c r="A290" s="1">
        <v>522</v>
      </c>
      <c r="B290" t="str" cm="1">
        <f t="array" ref="B290">IFERROR(SUBSTITUTE(INDEX(TechType[[#All],[TechTypeID]],$A290),":","__"),"")</f>
        <v/>
      </c>
    </row>
    <row r="291" spans="1:2" hidden="1" x14ac:dyDescent="0.3">
      <c r="A291" s="1">
        <v>523</v>
      </c>
      <c r="B291" t="str" cm="1">
        <f t="array" ref="B291">IFERROR(SUBSTITUTE(INDEX(TechType[[#All],[TechTypeID]],$A291),":","__"),"")</f>
        <v/>
      </c>
    </row>
    <row r="292" spans="1:2" hidden="1" x14ac:dyDescent="0.3">
      <c r="A292" s="1">
        <v>524</v>
      </c>
      <c r="B292" t="str" cm="1">
        <f t="array" ref="B292">IFERROR(SUBSTITUTE(INDEX(TechType[[#All],[TechTypeID]],$A292),":","__"),"")</f>
        <v/>
      </c>
    </row>
    <row r="293" spans="1:2" hidden="1" x14ac:dyDescent="0.3">
      <c r="A293" s="1">
        <v>525</v>
      </c>
      <c r="B293" t="str" cm="1">
        <f t="array" ref="B293">IFERROR(SUBSTITUTE(INDEX(TechType[[#All],[TechTypeID]],$A293),":","__"),"")</f>
        <v/>
      </c>
    </row>
    <row r="294" spans="1:2" hidden="1" x14ac:dyDescent="0.3">
      <c r="A294" s="1">
        <v>526</v>
      </c>
      <c r="B294" t="str" cm="1">
        <f t="array" ref="B294">IFERROR(SUBSTITUTE(INDEX(TechType[[#All],[TechTypeID]],$A294),":","__"),"")</f>
        <v/>
      </c>
    </row>
    <row r="295" spans="1:2" hidden="1" x14ac:dyDescent="0.3">
      <c r="A295" s="1">
        <v>527</v>
      </c>
      <c r="B295" t="str" cm="1">
        <f t="array" ref="B295">IFERROR(SUBSTITUTE(INDEX(TechType[[#All],[TechTypeID]],$A295),":","__"),"")</f>
        <v/>
      </c>
    </row>
    <row r="296" spans="1:2" hidden="1" x14ac:dyDescent="0.3">
      <c r="A296" s="1">
        <v>528</v>
      </c>
      <c r="B296" t="str" cm="1">
        <f t="array" ref="B296">IFERROR(SUBSTITUTE(INDEX(TechType[[#All],[TechTypeID]],$A296),":","__"),"")</f>
        <v/>
      </c>
    </row>
    <row r="297" spans="1:2" hidden="1" x14ac:dyDescent="0.3">
      <c r="A297" s="1">
        <v>529</v>
      </c>
      <c r="B297" t="str" cm="1">
        <f t="array" ref="B297">IFERROR(SUBSTITUTE(INDEX(TechType[[#All],[TechTypeID]],$A297),":","__"),"")</f>
        <v/>
      </c>
    </row>
    <row r="298" spans="1:2" hidden="1" x14ac:dyDescent="0.3">
      <c r="A298" s="1">
        <v>530</v>
      </c>
      <c r="B298" t="str" cm="1">
        <f t="array" ref="B298">IFERROR(SUBSTITUTE(INDEX(TechType[[#All],[TechTypeID]],$A298),":","__"),"")</f>
        <v/>
      </c>
    </row>
    <row r="299" spans="1:2" hidden="1" x14ac:dyDescent="0.3">
      <c r="A299" s="1">
        <v>531</v>
      </c>
      <c r="B299" t="str" cm="1">
        <f t="array" ref="B299">IFERROR(SUBSTITUTE(INDEX(TechType[[#All],[TechTypeID]],$A299),":","__"),"")</f>
        <v/>
      </c>
    </row>
    <row r="300" spans="1:2" hidden="1" x14ac:dyDescent="0.3">
      <c r="A300" s="1">
        <v>532</v>
      </c>
      <c r="B300" t="str" cm="1">
        <f t="array" ref="B300">IFERROR(SUBSTITUTE(INDEX(TechType[[#All],[TechTypeID]],$A300),":","__"),"")</f>
        <v/>
      </c>
    </row>
    <row r="301" spans="1:2" hidden="1" x14ac:dyDescent="0.3">
      <c r="A301" s="1">
        <v>533</v>
      </c>
      <c r="B301" t="str" cm="1">
        <f t="array" ref="B301">IFERROR(SUBSTITUTE(INDEX(TechType[[#All],[TechTypeID]],$A301),":","__"),"")</f>
        <v/>
      </c>
    </row>
    <row r="302" spans="1:2" hidden="1" x14ac:dyDescent="0.3">
      <c r="A302" s="1">
        <v>534</v>
      </c>
      <c r="B302" t="str" cm="1">
        <f t="array" ref="B302">IFERROR(SUBSTITUTE(INDEX(TechType[[#All],[TechTypeID]],$A302),":","__"),"")</f>
        <v/>
      </c>
    </row>
    <row r="303" spans="1:2" hidden="1" x14ac:dyDescent="0.3">
      <c r="A303" s="1">
        <v>535</v>
      </c>
      <c r="B303" t="str" cm="1">
        <f t="array" ref="B303">IFERROR(SUBSTITUTE(INDEX(TechType[[#All],[TechTypeID]],$A303),":","__"),"")</f>
        <v/>
      </c>
    </row>
    <row r="304" spans="1:2" hidden="1" x14ac:dyDescent="0.3">
      <c r="A304" s="1">
        <v>536</v>
      </c>
      <c r="B304" t="str" cm="1">
        <f t="array" ref="B304">IFERROR(SUBSTITUTE(INDEX(TechType[[#All],[TechTypeID]],$A304),":","__"),"")</f>
        <v/>
      </c>
    </row>
    <row r="305" spans="1:2" hidden="1" x14ac:dyDescent="0.3">
      <c r="A305" s="1">
        <v>537</v>
      </c>
      <c r="B305" t="str" cm="1">
        <f t="array" ref="B305">IFERROR(SUBSTITUTE(INDEX(TechType[[#All],[TechTypeID]],$A305),":","__"),"")</f>
        <v/>
      </c>
    </row>
    <row r="306" spans="1:2" hidden="1" x14ac:dyDescent="0.3">
      <c r="A306" s="1">
        <v>538</v>
      </c>
      <c r="B306" t="str" cm="1">
        <f t="array" ref="B306">IFERROR(SUBSTITUTE(INDEX(TechType[[#All],[TechTypeID]],$A306),":","__"),"")</f>
        <v/>
      </c>
    </row>
    <row r="307" spans="1:2" hidden="1" x14ac:dyDescent="0.3">
      <c r="A307" s="1">
        <v>539</v>
      </c>
      <c r="B307" t="str" cm="1">
        <f t="array" ref="B307">IFERROR(SUBSTITUTE(INDEX(TechType[[#All],[TechTypeID]],$A307),":","__"),"")</f>
        <v/>
      </c>
    </row>
    <row r="308" spans="1:2" hidden="1" x14ac:dyDescent="0.3">
      <c r="A308" s="1">
        <v>540</v>
      </c>
      <c r="B308" t="str" cm="1">
        <f t="array" ref="B308">IFERROR(SUBSTITUTE(INDEX(TechType[[#All],[TechTypeID]],$A308),":","__"),"")</f>
        <v/>
      </c>
    </row>
    <row r="309" spans="1:2" hidden="1" x14ac:dyDescent="0.3">
      <c r="A309" s="1">
        <v>541</v>
      </c>
      <c r="B309" t="str" cm="1">
        <f t="array" ref="B309">IFERROR(SUBSTITUTE(INDEX(TechType[[#All],[TechTypeID]],$A309),":","__"),"")</f>
        <v/>
      </c>
    </row>
    <row r="310" spans="1:2" hidden="1" x14ac:dyDescent="0.3">
      <c r="A310" s="1">
        <v>542</v>
      </c>
      <c r="B310" t="str" cm="1">
        <f t="array" ref="B310">IFERROR(SUBSTITUTE(INDEX(TechType[[#All],[TechTypeID]],$A310),":","__"),"")</f>
        <v/>
      </c>
    </row>
    <row r="311" spans="1:2" hidden="1" x14ac:dyDescent="0.3">
      <c r="A311" s="1">
        <v>543</v>
      </c>
      <c r="B311" t="str" cm="1">
        <f t="array" ref="B311">IFERROR(SUBSTITUTE(INDEX(TechType[[#All],[TechTypeID]],$A311),":","__"),"")</f>
        <v/>
      </c>
    </row>
    <row r="312" spans="1:2" hidden="1" x14ac:dyDescent="0.3">
      <c r="A312" s="1">
        <v>544</v>
      </c>
      <c r="B312" t="str" cm="1">
        <f t="array" ref="B312">IFERROR(SUBSTITUTE(INDEX(TechType[[#All],[TechTypeID]],$A312),":","__"),"")</f>
        <v/>
      </c>
    </row>
    <row r="313" spans="1:2" hidden="1" x14ac:dyDescent="0.3">
      <c r="A313" s="1">
        <v>545</v>
      </c>
      <c r="B313" t="str" cm="1">
        <f t="array" ref="B313">IFERROR(SUBSTITUTE(INDEX(TechType[[#All],[TechTypeID]],$A313),":","__"),"")</f>
        <v/>
      </c>
    </row>
    <row r="314" spans="1:2" hidden="1" x14ac:dyDescent="0.3">
      <c r="A314" s="1">
        <v>546</v>
      </c>
      <c r="B314" t="str" cm="1">
        <f t="array" ref="B314">IFERROR(SUBSTITUTE(INDEX(TechType[[#All],[TechTypeID]],$A314),":","__"),"")</f>
        <v/>
      </c>
    </row>
    <row r="315" spans="1:2" hidden="1" x14ac:dyDescent="0.3">
      <c r="A315" s="1">
        <v>547</v>
      </c>
      <c r="B315" t="str" cm="1">
        <f t="array" ref="B315">IFERROR(SUBSTITUTE(INDEX(TechType[[#All],[TechTypeID]],$A315),":","__"),"")</f>
        <v/>
      </c>
    </row>
    <row r="316" spans="1:2" hidden="1" x14ac:dyDescent="0.3">
      <c r="A316" s="1">
        <v>548</v>
      </c>
      <c r="B316" t="str" cm="1">
        <f t="array" ref="B316">IFERROR(SUBSTITUTE(INDEX(TechType[[#All],[TechTypeID]],$A316),":","__"),"")</f>
        <v/>
      </c>
    </row>
    <row r="317" spans="1:2" hidden="1" x14ac:dyDescent="0.3">
      <c r="A317" s="1">
        <v>549</v>
      </c>
      <c r="B317" t="str" cm="1">
        <f t="array" ref="B317">IFERROR(SUBSTITUTE(INDEX(TechType[[#All],[TechTypeID]],$A317),":","__"),"")</f>
        <v/>
      </c>
    </row>
    <row r="318" spans="1:2" hidden="1" x14ac:dyDescent="0.3">
      <c r="A318" s="1">
        <v>550</v>
      </c>
      <c r="B318" t="str" cm="1">
        <f t="array" ref="B318">IFERROR(SUBSTITUTE(INDEX(TechType[[#All],[TechTypeID]],$A318),":","__"),"")</f>
        <v/>
      </c>
    </row>
    <row r="319" spans="1:2" hidden="1" x14ac:dyDescent="0.3">
      <c r="A319" s="1">
        <v>551</v>
      </c>
      <c r="B319" t="str" cm="1">
        <f t="array" ref="B319">IFERROR(SUBSTITUTE(INDEX(TechType[[#All],[TechTypeID]],$A319),":","__"),"")</f>
        <v/>
      </c>
    </row>
    <row r="320" spans="1:2" hidden="1" x14ac:dyDescent="0.3">
      <c r="A320" s="1">
        <v>552</v>
      </c>
      <c r="B320" t="str" cm="1">
        <f t="array" ref="B320">IFERROR(SUBSTITUTE(INDEX(TechType[[#All],[TechTypeID]],$A320),":","__"),"")</f>
        <v/>
      </c>
    </row>
    <row r="321" spans="1:2" hidden="1" x14ac:dyDescent="0.3">
      <c r="A321" s="1">
        <v>553</v>
      </c>
      <c r="B321" t="str" cm="1">
        <f t="array" ref="B321">IFERROR(SUBSTITUTE(INDEX(TechType[[#All],[TechTypeID]],$A321),":","__"),"")</f>
        <v/>
      </c>
    </row>
    <row r="322" spans="1:2" hidden="1" x14ac:dyDescent="0.3">
      <c r="A322" s="1">
        <v>554</v>
      </c>
      <c r="B322" t="str" cm="1">
        <f t="array" ref="B322">IFERROR(SUBSTITUTE(INDEX(TechType[[#All],[TechTypeID]],$A322),":","__"),"")</f>
        <v/>
      </c>
    </row>
    <row r="323" spans="1:2" hidden="1" x14ac:dyDescent="0.3">
      <c r="A323" s="1">
        <v>555</v>
      </c>
      <c r="B323" t="str" cm="1">
        <f t="array" ref="B323">IFERROR(SUBSTITUTE(INDEX(TechType[[#All],[TechTypeID]],$A323),":","__"),"")</f>
        <v/>
      </c>
    </row>
    <row r="324" spans="1:2" hidden="1" x14ac:dyDescent="0.3">
      <c r="A324" s="1">
        <v>556</v>
      </c>
      <c r="B324" t="str" cm="1">
        <f t="array" ref="B324">IFERROR(SUBSTITUTE(INDEX(TechType[[#All],[TechTypeID]],$A324),":","__"),"")</f>
        <v/>
      </c>
    </row>
    <row r="325" spans="1:2" hidden="1" x14ac:dyDescent="0.3">
      <c r="A325" s="1">
        <v>557</v>
      </c>
      <c r="B325" t="str" cm="1">
        <f t="array" ref="B325">IFERROR(SUBSTITUTE(INDEX(TechType[[#All],[TechTypeID]],$A325),":","__"),"")</f>
        <v/>
      </c>
    </row>
    <row r="326" spans="1:2" hidden="1" x14ac:dyDescent="0.3">
      <c r="A326" s="1">
        <v>558</v>
      </c>
      <c r="B326" t="str" cm="1">
        <f t="array" ref="B326">IFERROR(SUBSTITUTE(INDEX(TechType[[#All],[TechTypeID]],$A326),":","__"),"")</f>
        <v/>
      </c>
    </row>
    <row r="327" spans="1:2" hidden="1" x14ac:dyDescent="0.3">
      <c r="A327" s="1">
        <v>559</v>
      </c>
      <c r="B327" t="str" cm="1">
        <f t="array" ref="B327">IFERROR(SUBSTITUTE(INDEX(TechType[[#All],[TechTypeID]],$A327),":","__"),"")</f>
        <v/>
      </c>
    </row>
    <row r="328" spans="1:2" hidden="1" x14ac:dyDescent="0.3">
      <c r="A328" s="1">
        <v>560</v>
      </c>
      <c r="B328" t="str" cm="1">
        <f t="array" ref="B328">IFERROR(SUBSTITUTE(INDEX(TechType[[#All],[TechTypeID]],$A328),":","__"),"")</f>
        <v/>
      </c>
    </row>
    <row r="329" spans="1:2" hidden="1" x14ac:dyDescent="0.3">
      <c r="A329" s="1">
        <v>561</v>
      </c>
      <c r="B329" t="str" cm="1">
        <f t="array" ref="B329">IFERROR(SUBSTITUTE(INDEX(TechType[[#All],[TechTypeID]],$A329),":","__"),"")</f>
        <v/>
      </c>
    </row>
    <row r="330" spans="1:2" hidden="1" x14ac:dyDescent="0.3">
      <c r="A330" s="1">
        <v>562</v>
      </c>
      <c r="B330" t="str" cm="1">
        <f t="array" ref="B330">IFERROR(SUBSTITUTE(INDEX(TechType[[#All],[TechTypeID]],$A330),":","__"),"")</f>
        <v/>
      </c>
    </row>
    <row r="331" spans="1:2" hidden="1" x14ac:dyDescent="0.3">
      <c r="A331" s="1">
        <v>563</v>
      </c>
      <c r="B331" t="str" cm="1">
        <f t="array" ref="B331">IFERROR(SUBSTITUTE(INDEX(TechType[[#All],[TechTypeID]],$A331),":","__"),"")</f>
        <v/>
      </c>
    </row>
    <row r="332" spans="1:2" hidden="1" x14ac:dyDescent="0.3">
      <c r="A332" s="1">
        <v>564</v>
      </c>
      <c r="B332" t="str" cm="1">
        <f t="array" ref="B332">IFERROR(SUBSTITUTE(INDEX(TechType[[#All],[TechTypeID]],$A332),":","__"),"")</f>
        <v/>
      </c>
    </row>
    <row r="333" spans="1:2" hidden="1" x14ac:dyDescent="0.3">
      <c r="A333" s="1">
        <v>565</v>
      </c>
      <c r="B333" t="str" cm="1">
        <f t="array" ref="B333">IFERROR(SUBSTITUTE(INDEX(TechType[[#All],[TechTypeID]],$A333),":","__"),"")</f>
        <v/>
      </c>
    </row>
    <row r="334" spans="1:2" hidden="1" x14ac:dyDescent="0.3">
      <c r="A334" s="1">
        <v>566</v>
      </c>
      <c r="B334" t="str" cm="1">
        <f t="array" ref="B334">IFERROR(SUBSTITUTE(INDEX(TechType[[#All],[TechTypeID]],$A334),":","__"),"")</f>
        <v/>
      </c>
    </row>
    <row r="335" spans="1:2" hidden="1" x14ac:dyDescent="0.3">
      <c r="A335" s="1">
        <v>567</v>
      </c>
      <c r="B335" t="str" cm="1">
        <f t="array" ref="B335">IFERROR(SUBSTITUTE(INDEX(TechType[[#All],[TechTypeID]],$A335),":","__"),"")</f>
        <v/>
      </c>
    </row>
    <row r="336" spans="1:2" hidden="1" x14ac:dyDescent="0.3">
      <c r="A336" s="1">
        <v>568</v>
      </c>
      <c r="B336" t="str" cm="1">
        <f t="array" ref="B336">IFERROR(SUBSTITUTE(INDEX(TechType[[#All],[TechTypeID]],$A336),":","__"),"")</f>
        <v/>
      </c>
    </row>
    <row r="337" spans="1:2" hidden="1" x14ac:dyDescent="0.3">
      <c r="A337" s="1">
        <v>569</v>
      </c>
      <c r="B337" t="str" cm="1">
        <f t="array" ref="B337">IFERROR(SUBSTITUTE(INDEX(TechType[[#All],[TechTypeID]],$A337),":","__"),"")</f>
        <v/>
      </c>
    </row>
    <row r="338" spans="1:2" hidden="1" x14ac:dyDescent="0.3">
      <c r="A338" s="1">
        <v>570</v>
      </c>
      <c r="B338" t="str" cm="1">
        <f t="array" ref="B338">IFERROR(SUBSTITUTE(INDEX(TechType[[#All],[TechTypeID]],$A338),":","__"),"")</f>
        <v/>
      </c>
    </row>
    <row r="339" spans="1:2" hidden="1" x14ac:dyDescent="0.3">
      <c r="A339" s="1">
        <v>571</v>
      </c>
      <c r="B339" t="str" cm="1">
        <f t="array" ref="B339">IFERROR(SUBSTITUTE(INDEX(TechType[[#All],[TechTypeID]],$A339),":","__"),"")</f>
        <v/>
      </c>
    </row>
    <row r="340" spans="1:2" hidden="1" x14ac:dyDescent="0.3">
      <c r="A340" s="1">
        <v>572</v>
      </c>
      <c r="B340" t="str" cm="1">
        <f t="array" ref="B340">IFERROR(SUBSTITUTE(INDEX(TechType[[#All],[TechTypeID]],$A340),":","__"),"")</f>
        <v/>
      </c>
    </row>
    <row r="341" spans="1:2" hidden="1" x14ac:dyDescent="0.3">
      <c r="A341" s="1">
        <v>573</v>
      </c>
      <c r="B341" t="str" cm="1">
        <f t="array" ref="B341">IFERROR(SUBSTITUTE(INDEX(TechType[[#All],[TechTypeID]],$A341),":","__"),"")</f>
        <v/>
      </c>
    </row>
    <row r="342" spans="1:2" hidden="1" x14ac:dyDescent="0.3">
      <c r="A342" s="1">
        <v>574</v>
      </c>
      <c r="B342" t="str" cm="1">
        <f t="array" ref="B342">IFERROR(SUBSTITUTE(INDEX(TechType[[#All],[TechTypeID]],$A342),":","__"),"")</f>
        <v/>
      </c>
    </row>
    <row r="343" spans="1:2" hidden="1" x14ac:dyDescent="0.3">
      <c r="A343" s="1">
        <v>575</v>
      </c>
      <c r="B343" t="str" cm="1">
        <f t="array" ref="B343">IFERROR(SUBSTITUTE(INDEX(TechType[[#All],[TechTypeID]],$A343),":","__"),"")</f>
        <v/>
      </c>
    </row>
    <row r="344" spans="1:2" hidden="1" x14ac:dyDescent="0.3">
      <c r="A344" s="1">
        <v>576</v>
      </c>
      <c r="B344" t="str" cm="1">
        <f t="array" ref="B344">IFERROR(SUBSTITUTE(INDEX(TechType[[#All],[TechTypeID]],$A344),":","__"),"")</f>
        <v/>
      </c>
    </row>
    <row r="345" spans="1:2" hidden="1" x14ac:dyDescent="0.3">
      <c r="A345" s="1">
        <v>577</v>
      </c>
      <c r="B345" t="str" cm="1">
        <f t="array" ref="B345">IFERROR(SUBSTITUTE(INDEX(TechType[[#All],[TechTypeID]],$A345),":","__"),"")</f>
        <v/>
      </c>
    </row>
    <row r="346" spans="1:2" hidden="1" x14ac:dyDescent="0.3">
      <c r="A346" s="1">
        <v>578</v>
      </c>
      <c r="B346" t="str" cm="1">
        <f t="array" ref="B346">IFERROR(SUBSTITUTE(INDEX(TechType[[#All],[TechTypeID]],$A346),":","__"),"")</f>
        <v/>
      </c>
    </row>
    <row r="347" spans="1:2" hidden="1" x14ac:dyDescent="0.3">
      <c r="A347" s="1">
        <v>579</v>
      </c>
      <c r="B347" t="str" cm="1">
        <f t="array" ref="B347">IFERROR(SUBSTITUTE(INDEX(TechType[[#All],[TechTypeID]],$A347),":","__"),"")</f>
        <v/>
      </c>
    </row>
    <row r="348" spans="1:2" hidden="1" x14ac:dyDescent="0.3">
      <c r="A348" s="1">
        <v>580</v>
      </c>
      <c r="B348" t="str" cm="1">
        <f t="array" ref="B348">IFERROR(SUBSTITUTE(INDEX(TechType[[#All],[TechTypeID]],$A348),":","__"),"")</f>
        <v/>
      </c>
    </row>
    <row r="349" spans="1:2" hidden="1" x14ac:dyDescent="0.3">
      <c r="A349" s="1">
        <v>581</v>
      </c>
      <c r="B349" t="str" cm="1">
        <f t="array" ref="B349">IFERROR(SUBSTITUTE(INDEX(TechType[[#All],[TechTypeID]],$A349),":","__"),"")</f>
        <v/>
      </c>
    </row>
    <row r="350" spans="1:2" hidden="1" x14ac:dyDescent="0.3">
      <c r="A350" s="1">
        <v>582</v>
      </c>
      <c r="B350" t="str" cm="1">
        <f t="array" ref="B350">IFERROR(SUBSTITUTE(INDEX(TechType[[#All],[TechTypeID]],$A350),":","__"),"")</f>
        <v/>
      </c>
    </row>
    <row r="351" spans="1:2" hidden="1" x14ac:dyDescent="0.3">
      <c r="A351" s="1">
        <v>583</v>
      </c>
      <c r="B351" t="str" cm="1">
        <f t="array" ref="B351">IFERROR(SUBSTITUTE(INDEX(TechType[[#All],[TechTypeID]],$A351),":","__"),"")</f>
        <v/>
      </c>
    </row>
    <row r="352" spans="1:2" hidden="1" x14ac:dyDescent="0.3">
      <c r="A352" s="1">
        <v>584</v>
      </c>
      <c r="B352" t="str" cm="1">
        <f t="array" ref="B352">IFERROR(SUBSTITUTE(INDEX(TechType[[#All],[TechTypeID]],$A352),":","__"),"")</f>
        <v/>
      </c>
    </row>
    <row r="353" spans="1:2" hidden="1" x14ac:dyDescent="0.3">
      <c r="A353" s="1">
        <v>585</v>
      </c>
      <c r="B353" t="str" cm="1">
        <f t="array" ref="B353">IFERROR(SUBSTITUTE(INDEX(TechType[[#All],[TechTypeID]],$A353),":","__"),"")</f>
        <v/>
      </c>
    </row>
    <row r="354" spans="1:2" hidden="1" x14ac:dyDescent="0.3">
      <c r="A354" s="1">
        <v>586</v>
      </c>
      <c r="B354" t="str" cm="1">
        <f t="array" ref="B354">IFERROR(SUBSTITUTE(INDEX(TechType[[#All],[TechTypeID]],$A354),":","__"),"")</f>
        <v/>
      </c>
    </row>
    <row r="355" spans="1:2" hidden="1" x14ac:dyDescent="0.3">
      <c r="A355" s="1">
        <v>587</v>
      </c>
      <c r="B355" t="str" cm="1">
        <f t="array" ref="B355">IFERROR(SUBSTITUTE(INDEX(TechType[[#All],[TechTypeID]],$A355),":","__"),"")</f>
        <v/>
      </c>
    </row>
    <row r="356" spans="1:2" hidden="1" x14ac:dyDescent="0.3">
      <c r="A356" s="1">
        <v>588</v>
      </c>
      <c r="B356" t="str" cm="1">
        <f t="array" ref="B356">IFERROR(SUBSTITUTE(INDEX(TechType[[#All],[TechTypeID]],$A356),":","__"),"")</f>
        <v/>
      </c>
    </row>
    <row r="357" spans="1:2" hidden="1" x14ac:dyDescent="0.3">
      <c r="A357" s="1">
        <v>589</v>
      </c>
      <c r="B357" t="str" cm="1">
        <f t="array" ref="B357">IFERROR(SUBSTITUTE(INDEX(TechType[[#All],[TechTypeID]],$A357),":","__"),"")</f>
        <v/>
      </c>
    </row>
    <row r="358" spans="1:2" hidden="1" x14ac:dyDescent="0.3">
      <c r="A358" s="1">
        <v>590</v>
      </c>
      <c r="B358" t="str" cm="1">
        <f t="array" ref="B358">IFERROR(SUBSTITUTE(INDEX(TechType[[#All],[TechTypeID]],$A358),":","__"),"")</f>
        <v/>
      </c>
    </row>
    <row r="359" spans="1:2" hidden="1" x14ac:dyDescent="0.3">
      <c r="A359" s="1">
        <v>591</v>
      </c>
      <c r="B359" t="str" cm="1">
        <f t="array" ref="B359">IFERROR(SUBSTITUTE(INDEX(TechType[[#All],[TechTypeID]],$A359),":","__"),"")</f>
        <v/>
      </c>
    </row>
    <row r="360" spans="1:2" hidden="1" x14ac:dyDescent="0.3">
      <c r="A360" s="1">
        <v>592</v>
      </c>
      <c r="B360" t="str" cm="1">
        <f t="array" ref="B360">IFERROR(SUBSTITUTE(INDEX(TechType[[#All],[TechTypeID]],$A360),":","__"),"")</f>
        <v/>
      </c>
    </row>
    <row r="361" spans="1:2" hidden="1" x14ac:dyDescent="0.3">
      <c r="A361" s="1">
        <v>593</v>
      </c>
      <c r="B361" t="str" cm="1">
        <f t="array" ref="B361">IFERROR(SUBSTITUTE(INDEX(TechType[[#All],[TechTypeID]],$A361),":","__"),"")</f>
        <v/>
      </c>
    </row>
    <row r="362" spans="1:2" hidden="1" x14ac:dyDescent="0.3">
      <c r="A362" s="1">
        <v>594</v>
      </c>
      <c r="B362" t="str" cm="1">
        <f t="array" ref="B362">IFERROR(SUBSTITUTE(INDEX(TechType[[#All],[TechTypeID]],$A362),":","__"),"")</f>
        <v/>
      </c>
    </row>
    <row r="363" spans="1:2" hidden="1" x14ac:dyDescent="0.3">
      <c r="A363" s="1">
        <v>595</v>
      </c>
      <c r="B363" t="str" cm="1">
        <f t="array" ref="B363">IFERROR(SUBSTITUTE(INDEX(TechType[[#All],[TechTypeID]],$A363),":","__"),"")</f>
        <v/>
      </c>
    </row>
    <row r="364" spans="1:2" hidden="1" x14ac:dyDescent="0.3">
      <c r="A364" s="1">
        <v>596</v>
      </c>
      <c r="B364" t="str" cm="1">
        <f t="array" ref="B364">IFERROR(SUBSTITUTE(INDEX(TechType[[#All],[TechTypeID]],$A364),":","__"),"")</f>
        <v/>
      </c>
    </row>
    <row r="365" spans="1:2" hidden="1" x14ac:dyDescent="0.3">
      <c r="A365" s="1">
        <v>597</v>
      </c>
      <c r="B365" t="str" cm="1">
        <f t="array" ref="B365">IFERROR(SUBSTITUTE(INDEX(TechType[[#All],[TechTypeID]],$A365),":","__"),"")</f>
        <v/>
      </c>
    </row>
    <row r="366" spans="1:2" hidden="1" x14ac:dyDescent="0.3">
      <c r="A366" s="1">
        <v>598</v>
      </c>
      <c r="B366" t="str" cm="1">
        <f t="array" ref="B366">IFERROR(SUBSTITUTE(INDEX(TechType[[#All],[TechTypeID]],$A366),":","__"),"")</f>
        <v/>
      </c>
    </row>
    <row r="367" spans="1:2" hidden="1" x14ac:dyDescent="0.3">
      <c r="A367" s="1">
        <v>599</v>
      </c>
      <c r="B367" t="str" cm="1">
        <f t="array" ref="B367">IFERROR(SUBSTITUTE(INDEX(TechType[[#All],[TechTypeID]],$A367),":","__"),"")</f>
        <v/>
      </c>
    </row>
    <row r="368" spans="1:2" hidden="1" x14ac:dyDescent="0.3">
      <c r="A368" s="1">
        <v>600</v>
      </c>
      <c r="B368" t="str" cm="1">
        <f t="array" ref="B368">IFERROR(SUBSTITUTE(INDEX(TechType[[#All],[TechTypeID]],$A368),":","__"),"")</f>
        <v/>
      </c>
    </row>
    <row r="369" spans="1:2" hidden="1" x14ac:dyDescent="0.3">
      <c r="A369" s="1">
        <v>601</v>
      </c>
      <c r="B369" t="str" cm="1">
        <f t="array" ref="B369">IFERROR(SUBSTITUTE(INDEX(TechType[[#All],[TechTypeID]],$A369),":","__"),"")</f>
        <v/>
      </c>
    </row>
    <row r="370" spans="1:2" hidden="1" x14ac:dyDescent="0.3">
      <c r="A370" s="1">
        <v>602</v>
      </c>
      <c r="B370" t="str" cm="1">
        <f t="array" ref="B370">IFERROR(SUBSTITUTE(INDEX(TechType[[#All],[TechTypeID]],$A370),":","__"),"")</f>
        <v/>
      </c>
    </row>
    <row r="371" spans="1:2" hidden="1" x14ac:dyDescent="0.3">
      <c r="A371" s="1">
        <v>603</v>
      </c>
      <c r="B371" t="str" cm="1">
        <f t="array" ref="B371">IFERROR(SUBSTITUTE(INDEX(TechType[[#All],[TechTypeID]],$A371),":","__"),"")</f>
        <v/>
      </c>
    </row>
    <row r="372" spans="1:2" hidden="1" x14ac:dyDescent="0.3">
      <c r="A372" s="1">
        <v>604</v>
      </c>
      <c r="B372" t="str" cm="1">
        <f t="array" ref="B372">IFERROR(SUBSTITUTE(INDEX(TechType[[#All],[TechTypeID]],$A372),":","__"),"")</f>
        <v/>
      </c>
    </row>
    <row r="373" spans="1:2" hidden="1" x14ac:dyDescent="0.3">
      <c r="A373" s="1">
        <v>605</v>
      </c>
      <c r="B373" t="str" cm="1">
        <f t="array" ref="B373">IFERROR(SUBSTITUTE(INDEX(TechType[[#All],[TechTypeID]],$A373),":","__"),"")</f>
        <v/>
      </c>
    </row>
    <row r="374" spans="1:2" hidden="1" x14ac:dyDescent="0.3">
      <c r="A374" s="1">
        <v>606</v>
      </c>
      <c r="B374" t="str" cm="1">
        <f t="array" ref="B374">IFERROR(SUBSTITUTE(INDEX(TechType[[#All],[TechTypeID]],$A374),":","__"),"")</f>
        <v/>
      </c>
    </row>
    <row r="375" spans="1:2" hidden="1" x14ac:dyDescent="0.3">
      <c r="A375" s="1">
        <v>607</v>
      </c>
      <c r="B375" t="str" cm="1">
        <f t="array" ref="B375">IFERROR(SUBSTITUTE(INDEX(TechType[[#All],[TechTypeID]],$A375),":","__"),"")</f>
        <v/>
      </c>
    </row>
    <row r="376" spans="1:2" hidden="1" x14ac:dyDescent="0.3">
      <c r="A376" s="1">
        <v>608</v>
      </c>
      <c r="B376" t="str" cm="1">
        <f t="array" ref="B376">IFERROR(SUBSTITUTE(INDEX(TechType[[#All],[TechTypeID]],$A376),":","__"),"")</f>
        <v/>
      </c>
    </row>
    <row r="377" spans="1:2" hidden="1" x14ac:dyDescent="0.3">
      <c r="A377" s="1">
        <v>609</v>
      </c>
      <c r="B377" t="str" cm="1">
        <f t="array" ref="B377">IFERROR(SUBSTITUTE(INDEX(TechType[[#All],[TechTypeID]],$A377),":","__"),"")</f>
        <v/>
      </c>
    </row>
    <row r="378" spans="1:2" hidden="1" x14ac:dyDescent="0.3">
      <c r="A378" s="1">
        <v>610</v>
      </c>
      <c r="B378" t="str" cm="1">
        <f t="array" ref="B378">IFERROR(SUBSTITUTE(INDEX(TechType[[#All],[TechTypeID]],$A378),":","__"),"")</f>
        <v/>
      </c>
    </row>
    <row r="379" spans="1:2" hidden="1" x14ac:dyDescent="0.3">
      <c r="A379" s="1">
        <v>611</v>
      </c>
      <c r="B379" t="str" cm="1">
        <f t="array" ref="B379">IFERROR(SUBSTITUTE(INDEX(TechType[[#All],[TechTypeID]],$A379),":","__"),"")</f>
        <v/>
      </c>
    </row>
    <row r="380" spans="1:2" hidden="1" x14ac:dyDescent="0.3">
      <c r="A380" s="1">
        <v>612</v>
      </c>
      <c r="B380" t="str" cm="1">
        <f t="array" ref="B380">IFERROR(SUBSTITUTE(INDEX(TechType[[#All],[TechTypeID]],$A380),":","__"),"")</f>
        <v/>
      </c>
    </row>
    <row r="381" spans="1:2" hidden="1" x14ac:dyDescent="0.3">
      <c r="A381" s="1">
        <v>613</v>
      </c>
      <c r="B381" t="str" cm="1">
        <f t="array" ref="B381">IFERROR(SUBSTITUTE(INDEX(TechType[[#All],[TechTypeID]],$A381),":","__"),"")</f>
        <v/>
      </c>
    </row>
    <row r="382" spans="1:2" hidden="1" x14ac:dyDescent="0.3">
      <c r="A382" s="1">
        <v>614</v>
      </c>
      <c r="B382" t="str" cm="1">
        <f t="array" ref="B382">IFERROR(SUBSTITUTE(INDEX(TechType[[#All],[TechTypeID]],$A382),":","__"),"")</f>
        <v/>
      </c>
    </row>
    <row r="383" spans="1:2" hidden="1" x14ac:dyDescent="0.3">
      <c r="A383" s="1">
        <v>615</v>
      </c>
      <c r="B383" t="str" cm="1">
        <f t="array" ref="B383">IFERROR(SUBSTITUTE(INDEX(TechType[[#All],[TechTypeID]],$A383),":","__"),"")</f>
        <v/>
      </c>
    </row>
    <row r="384" spans="1:2" hidden="1" x14ac:dyDescent="0.3">
      <c r="A384" s="1">
        <v>616</v>
      </c>
      <c r="B384" t="str" cm="1">
        <f t="array" ref="B384">IFERROR(SUBSTITUTE(INDEX(TechType[[#All],[TechTypeID]],$A384),":","__"),"")</f>
        <v/>
      </c>
    </row>
    <row r="385" spans="1:2" hidden="1" x14ac:dyDescent="0.3">
      <c r="A385" s="1">
        <v>617</v>
      </c>
      <c r="B385" t="str" cm="1">
        <f t="array" ref="B385">IFERROR(SUBSTITUTE(INDEX(TechType[[#All],[TechTypeID]],$A385),":","__"),"")</f>
        <v/>
      </c>
    </row>
    <row r="386" spans="1:2" hidden="1" x14ac:dyDescent="0.3">
      <c r="A386" s="1">
        <v>618</v>
      </c>
      <c r="B386" t="str" cm="1">
        <f t="array" ref="B386">IFERROR(SUBSTITUTE(INDEX(TechType[[#All],[TechTypeID]],$A386),":","__"),"")</f>
        <v/>
      </c>
    </row>
    <row r="387" spans="1:2" hidden="1" x14ac:dyDescent="0.3">
      <c r="A387" s="1">
        <v>619</v>
      </c>
      <c r="B387" t="str" cm="1">
        <f t="array" ref="B387">IFERROR(SUBSTITUTE(INDEX(TechType[[#All],[TechTypeID]],$A387),":","__"),"")</f>
        <v/>
      </c>
    </row>
    <row r="388" spans="1:2" hidden="1" x14ac:dyDescent="0.3">
      <c r="A388" s="1">
        <v>620</v>
      </c>
      <c r="B388" t="str" cm="1">
        <f t="array" ref="B388">IFERROR(SUBSTITUTE(INDEX(TechType[[#All],[TechTypeID]],$A388),":","__"),"")</f>
        <v/>
      </c>
    </row>
    <row r="389" spans="1:2" hidden="1" x14ac:dyDescent="0.3">
      <c r="A389" s="1">
        <v>621</v>
      </c>
      <c r="B389" t="str" cm="1">
        <f t="array" ref="B389">IFERROR(SUBSTITUTE(INDEX(TechType[[#All],[TechTypeID]],$A389),":","__"),"")</f>
        <v/>
      </c>
    </row>
    <row r="390" spans="1:2" hidden="1" x14ac:dyDescent="0.3">
      <c r="A390" s="1">
        <v>622</v>
      </c>
      <c r="B390" t="str" cm="1">
        <f t="array" ref="B390">IFERROR(SUBSTITUTE(INDEX(TechType[[#All],[TechTypeID]],$A390),":","__"),"")</f>
        <v/>
      </c>
    </row>
    <row r="391" spans="1:2" hidden="1" x14ac:dyDescent="0.3">
      <c r="A391" s="1">
        <v>623</v>
      </c>
      <c r="B391" t="str" cm="1">
        <f t="array" ref="B391">IFERROR(SUBSTITUTE(INDEX(TechType[[#All],[TechTypeID]],$A391),":","__"),"")</f>
        <v/>
      </c>
    </row>
    <row r="392" spans="1:2" hidden="1" x14ac:dyDescent="0.3">
      <c r="A392" s="1">
        <v>624</v>
      </c>
      <c r="B392" t="str" cm="1">
        <f t="array" ref="B392">IFERROR(SUBSTITUTE(INDEX(TechType[[#All],[TechTypeID]],$A392),":","__"),"")</f>
        <v/>
      </c>
    </row>
    <row r="393" spans="1:2" hidden="1" x14ac:dyDescent="0.3">
      <c r="A393" s="1">
        <v>625</v>
      </c>
      <c r="B393" t="str" cm="1">
        <f t="array" ref="B393">IFERROR(SUBSTITUTE(INDEX(TechType[[#All],[TechTypeID]],$A393),":","__"),"")</f>
        <v/>
      </c>
    </row>
    <row r="394" spans="1:2" hidden="1" x14ac:dyDescent="0.3">
      <c r="A394" s="1">
        <v>626</v>
      </c>
      <c r="B394" t="str" cm="1">
        <f t="array" ref="B394">IFERROR(SUBSTITUTE(INDEX(TechType[[#All],[TechTypeID]],$A394),":","__"),"")</f>
        <v/>
      </c>
    </row>
    <row r="395" spans="1:2" hidden="1" x14ac:dyDescent="0.3">
      <c r="A395" s="1">
        <v>627</v>
      </c>
      <c r="B395" t="str" cm="1">
        <f t="array" ref="B395">IFERROR(SUBSTITUTE(INDEX(TechType[[#All],[TechTypeID]],$A395),":","__"),"")</f>
        <v/>
      </c>
    </row>
    <row r="396" spans="1:2" hidden="1" x14ac:dyDescent="0.3">
      <c r="A396" s="1">
        <v>628</v>
      </c>
      <c r="B396" t="str" cm="1">
        <f t="array" ref="B396">IFERROR(SUBSTITUTE(INDEX(TechType[[#All],[TechTypeID]],$A396),":","__"),"")</f>
        <v/>
      </c>
    </row>
    <row r="397" spans="1:2" hidden="1" x14ac:dyDescent="0.3">
      <c r="A397" s="1">
        <v>629</v>
      </c>
      <c r="B397" t="str" cm="1">
        <f t="array" ref="B397">IFERROR(SUBSTITUTE(INDEX(TechType[[#All],[TechTypeID]],$A397),":","__"),"")</f>
        <v/>
      </c>
    </row>
    <row r="398" spans="1:2" hidden="1" x14ac:dyDescent="0.3">
      <c r="A398" s="1">
        <v>630</v>
      </c>
      <c r="B398" t="str" cm="1">
        <f t="array" ref="B398">IFERROR(SUBSTITUTE(INDEX(TechType[[#All],[TechTypeID]],$A398),":","__"),"")</f>
        <v/>
      </c>
    </row>
    <row r="399" spans="1:2" hidden="1" x14ac:dyDescent="0.3">
      <c r="A399" s="1">
        <v>631</v>
      </c>
      <c r="B399" t="str" cm="1">
        <f t="array" ref="B399">IFERROR(SUBSTITUTE(INDEX(TechType[[#All],[TechTypeID]],$A399),":","__"),"")</f>
        <v/>
      </c>
    </row>
    <row r="400" spans="1:2" hidden="1" x14ac:dyDescent="0.3">
      <c r="A400" s="1">
        <v>632</v>
      </c>
      <c r="B400" t="str" cm="1">
        <f t="array" ref="B400">IFERROR(SUBSTITUTE(INDEX(TechType[[#All],[TechTypeID]],$A400),":","__"),"")</f>
        <v/>
      </c>
    </row>
    <row r="401" spans="1:2" hidden="1" x14ac:dyDescent="0.3">
      <c r="A401" s="1">
        <v>633</v>
      </c>
      <c r="B401" t="str" cm="1">
        <f t="array" ref="B401">IFERROR(SUBSTITUTE(INDEX(TechType[[#All],[TechTypeID]],$A401),":","__"),"")</f>
        <v/>
      </c>
    </row>
    <row r="402" spans="1:2" hidden="1" x14ac:dyDescent="0.3">
      <c r="A402" s="1">
        <v>634</v>
      </c>
      <c r="B402" t="str" cm="1">
        <f t="array" ref="B402">IFERROR(SUBSTITUTE(INDEX(TechType[[#All],[TechTypeID]],$A402),":","__"),"")</f>
        <v/>
      </c>
    </row>
    <row r="403" spans="1:2" hidden="1" x14ac:dyDescent="0.3">
      <c r="A403" s="1">
        <v>635</v>
      </c>
      <c r="B403" t="str" cm="1">
        <f t="array" ref="B403">IFERROR(SUBSTITUTE(INDEX(TechType[[#All],[TechTypeID]],$A403),":","__"),"")</f>
        <v/>
      </c>
    </row>
    <row r="404" spans="1:2" hidden="1" x14ac:dyDescent="0.3">
      <c r="A404" s="1">
        <v>636</v>
      </c>
      <c r="B404" t="str" cm="1">
        <f t="array" ref="B404">IFERROR(SUBSTITUTE(INDEX(TechType[[#All],[TechTypeID]],$A404),":","__"),"")</f>
        <v/>
      </c>
    </row>
    <row r="405" spans="1:2" hidden="1" x14ac:dyDescent="0.3">
      <c r="A405" s="1">
        <v>637</v>
      </c>
      <c r="B405" t="str" cm="1">
        <f t="array" ref="B405">IFERROR(SUBSTITUTE(INDEX(TechType[[#All],[TechTypeID]],$A405),":","__"),"")</f>
        <v/>
      </c>
    </row>
    <row r="406" spans="1:2" hidden="1" x14ac:dyDescent="0.3">
      <c r="A406" s="1">
        <v>638</v>
      </c>
      <c r="B406" t="str" cm="1">
        <f t="array" ref="B406">IFERROR(SUBSTITUTE(INDEX(TechType[[#All],[TechTypeID]],$A406),":","__"),"")</f>
        <v/>
      </c>
    </row>
    <row r="407" spans="1:2" hidden="1" x14ac:dyDescent="0.3">
      <c r="A407" s="1">
        <v>639</v>
      </c>
      <c r="B407" t="str" cm="1">
        <f t="array" ref="B407">IFERROR(SUBSTITUTE(INDEX(TechType[[#All],[TechTypeID]],$A407),":","__"),"")</f>
        <v/>
      </c>
    </row>
    <row r="408" spans="1:2" hidden="1" x14ac:dyDescent="0.3">
      <c r="A408" s="1">
        <v>640</v>
      </c>
      <c r="B408" t="str" cm="1">
        <f t="array" ref="B408">IFERROR(SUBSTITUTE(INDEX(TechType[[#All],[TechTypeID]],$A408),":","__"),"")</f>
        <v/>
      </c>
    </row>
    <row r="409" spans="1:2" hidden="1" x14ac:dyDescent="0.3">
      <c r="A409" s="1">
        <v>641</v>
      </c>
      <c r="B409" t="str" cm="1">
        <f t="array" ref="B409">IFERROR(SUBSTITUTE(INDEX(TechType[[#All],[TechTypeID]],$A409),":","__"),"")</f>
        <v/>
      </c>
    </row>
    <row r="410" spans="1:2" hidden="1" x14ac:dyDescent="0.3">
      <c r="A410" s="1">
        <v>642</v>
      </c>
      <c r="B410" t="str" cm="1">
        <f t="array" ref="B410">IFERROR(SUBSTITUTE(INDEX(TechType[[#All],[TechTypeID]],$A410),":","__"),"")</f>
        <v/>
      </c>
    </row>
    <row r="411" spans="1:2" hidden="1" x14ac:dyDescent="0.3">
      <c r="A411" s="1">
        <v>643</v>
      </c>
      <c r="B411" t="str" cm="1">
        <f t="array" ref="B411">IFERROR(SUBSTITUTE(INDEX(TechType[[#All],[TechTypeID]],$A411),":","__"),"")</f>
        <v/>
      </c>
    </row>
    <row r="412" spans="1:2" hidden="1" x14ac:dyDescent="0.3">
      <c r="A412" s="1">
        <v>644</v>
      </c>
      <c r="B412" t="str" cm="1">
        <f t="array" ref="B412">IFERROR(SUBSTITUTE(INDEX(TechType[[#All],[TechTypeID]],$A412),":","__"),"")</f>
        <v/>
      </c>
    </row>
    <row r="413" spans="1:2" hidden="1" x14ac:dyDescent="0.3">
      <c r="A413" s="1">
        <v>645</v>
      </c>
      <c r="B413" t="str" cm="1">
        <f t="array" ref="B413">IFERROR(SUBSTITUTE(INDEX(TechType[[#All],[TechTypeID]],$A413),":","__"),"")</f>
        <v/>
      </c>
    </row>
    <row r="414" spans="1:2" hidden="1" x14ac:dyDescent="0.3">
      <c r="A414" s="1">
        <v>646</v>
      </c>
      <c r="B414" t="str" cm="1">
        <f t="array" ref="B414">IFERROR(SUBSTITUTE(INDEX(TechType[[#All],[TechTypeID]],$A414),":","__"),"")</f>
        <v/>
      </c>
    </row>
    <row r="415" spans="1:2" hidden="1" x14ac:dyDescent="0.3">
      <c r="A415" s="1">
        <v>647</v>
      </c>
      <c r="B415" t="str" cm="1">
        <f t="array" ref="B415">IFERROR(SUBSTITUTE(INDEX(TechType[[#All],[TechTypeID]],$A415),":","__"),"")</f>
        <v/>
      </c>
    </row>
    <row r="416" spans="1:2" hidden="1" x14ac:dyDescent="0.3">
      <c r="A416" s="1">
        <v>648</v>
      </c>
      <c r="B416" t="str" cm="1">
        <f t="array" ref="B416">IFERROR(SUBSTITUTE(INDEX(TechType[[#All],[TechTypeID]],$A416),":","__"),"")</f>
        <v/>
      </c>
    </row>
    <row r="417" spans="1:2" hidden="1" x14ac:dyDescent="0.3">
      <c r="A417" s="1">
        <v>649</v>
      </c>
      <c r="B417" t="str" cm="1">
        <f t="array" ref="B417">IFERROR(SUBSTITUTE(INDEX(TechType[[#All],[TechTypeID]],$A417),":","__"),"")</f>
        <v/>
      </c>
    </row>
    <row r="418" spans="1:2" hidden="1" x14ac:dyDescent="0.3">
      <c r="A418" s="1">
        <v>650</v>
      </c>
      <c r="B418" t="str" cm="1">
        <f t="array" ref="B418">IFERROR(SUBSTITUTE(INDEX(TechType[[#All],[TechTypeID]],$A418),":","__"),"")</f>
        <v/>
      </c>
    </row>
    <row r="419" spans="1:2" hidden="1" x14ac:dyDescent="0.3">
      <c r="A419" s="1">
        <v>651</v>
      </c>
      <c r="B419" t="str" cm="1">
        <f t="array" ref="B419">IFERROR(SUBSTITUTE(INDEX(TechType[[#All],[TechTypeID]],$A419),":","__"),"")</f>
        <v/>
      </c>
    </row>
    <row r="420" spans="1:2" hidden="1" x14ac:dyDescent="0.3">
      <c r="A420" s="1">
        <v>652</v>
      </c>
      <c r="B420" t="str" cm="1">
        <f t="array" ref="B420">IFERROR(SUBSTITUTE(INDEX(TechType[[#All],[TechTypeID]],$A420),":","__"),"")</f>
        <v/>
      </c>
    </row>
    <row r="421" spans="1:2" hidden="1" x14ac:dyDescent="0.3">
      <c r="A421" s="1">
        <v>653</v>
      </c>
      <c r="B421" t="str" cm="1">
        <f t="array" ref="B421">IFERROR(SUBSTITUTE(INDEX(TechType[[#All],[TechTypeID]],$A421),":","__"),"")</f>
        <v/>
      </c>
    </row>
    <row r="422" spans="1:2" hidden="1" x14ac:dyDescent="0.3">
      <c r="A422" s="1">
        <v>654</v>
      </c>
      <c r="B422" t="str" cm="1">
        <f t="array" ref="B422">IFERROR(SUBSTITUTE(INDEX(TechType[[#All],[TechTypeID]],$A422),":","__"),"")</f>
        <v/>
      </c>
    </row>
    <row r="423" spans="1:2" hidden="1" x14ac:dyDescent="0.3">
      <c r="A423" s="1">
        <v>655</v>
      </c>
      <c r="B423" t="str" cm="1">
        <f t="array" ref="B423">IFERROR(SUBSTITUTE(INDEX(TechType[[#All],[TechTypeID]],$A423),":","__"),"")</f>
        <v/>
      </c>
    </row>
    <row r="424" spans="1:2" hidden="1" x14ac:dyDescent="0.3">
      <c r="A424" s="1">
        <v>656</v>
      </c>
      <c r="B424" t="str" cm="1">
        <f t="array" ref="B424">IFERROR(SUBSTITUTE(INDEX(TechType[[#All],[TechTypeID]],$A424),":","__"),"")</f>
        <v/>
      </c>
    </row>
    <row r="425" spans="1:2" hidden="1" x14ac:dyDescent="0.3">
      <c r="A425" s="1">
        <v>657</v>
      </c>
      <c r="B425" t="str" cm="1">
        <f t="array" ref="B425">IFERROR(SUBSTITUTE(INDEX(TechType[[#All],[TechTypeID]],$A425),":","__"),"")</f>
        <v/>
      </c>
    </row>
    <row r="426" spans="1:2" hidden="1" x14ac:dyDescent="0.3">
      <c r="A426" s="1">
        <v>658</v>
      </c>
      <c r="B426" t="str" cm="1">
        <f t="array" ref="B426">IFERROR(SUBSTITUTE(INDEX(TechType[[#All],[TechTypeID]],$A426),":","__"),"")</f>
        <v/>
      </c>
    </row>
    <row r="427" spans="1:2" hidden="1" x14ac:dyDescent="0.3">
      <c r="A427" s="1">
        <v>659</v>
      </c>
      <c r="B427" t="str" cm="1">
        <f t="array" ref="B427">IFERROR(SUBSTITUTE(INDEX(TechType[[#All],[TechTypeID]],$A427),":","__"),"")</f>
        <v/>
      </c>
    </row>
    <row r="428" spans="1:2" hidden="1" x14ac:dyDescent="0.3">
      <c r="A428" s="1">
        <v>660</v>
      </c>
      <c r="B428" t="str" cm="1">
        <f t="array" ref="B428">IFERROR(SUBSTITUTE(INDEX(TechType[[#All],[TechTypeID]],$A428),":","__"),"")</f>
        <v/>
      </c>
    </row>
    <row r="429" spans="1:2" hidden="1" x14ac:dyDescent="0.3">
      <c r="A429" s="1">
        <v>661</v>
      </c>
      <c r="B429" t="str" cm="1">
        <f t="array" ref="B429">IFERROR(SUBSTITUTE(INDEX(TechType[[#All],[TechTypeID]],$A429),":","__"),"")</f>
        <v/>
      </c>
    </row>
    <row r="430" spans="1:2" hidden="1" x14ac:dyDescent="0.3">
      <c r="A430" s="1">
        <v>662</v>
      </c>
      <c r="B430" t="str" cm="1">
        <f t="array" ref="B430">IFERROR(SUBSTITUTE(INDEX(TechType[[#All],[TechTypeID]],$A430),":","__"),"")</f>
        <v/>
      </c>
    </row>
    <row r="431" spans="1:2" hidden="1" x14ac:dyDescent="0.3">
      <c r="A431" s="1">
        <v>663</v>
      </c>
      <c r="B431" t="str" cm="1">
        <f t="array" ref="B431">IFERROR(SUBSTITUTE(INDEX(TechType[[#All],[TechTypeID]],$A431),":","__"),"")</f>
        <v/>
      </c>
    </row>
    <row r="432" spans="1:2" hidden="1" x14ac:dyDescent="0.3">
      <c r="A432" s="1">
        <v>664</v>
      </c>
      <c r="B432" t="str" cm="1">
        <f t="array" ref="B432">IFERROR(SUBSTITUTE(INDEX(TechType[[#All],[TechTypeID]],$A432),":","__"),"")</f>
        <v/>
      </c>
    </row>
    <row r="433" spans="1:2" hidden="1" x14ac:dyDescent="0.3">
      <c r="A433" s="1">
        <v>665</v>
      </c>
      <c r="B433" t="str" cm="1">
        <f t="array" ref="B433">IFERROR(SUBSTITUTE(INDEX(TechType[[#All],[TechTypeID]],$A433),":","__"),"")</f>
        <v/>
      </c>
    </row>
    <row r="434" spans="1:2" hidden="1" x14ac:dyDescent="0.3">
      <c r="A434" s="1">
        <v>666</v>
      </c>
      <c r="B434" t="str" cm="1">
        <f t="array" ref="B434">IFERROR(SUBSTITUTE(INDEX(TechType[[#All],[TechTypeID]],$A434),":","__"),"")</f>
        <v/>
      </c>
    </row>
    <row r="435" spans="1:2" hidden="1" x14ac:dyDescent="0.3">
      <c r="A435" s="1">
        <v>667</v>
      </c>
      <c r="B435" t="str" cm="1">
        <f t="array" ref="B435">IFERROR(SUBSTITUTE(INDEX(TechType[[#All],[TechTypeID]],$A435),":","__"),"")</f>
        <v/>
      </c>
    </row>
    <row r="436" spans="1:2" hidden="1" x14ac:dyDescent="0.3">
      <c r="A436" s="1">
        <v>668</v>
      </c>
      <c r="B436" t="str" cm="1">
        <f t="array" ref="B436">IFERROR(SUBSTITUTE(INDEX(TechType[[#All],[TechTypeID]],$A436),":","__"),"")</f>
        <v/>
      </c>
    </row>
    <row r="437" spans="1:2" hidden="1" x14ac:dyDescent="0.3">
      <c r="A437" s="1">
        <v>669</v>
      </c>
      <c r="B437" t="str" cm="1">
        <f t="array" ref="B437">IFERROR(SUBSTITUTE(INDEX(TechType[[#All],[TechTypeID]],$A437),":","__"),"")</f>
        <v/>
      </c>
    </row>
    <row r="438" spans="1:2" hidden="1" x14ac:dyDescent="0.3">
      <c r="A438" s="1">
        <v>670</v>
      </c>
      <c r="B438" t="str" cm="1">
        <f t="array" ref="B438">IFERROR(SUBSTITUTE(INDEX(TechType[[#All],[TechTypeID]],$A438),":","__"),"")</f>
        <v/>
      </c>
    </row>
    <row r="439" spans="1:2" hidden="1" x14ac:dyDescent="0.3">
      <c r="A439" s="1">
        <v>671</v>
      </c>
      <c r="B439" t="str" cm="1">
        <f t="array" ref="B439">IFERROR(SUBSTITUTE(INDEX(TechType[[#All],[TechTypeID]],$A439),":","__"),"")</f>
        <v/>
      </c>
    </row>
    <row r="440" spans="1:2" hidden="1" x14ac:dyDescent="0.3">
      <c r="A440" s="1">
        <v>672</v>
      </c>
      <c r="B440" t="str" cm="1">
        <f t="array" ref="B440">IFERROR(SUBSTITUTE(INDEX(TechType[[#All],[TechTypeID]],$A440),":","__"),"")</f>
        <v/>
      </c>
    </row>
    <row r="441" spans="1:2" hidden="1" x14ac:dyDescent="0.3">
      <c r="A441" s="1">
        <v>673</v>
      </c>
      <c r="B441" t="str" cm="1">
        <f t="array" ref="B441">IFERROR(SUBSTITUTE(INDEX(TechType[[#All],[TechTypeID]],$A441),":","__"),"")</f>
        <v/>
      </c>
    </row>
    <row r="442" spans="1:2" hidden="1" x14ac:dyDescent="0.3">
      <c r="A442" s="1">
        <v>674</v>
      </c>
      <c r="B442" t="str" cm="1">
        <f t="array" ref="B442">IFERROR(SUBSTITUTE(INDEX(TechType[[#All],[TechTypeID]],$A442),":","__"),"")</f>
        <v/>
      </c>
    </row>
    <row r="443" spans="1:2" hidden="1" x14ac:dyDescent="0.3">
      <c r="A443" s="1">
        <v>675</v>
      </c>
      <c r="B443" t="str" cm="1">
        <f t="array" ref="B443">IFERROR(SUBSTITUTE(INDEX(TechType[[#All],[TechTypeID]],$A443),":","__"),"")</f>
        <v/>
      </c>
    </row>
    <row r="444" spans="1:2" hidden="1" x14ac:dyDescent="0.3">
      <c r="A444" s="1">
        <v>676</v>
      </c>
      <c r="B444" t="str" cm="1">
        <f t="array" ref="B444">IFERROR(SUBSTITUTE(INDEX(TechType[[#All],[TechTypeID]],$A444),":","__"),"")</f>
        <v/>
      </c>
    </row>
    <row r="445" spans="1:2" hidden="1" x14ac:dyDescent="0.3">
      <c r="A445" s="1">
        <v>677</v>
      </c>
      <c r="B445" t="str" cm="1">
        <f t="array" ref="B445">IFERROR(SUBSTITUTE(INDEX(TechType[[#All],[TechTypeID]],$A445),":","__"),"")</f>
        <v/>
      </c>
    </row>
    <row r="446" spans="1:2" hidden="1" x14ac:dyDescent="0.3">
      <c r="A446" s="1">
        <v>678</v>
      </c>
      <c r="B446" t="str" cm="1">
        <f t="array" ref="B446">IFERROR(SUBSTITUTE(INDEX(TechType[[#All],[TechTypeID]],$A446),":","__"),"")</f>
        <v/>
      </c>
    </row>
    <row r="447" spans="1:2" hidden="1" x14ac:dyDescent="0.3">
      <c r="A447" s="1">
        <v>679</v>
      </c>
      <c r="B447" t="str" cm="1">
        <f t="array" ref="B447">IFERROR(SUBSTITUTE(INDEX(TechType[[#All],[TechTypeID]],$A447),":","__"),"")</f>
        <v/>
      </c>
    </row>
    <row r="448" spans="1:2" hidden="1" x14ac:dyDescent="0.3">
      <c r="A448" s="1">
        <v>680</v>
      </c>
      <c r="B448" t="str" cm="1">
        <f t="array" ref="B448">IFERROR(SUBSTITUTE(INDEX(TechType[[#All],[TechTypeID]],$A448),":","__"),"")</f>
        <v/>
      </c>
    </row>
    <row r="449" spans="1:2" hidden="1" x14ac:dyDescent="0.3">
      <c r="A449" s="1">
        <v>681</v>
      </c>
      <c r="B449" t="str" cm="1">
        <f t="array" ref="B449">IFERROR(SUBSTITUTE(INDEX(TechType[[#All],[TechTypeID]],$A449),":","__"),"")</f>
        <v/>
      </c>
    </row>
    <row r="450" spans="1:2" hidden="1" x14ac:dyDescent="0.3">
      <c r="A450" s="1">
        <v>682</v>
      </c>
      <c r="B450" t="str" cm="1">
        <f t="array" ref="B450">IFERROR(SUBSTITUTE(INDEX(TechType[[#All],[TechTypeID]],$A450),":","__"),"")</f>
        <v/>
      </c>
    </row>
    <row r="451" spans="1:2" hidden="1" x14ac:dyDescent="0.3">
      <c r="A451" s="1">
        <v>683</v>
      </c>
      <c r="B451" t="str" cm="1">
        <f t="array" ref="B451">IFERROR(SUBSTITUTE(INDEX(TechType[[#All],[TechTypeID]],$A451),":","__"),"")</f>
        <v/>
      </c>
    </row>
    <row r="452" spans="1:2" hidden="1" x14ac:dyDescent="0.3">
      <c r="A452" s="1">
        <v>684</v>
      </c>
      <c r="B452" t="str" cm="1">
        <f t="array" ref="B452">IFERROR(SUBSTITUTE(INDEX(TechType[[#All],[TechTypeID]],$A452),":","__"),"")</f>
        <v/>
      </c>
    </row>
    <row r="453" spans="1:2" hidden="1" x14ac:dyDescent="0.3">
      <c r="A453" s="1">
        <v>685</v>
      </c>
      <c r="B453" t="str" cm="1">
        <f t="array" ref="B453">IFERROR(SUBSTITUTE(INDEX(TechType[[#All],[TechTypeID]],$A453),":","__"),"")</f>
        <v/>
      </c>
    </row>
    <row r="454" spans="1:2" hidden="1" x14ac:dyDescent="0.3">
      <c r="A454" s="1">
        <v>686</v>
      </c>
      <c r="B454" t="str" cm="1">
        <f t="array" ref="B454">IFERROR(SUBSTITUTE(INDEX(TechType[[#All],[TechTypeID]],$A454),":","__"),"")</f>
        <v/>
      </c>
    </row>
    <row r="455" spans="1:2" hidden="1" x14ac:dyDescent="0.3">
      <c r="A455" s="1">
        <v>687</v>
      </c>
      <c r="B455" t="str" cm="1">
        <f t="array" ref="B455">IFERROR(SUBSTITUTE(INDEX(TechType[[#All],[TechTypeID]],$A455),":","__"),"")</f>
        <v/>
      </c>
    </row>
    <row r="456" spans="1:2" hidden="1" x14ac:dyDescent="0.3">
      <c r="A456" s="1">
        <v>688</v>
      </c>
      <c r="B456" t="str" cm="1">
        <f t="array" ref="B456">IFERROR(SUBSTITUTE(INDEX(TechType[[#All],[TechTypeID]],$A456),":","__"),"")</f>
        <v/>
      </c>
    </row>
    <row r="457" spans="1:2" hidden="1" x14ac:dyDescent="0.3">
      <c r="A457" s="1">
        <v>689</v>
      </c>
      <c r="B457" t="str" cm="1">
        <f t="array" ref="B457">IFERROR(SUBSTITUTE(INDEX(TechType[[#All],[TechTypeID]],$A457),":","__"),"")</f>
        <v/>
      </c>
    </row>
    <row r="458" spans="1:2" hidden="1" x14ac:dyDescent="0.3">
      <c r="A458" s="1">
        <v>690</v>
      </c>
      <c r="B458" t="str" cm="1">
        <f t="array" ref="B458">IFERROR(SUBSTITUTE(INDEX(TechType[[#All],[TechTypeID]],$A458),":","__"),"")</f>
        <v/>
      </c>
    </row>
    <row r="459" spans="1:2" hidden="1" x14ac:dyDescent="0.3">
      <c r="A459" s="1">
        <v>691</v>
      </c>
      <c r="B459" t="str" cm="1">
        <f t="array" ref="B459">IFERROR(SUBSTITUTE(INDEX(TechType[[#All],[TechTypeID]],$A459),":","__"),"")</f>
        <v/>
      </c>
    </row>
    <row r="460" spans="1:2" hidden="1" x14ac:dyDescent="0.3">
      <c r="A460" s="1">
        <v>692</v>
      </c>
      <c r="B460" t="str" cm="1">
        <f t="array" ref="B460">IFERROR(SUBSTITUTE(INDEX(TechType[[#All],[TechTypeID]],$A460),":","__"),"")</f>
        <v/>
      </c>
    </row>
    <row r="461" spans="1:2" hidden="1" x14ac:dyDescent="0.3">
      <c r="A461" s="1">
        <v>693</v>
      </c>
      <c r="B461" t="str" cm="1">
        <f t="array" ref="B461">IFERROR(SUBSTITUTE(INDEX(TechType[[#All],[TechTypeID]],$A461),":","__"),"")</f>
        <v/>
      </c>
    </row>
    <row r="462" spans="1:2" hidden="1" x14ac:dyDescent="0.3">
      <c r="A462" s="1">
        <v>694</v>
      </c>
      <c r="B462" t="str" cm="1">
        <f t="array" ref="B462">IFERROR(SUBSTITUTE(INDEX(TechType[[#All],[TechTypeID]],$A462),":","__"),"")</f>
        <v/>
      </c>
    </row>
    <row r="463" spans="1:2" hidden="1" x14ac:dyDescent="0.3">
      <c r="A463" s="1">
        <v>695</v>
      </c>
      <c r="B463" t="str" cm="1">
        <f t="array" ref="B463">IFERROR(SUBSTITUTE(INDEX(TechType[[#All],[TechTypeID]],$A463),":","__"),"")</f>
        <v/>
      </c>
    </row>
    <row r="464" spans="1:2" hidden="1" x14ac:dyDescent="0.3">
      <c r="A464" s="1">
        <v>696</v>
      </c>
      <c r="B464" t="str" cm="1">
        <f t="array" ref="B464">IFERROR(SUBSTITUTE(INDEX(TechType[[#All],[TechTypeID]],$A464),":","__"),"")</f>
        <v/>
      </c>
    </row>
    <row r="465" spans="1:2" hidden="1" x14ac:dyDescent="0.3">
      <c r="A465" s="1">
        <v>697</v>
      </c>
      <c r="B465" t="str" cm="1">
        <f t="array" ref="B465">IFERROR(SUBSTITUTE(INDEX(TechType[[#All],[TechTypeID]],$A465),":","__"),"")</f>
        <v/>
      </c>
    </row>
    <row r="466" spans="1:2" hidden="1" x14ac:dyDescent="0.3">
      <c r="A466" s="1">
        <v>698</v>
      </c>
      <c r="B466" t="str" cm="1">
        <f t="array" ref="B466">IFERROR(SUBSTITUTE(INDEX(TechType[[#All],[TechTypeID]],$A466),":","__"),"")</f>
        <v/>
      </c>
    </row>
    <row r="467" spans="1:2" hidden="1" x14ac:dyDescent="0.3">
      <c r="A467" s="1">
        <v>699</v>
      </c>
      <c r="B467" t="str" cm="1">
        <f t="array" ref="B467">IFERROR(SUBSTITUTE(INDEX(TechType[[#All],[TechTypeID]],$A467),":","__"),"")</f>
        <v/>
      </c>
    </row>
    <row r="468" spans="1:2" hidden="1" x14ac:dyDescent="0.3">
      <c r="A468" s="1">
        <v>700</v>
      </c>
      <c r="B468" t="str" cm="1">
        <f t="array" ref="B468">IFERROR(SUBSTITUTE(INDEX(TechType[[#All],[TechTypeID]],$A468),":","__"),"")</f>
        <v/>
      </c>
    </row>
    <row r="469" spans="1:2" hidden="1" x14ac:dyDescent="0.3">
      <c r="A469" s="1">
        <v>701</v>
      </c>
      <c r="B469" t="str" cm="1">
        <f t="array" ref="B469">IFERROR(SUBSTITUTE(INDEX(TechType[[#All],[TechTypeID]],$A469),":","__"),"")</f>
        <v/>
      </c>
    </row>
    <row r="470" spans="1:2" hidden="1" x14ac:dyDescent="0.3">
      <c r="A470" s="1">
        <v>702</v>
      </c>
      <c r="B470" t="str" cm="1">
        <f t="array" ref="B470">IFERROR(SUBSTITUTE(INDEX(TechType[[#All],[TechTypeID]],$A470),":","__"),"")</f>
        <v/>
      </c>
    </row>
    <row r="471" spans="1:2" hidden="1" x14ac:dyDescent="0.3">
      <c r="A471" s="1">
        <v>703</v>
      </c>
      <c r="B471" t="str" cm="1">
        <f t="array" ref="B471">IFERROR(SUBSTITUTE(INDEX(TechType[[#All],[TechTypeID]],$A471),":","__"),"")</f>
        <v/>
      </c>
    </row>
    <row r="472" spans="1:2" hidden="1" x14ac:dyDescent="0.3">
      <c r="A472" s="1">
        <v>704</v>
      </c>
      <c r="B472" t="str" cm="1">
        <f t="array" ref="B472">IFERROR(SUBSTITUTE(INDEX(TechType[[#All],[TechTypeID]],$A472),":","__"),"")</f>
        <v/>
      </c>
    </row>
    <row r="473" spans="1:2" hidden="1" x14ac:dyDescent="0.3">
      <c r="A473" s="1">
        <v>705</v>
      </c>
      <c r="B473" t="str" cm="1">
        <f t="array" ref="B473">IFERROR(SUBSTITUTE(INDEX(TechType[[#All],[TechTypeID]],$A473),":","__"),"")</f>
        <v/>
      </c>
    </row>
    <row r="474" spans="1:2" hidden="1" x14ac:dyDescent="0.3">
      <c r="A474" s="1">
        <v>706</v>
      </c>
      <c r="B474" t="str" cm="1">
        <f t="array" ref="B474">IFERROR(SUBSTITUTE(INDEX(TechType[[#All],[TechTypeID]],$A474),":","__"),"")</f>
        <v/>
      </c>
    </row>
    <row r="475" spans="1:2" hidden="1" x14ac:dyDescent="0.3">
      <c r="A475" s="1">
        <v>707</v>
      </c>
      <c r="B475" t="str" cm="1">
        <f t="array" ref="B475">IFERROR(SUBSTITUTE(INDEX(TechType[[#All],[TechTypeID]],$A475),":","__"),"")</f>
        <v/>
      </c>
    </row>
    <row r="476" spans="1:2" hidden="1" x14ac:dyDescent="0.3">
      <c r="A476" s="1">
        <v>708</v>
      </c>
      <c r="B476" t="str" cm="1">
        <f t="array" ref="B476">IFERROR(SUBSTITUTE(INDEX(TechType[[#All],[TechTypeID]],$A476),":","__"),"")</f>
        <v/>
      </c>
    </row>
    <row r="477" spans="1:2" hidden="1" x14ac:dyDescent="0.3">
      <c r="A477" s="1">
        <v>709</v>
      </c>
      <c r="B477" t="str" cm="1">
        <f t="array" ref="B477">IFERROR(SUBSTITUTE(INDEX(TechType[[#All],[TechTypeID]],$A477),":","__"),"")</f>
        <v/>
      </c>
    </row>
    <row r="478" spans="1:2" hidden="1" x14ac:dyDescent="0.3">
      <c r="A478" s="1">
        <v>710</v>
      </c>
      <c r="B478" t="str" cm="1">
        <f t="array" ref="B478">IFERROR(SUBSTITUTE(INDEX(TechType[[#All],[TechTypeID]],$A478),":","__"),"")</f>
        <v/>
      </c>
    </row>
    <row r="479" spans="1:2" hidden="1" x14ac:dyDescent="0.3">
      <c r="A479" s="1">
        <v>711</v>
      </c>
      <c r="B479" t="str" cm="1">
        <f t="array" ref="B479">IFERROR(SUBSTITUTE(INDEX(TechType[[#All],[TechTypeID]],$A479),":","__"),"")</f>
        <v/>
      </c>
    </row>
    <row r="480" spans="1:2" hidden="1" x14ac:dyDescent="0.3">
      <c r="A480" s="1">
        <v>712</v>
      </c>
      <c r="B480" t="str" cm="1">
        <f t="array" ref="B480">IFERROR(SUBSTITUTE(INDEX(TechType[[#All],[TechTypeID]],$A480),":","__"),"")</f>
        <v/>
      </c>
    </row>
    <row r="481" spans="1:2" hidden="1" x14ac:dyDescent="0.3">
      <c r="A481" s="1">
        <v>713</v>
      </c>
      <c r="B481" t="str" cm="1">
        <f t="array" ref="B481">IFERROR(SUBSTITUTE(INDEX(TechType[[#All],[TechTypeID]],$A481),":","__"),"")</f>
        <v/>
      </c>
    </row>
    <row r="482" spans="1:2" hidden="1" x14ac:dyDescent="0.3">
      <c r="A482" s="1">
        <v>714</v>
      </c>
      <c r="B482" t="str" cm="1">
        <f t="array" ref="B482">IFERROR(SUBSTITUTE(INDEX(TechType[[#All],[TechTypeID]],$A482),":","__"),"")</f>
        <v/>
      </c>
    </row>
    <row r="483" spans="1:2" hidden="1" x14ac:dyDescent="0.3">
      <c r="A483" s="1">
        <v>715</v>
      </c>
      <c r="B483" t="str" cm="1">
        <f t="array" ref="B483">IFERROR(SUBSTITUTE(INDEX(TechType[[#All],[TechTypeID]],$A483),":","__"),"")</f>
        <v/>
      </c>
    </row>
    <row r="484" spans="1:2" hidden="1" x14ac:dyDescent="0.3">
      <c r="A484" s="1">
        <v>716</v>
      </c>
      <c r="B484" t="str" cm="1">
        <f t="array" ref="B484">IFERROR(SUBSTITUTE(INDEX(TechType[[#All],[TechTypeID]],$A484),":","__"),"")</f>
        <v/>
      </c>
    </row>
    <row r="485" spans="1:2" hidden="1" x14ac:dyDescent="0.3">
      <c r="A485" s="1">
        <v>717</v>
      </c>
      <c r="B485" t="str" cm="1">
        <f t="array" ref="B485">IFERROR(SUBSTITUTE(INDEX(TechType[[#All],[TechTypeID]],$A485),":","__"),"")</f>
        <v/>
      </c>
    </row>
    <row r="486" spans="1:2" hidden="1" x14ac:dyDescent="0.3">
      <c r="A486" s="1">
        <v>718</v>
      </c>
      <c r="B486" t="str" cm="1">
        <f t="array" ref="B486">IFERROR(SUBSTITUTE(INDEX(TechType[[#All],[TechTypeID]],$A486),":","__"),"")</f>
        <v/>
      </c>
    </row>
    <row r="487" spans="1:2" hidden="1" x14ac:dyDescent="0.3">
      <c r="A487" s="1">
        <v>719</v>
      </c>
      <c r="B487" t="str" cm="1">
        <f t="array" ref="B487">IFERROR(SUBSTITUTE(INDEX(TechType[[#All],[TechTypeID]],$A487),":","__"),"")</f>
        <v/>
      </c>
    </row>
    <row r="488" spans="1:2" hidden="1" x14ac:dyDescent="0.3">
      <c r="A488" s="1">
        <v>720</v>
      </c>
      <c r="B488" t="str" cm="1">
        <f t="array" ref="B488">IFERROR(SUBSTITUTE(INDEX(TechType[[#All],[TechTypeID]],$A488),":","__"),"")</f>
        <v/>
      </c>
    </row>
    <row r="489" spans="1:2" hidden="1" x14ac:dyDescent="0.3">
      <c r="A489" s="1">
        <v>721</v>
      </c>
      <c r="B489" t="str" cm="1">
        <f t="array" ref="B489">IFERROR(SUBSTITUTE(INDEX(TechType[[#All],[TechTypeID]],$A489),":","__"),"")</f>
        <v/>
      </c>
    </row>
    <row r="490" spans="1:2" hidden="1" x14ac:dyDescent="0.3">
      <c r="A490" s="1">
        <v>722</v>
      </c>
      <c r="B490" t="str" cm="1">
        <f t="array" ref="B490">IFERROR(SUBSTITUTE(INDEX(TechType[[#All],[TechTypeID]],$A490),":","__"),"")</f>
        <v/>
      </c>
    </row>
    <row r="491" spans="1:2" hidden="1" x14ac:dyDescent="0.3">
      <c r="A491" s="1">
        <v>723</v>
      </c>
      <c r="B491" t="str" cm="1">
        <f t="array" ref="B491">IFERROR(SUBSTITUTE(INDEX(TechType[[#All],[TechTypeID]],$A491),":","__"),"")</f>
        <v/>
      </c>
    </row>
    <row r="492" spans="1:2" hidden="1" x14ac:dyDescent="0.3">
      <c r="A492" s="1">
        <v>724</v>
      </c>
      <c r="B492" t="str" cm="1">
        <f t="array" ref="B492">IFERROR(SUBSTITUTE(INDEX(TechType[[#All],[TechTypeID]],$A492),":","__"),"")</f>
        <v/>
      </c>
    </row>
    <row r="493" spans="1:2" hidden="1" x14ac:dyDescent="0.3">
      <c r="A493" s="1">
        <v>725</v>
      </c>
      <c r="B493" t="str" cm="1">
        <f t="array" ref="B493">IFERROR(SUBSTITUTE(INDEX(TechType[[#All],[TechTypeID]],$A493),":","__"),"")</f>
        <v/>
      </c>
    </row>
    <row r="494" spans="1:2" hidden="1" x14ac:dyDescent="0.3">
      <c r="A494" s="1">
        <v>726</v>
      </c>
      <c r="B494" t="str" cm="1">
        <f t="array" ref="B494">IFERROR(SUBSTITUTE(INDEX(TechType[[#All],[TechTypeID]],$A494),":","__"),"")</f>
        <v/>
      </c>
    </row>
    <row r="495" spans="1:2" hidden="1" x14ac:dyDescent="0.3">
      <c r="A495" s="1">
        <v>727</v>
      </c>
      <c r="B495" t="str" cm="1">
        <f t="array" ref="B495">IFERROR(SUBSTITUTE(INDEX(TechType[[#All],[TechTypeID]],$A495),":","__"),"")</f>
        <v/>
      </c>
    </row>
    <row r="496" spans="1:2" hidden="1" x14ac:dyDescent="0.3">
      <c r="A496" s="1">
        <v>728</v>
      </c>
      <c r="B496" t="str" cm="1">
        <f t="array" ref="B496">IFERROR(SUBSTITUTE(INDEX(TechType[[#All],[TechTypeID]],$A496),":","__"),"")</f>
        <v/>
      </c>
    </row>
    <row r="497" spans="1:2" hidden="1" x14ac:dyDescent="0.3">
      <c r="A497" s="1">
        <v>729</v>
      </c>
      <c r="B497" t="str" cm="1">
        <f t="array" ref="B497">IFERROR(SUBSTITUTE(INDEX(TechType[[#All],[TechTypeID]],$A497),":","__"),"")</f>
        <v/>
      </c>
    </row>
    <row r="498" spans="1:2" hidden="1" x14ac:dyDescent="0.3">
      <c r="A498" s="1">
        <v>730</v>
      </c>
      <c r="B498" t="str" cm="1">
        <f t="array" ref="B498">IFERROR(SUBSTITUTE(INDEX(TechType[[#All],[TechTypeID]],$A498),":","__"),"")</f>
        <v/>
      </c>
    </row>
    <row r="499" spans="1:2" hidden="1" x14ac:dyDescent="0.3">
      <c r="A499" s="1">
        <v>731</v>
      </c>
      <c r="B499" t="str" cm="1">
        <f t="array" ref="B499">IFERROR(SUBSTITUTE(INDEX(TechType[[#All],[TechTypeID]],$A499),":","__"),"")</f>
        <v/>
      </c>
    </row>
    <row r="500" spans="1:2" hidden="1" x14ac:dyDescent="0.3">
      <c r="A500" s="1">
        <v>732</v>
      </c>
      <c r="B500" t="str" cm="1">
        <f t="array" ref="B500">IFERROR(SUBSTITUTE(INDEX(TechType[[#All],[TechTypeID]],$A500),":","__"),"")</f>
        <v/>
      </c>
    </row>
    <row r="501" spans="1:2" hidden="1" x14ac:dyDescent="0.3">
      <c r="A501" s="1">
        <v>733</v>
      </c>
      <c r="B501" t="str" cm="1">
        <f t="array" ref="B501">IFERROR(SUBSTITUTE(INDEX(TechType[[#All],[TechTypeID]],$A501),":","__"),"")</f>
        <v/>
      </c>
    </row>
    <row r="502" spans="1:2" hidden="1" x14ac:dyDescent="0.3">
      <c r="A502" s="1">
        <v>734</v>
      </c>
      <c r="B502" t="str" cm="1">
        <f t="array" ref="B502">IFERROR(SUBSTITUTE(INDEX(TechType[[#All],[TechTypeID]],$A502),":","__"),"")</f>
        <v/>
      </c>
    </row>
    <row r="503" spans="1:2" hidden="1" x14ac:dyDescent="0.3">
      <c r="A503" s="1">
        <v>735</v>
      </c>
      <c r="B503" t="str" cm="1">
        <f t="array" ref="B503">IFERROR(SUBSTITUTE(INDEX(TechType[[#All],[TechTypeID]],$A503),":","__"),"")</f>
        <v/>
      </c>
    </row>
    <row r="504" spans="1:2" hidden="1" x14ac:dyDescent="0.3">
      <c r="A504" s="1">
        <v>736</v>
      </c>
      <c r="B504" t="str" cm="1">
        <f t="array" ref="B504">IFERROR(SUBSTITUTE(INDEX(TechType[[#All],[TechTypeID]],$A504),":","__"),"")</f>
        <v/>
      </c>
    </row>
    <row r="505" spans="1:2" hidden="1" x14ac:dyDescent="0.3">
      <c r="A505" s="1">
        <v>737</v>
      </c>
      <c r="B505" t="str" cm="1">
        <f t="array" ref="B505">IFERROR(SUBSTITUTE(INDEX(TechType[[#All],[TechTypeID]],$A505),":","__"),"")</f>
        <v/>
      </c>
    </row>
    <row r="506" spans="1:2" hidden="1" x14ac:dyDescent="0.3">
      <c r="A506" s="1">
        <v>738</v>
      </c>
      <c r="B506" t="str" cm="1">
        <f t="array" ref="B506">IFERROR(SUBSTITUTE(INDEX(TechType[[#All],[TechTypeID]],$A506),":","__"),"")</f>
        <v/>
      </c>
    </row>
    <row r="507" spans="1:2" hidden="1" x14ac:dyDescent="0.3">
      <c r="A507" s="1">
        <v>739</v>
      </c>
      <c r="B507" t="str" cm="1">
        <f t="array" ref="B507">IFERROR(SUBSTITUTE(INDEX(TechType[[#All],[TechTypeID]],$A507),":","__"),"")</f>
        <v/>
      </c>
    </row>
    <row r="508" spans="1:2" hidden="1" x14ac:dyDescent="0.3">
      <c r="A508" s="1">
        <v>740</v>
      </c>
      <c r="B508" t="str" cm="1">
        <f t="array" ref="B508">IFERROR(SUBSTITUTE(INDEX(TechType[[#All],[TechTypeID]],$A508),":","__"),"")</f>
        <v/>
      </c>
    </row>
    <row r="509" spans="1:2" hidden="1" x14ac:dyDescent="0.3">
      <c r="A509" s="1">
        <v>741</v>
      </c>
      <c r="B509" t="str" cm="1">
        <f t="array" ref="B509">IFERROR(SUBSTITUTE(INDEX(TechType[[#All],[TechTypeID]],$A509),":","__"),"")</f>
        <v/>
      </c>
    </row>
    <row r="510" spans="1:2" hidden="1" x14ac:dyDescent="0.3">
      <c r="A510" s="1">
        <v>144</v>
      </c>
      <c r="B510" t="str" cm="1">
        <f t="array" ref="B510">IFERROR(SUBSTITUTE(INDEX(TechType[[#All],[TechTypeID]],$A510),":","__"),"")</f>
        <v>AirComp__Blower</v>
      </c>
    </row>
    <row r="511" spans="1:2" hidden="1" x14ac:dyDescent="0.3">
      <c r="A511" s="1">
        <v>145</v>
      </c>
      <c r="B511" t="str" cm="1">
        <f t="array" ref="B511">IFERROR(SUBSTITUTE(INDEX(TechType[[#All],[TechTypeID]],$A511),":","__"),"")</f>
        <v>AirComp__Centrif</v>
      </c>
    </row>
    <row r="512" spans="1:2" hidden="1" x14ac:dyDescent="0.3">
      <c r="A512" s="1">
        <v>38</v>
      </c>
      <c r="B512" t="str" cm="1">
        <f t="array" ref="B512">IFERROR(SUBSTITUTE(INDEX(TechType[[#All],[TechTypeID]],$A512),":","__"),"")</f>
        <v>AirComp__CycAirDryr</v>
      </c>
    </row>
    <row r="513" spans="1:2" hidden="1" x14ac:dyDescent="0.3">
      <c r="A513" s="1">
        <v>37</v>
      </c>
      <c r="B513" t="str" cm="1">
        <f t="array" ref="B513">IFERROR(SUBSTITUTE(INDEX(TechType[[#All],[TechTypeID]],$A513),":","__"),"")</f>
        <v>AirComp__NonCycAirDryr</v>
      </c>
    </row>
    <row r="514" spans="1:2" hidden="1" x14ac:dyDescent="0.3">
      <c r="A514" s="1">
        <v>147</v>
      </c>
      <c r="B514" t="str" cm="1">
        <f t="array" ref="B514">IFERROR(SUBSTITUTE(INDEX(TechType[[#All],[TechTypeID]],$A514),":","__"),"")</f>
        <v>AirComp__Recip</v>
      </c>
    </row>
    <row r="515" spans="1:2" hidden="1" x14ac:dyDescent="0.3">
      <c r="A515" s="1">
        <v>146</v>
      </c>
      <c r="B515" t="str" cm="1">
        <f t="array" ref="B515">IFERROR(SUBSTITUTE(INDEX(TechType[[#All],[TechTypeID]],$A515),":","__"),"")</f>
        <v>AirComp__Screw</v>
      </c>
    </row>
    <row r="516" spans="1:2" hidden="1" x14ac:dyDescent="0.3">
      <c r="A516" s="1">
        <v>35</v>
      </c>
      <c r="B516" t="str" cm="1">
        <f t="array" ref="B516">IFERROR(SUBSTITUTE(INDEX(TechType[[#All],[TechTypeID]],$A516),":","__"),"")</f>
        <v>AirComp__TimerCondDrn</v>
      </c>
    </row>
    <row r="517" spans="1:2" hidden="1" x14ac:dyDescent="0.3">
      <c r="A517" s="1">
        <v>36</v>
      </c>
      <c r="B517" t="str" cm="1">
        <f t="array" ref="B517">IFERROR(SUBSTITUTE(INDEX(TechType[[#All],[TechTypeID]],$A517),":","__"),"")</f>
        <v>AirComp__ZeroLossCondDrn</v>
      </c>
    </row>
    <row r="518" spans="1:2" hidden="1" x14ac:dyDescent="0.3">
      <c r="A518" s="1">
        <v>137</v>
      </c>
      <c r="B518" t="str" cm="1">
        <f t="array" ref="B518">IFERROR(SUBSTITUTE(INDEX(TechType[[#All],[TechTypeID]],$A518),":","__"),"")</f>
        <v>AnDigestor__Optimal</v>
      </c>
    </row>
    <row r="519" spans="1:2" hidden="1" x14ac:dyDescent="0.3">
      <c r="A519" s="1">
        <v>33</v>
      </c>
      <c r="B519" t="str" cm="1">
        <f t="array" ref="B519">IFERROR(SUBSTITUTE(INDEX(TechType[[#All],[TechTypeID]],$A519),":","__"),"")</f>
        <v>AuditInfoTest__ResEnAudit</v>
      </c>
    </row>
    <row r="520" spans="1:2" hidden="1" x14ac:dyDescent="0.3">
      <c r="A520" s="1">
        <v>153</v>
      </c>
      <c r="B520" t="str" cm="1">
        <f t="array" ref="B520">IFERROR(SUBSTITUTE(INDEX(TechType[[#All],[TechTypeID]],$A520),":","__"),"")</f>
        <v>BldgShell__AttBatIns</v>
      </c>
    </row>
    <row r="521" spans="1:2" hidden="1" x14ac:dyDescent="0.3">
      <c r="A521" s="1">
        <v>154</v>
      </c>
      <c r="B521" t="str" cm="1">
        <f t="array" ref="B521">IFERROR(SUBSTITUTE(INDEX(TechType[[#All],[TechTypeID]],$A521),":","__"),"")</f>
        <v>BldgShell__AttBlowIns</v>
      </c>
    </row>
    <row r="522" spans="1:2" hidden="1" x14ac:dyDescent="0.3">
      <c r="A522" s="1">
        <v>7</v>
      </c>
      <c r="B522" t="str" cm="1">
        <f t="array" ref="B522">IFERROR(SUBSTITUTE(INDEX(TechType[[#All],[TechTypeID]],$A522),":","__"),"")</f>
        <v>BldgShell__BuriedDuct</v>
      </c>
    </row>
    <row r="523" spans="1:2" hidden="1" x14ac:dyDescent="0.3">
      <c r="A523" s="1">
        <v>155</v>
      </c>
      <c r="B523" t="str" cm="1">
        <f t="array" ref="B523">IFERROR(SUBSTITUTE(INDEX(TechType[[#All],[TechTypeID]],$A523),":","__"),"")</f>
        <v>BldgShell__CoolRoof</v>
      </c>
    </row>
    <row r="524" spans="1:2" hidden="1" x14ac:dyDescent="0.3">
      <c r="A524" s="1">
        <v>148</v>
      </c>
      <c r="B524" t="str" cm="1">
        <f t="array" ref="B524">IFERROR(SUBSTITUTE(INDEX(TechType[[#All],[TechTypeID]],$A524),":","__"),"")</f>
        <v>BldgShell__FloorIns</v>
      </c>
    </row>
    <row r="525" spans="1:2" hidden="1" x14ac:dyDescent="0.3">
      <c r="A525" s="1">
        <v>152</v>
      </c>
      <c r="B525" t="str" cm="1">
        <f t="array" ref="B525">IFERROR(SUBSTITUTE(INDEX(TechType[[#All],[TechTypeID]],$A525),":","__"),"")</f>
        <v>BldgShell__RigidRoofIns</v>
      </c>
    </row>
    <row r="526" spans="1:2" hidden="1" x14ac:dyDescent="0.3">
      <c r="A526" s="1">
        <v>151</v>
      </c>
      <c r="B526" t="str" cm="1">
        <f t="array" ref="B526">IFERROR(SUBSTITUTE(INDEX(TechType[[#All],[TechTypeID]],$A526),":","__"),"")</f>
        <v>BldgShell__SprayRoofIns</v>
      </c>
    </row>
    <row r="527" spans="1:2" hidden="1" x14ac:dyDescent="0.3">
      <c r="A527" s="1">
        <v>67</v>
      </c>
      <c r="B527" t="str" cm="1">
        <f t="array" ref="B527">IFERROR(SUBSTITUTE(INDEX(TechType[[#All],[TechTypeID]],$A527),":","__"),"")</f>
        <v>BldgShell__ThermCurtain</v>
      </c>
    </row>
    <row r="528" spans="1:2" hidden="1" x14ac:dyDescent="0.3">
      <c r="A528" s="1">
        <v>95</v>
      </c>
      <c r="B528" t="str" cm="1">
        <f t="array" ref="B528">IFERROR(SUBSTITUTE(INDEX(TechType[[#All],[TechTypeID]],$A528),":","__"),"")</f>
        <v>BldgShell__WallBattIns</v>
      </c>
    </row>
    <row r="529" spans="1:2" hidden="1" x14ac:dyDescent="0.3">
      <c r="A529" s="1">
        <v>150</v>
      </c>
      <c r="B529" t="str" cm="1">
        <f t="array" ref="B529">IFERROR(SUBSTITUTE(INDEX(TechType[[#All],[TechTypeID]],$A529),":","__"),"")</f>
        <v>BldgShell__WallBlowIns</v>
      </c>
    </row>
    <row r="530" spans="1:2" hidden="1" x14ac:dyDescent="0.3">
      <c r="A530" s="1">
        <v>149</v>
      </c>
      <c r="B530" t="str" cm="1">
        <f t="array" ref="B530">IFERROR(SUBSTITUTE(INDEX(TechType[[#All],[TechTypeID]],$A530),":","__"),"")</f>
        <v>BldgShell__WallSprayIns</v>
      </c>
    </row>
    <row r="531" spans="1:2" hidden="1" x14ac:dyDescent="0.3">
      <c r="A531" s="1">
        <v>94</v>
      </c>
      <c r="B531" t="str" cm="1">
        <f t="array" ref="B531">IFERROR(SUBSTITUTE(INDEX(TechType[[#All],[TechTypeID]],$A531),":","__"),"")</f>
        <v>BldgShell__Weatherize</v>
      </c>
    </row>
    <row r="532" spans="1:2" hidden="1" x14ac:dyDescent="0.3">
      <c r="A532" s="1">
        <v>13</v>
      </c>
      <c r="B532" t="str" cm="1">
        <f t="array" ref="B532">IFERROR(SUBSTITUTE(INDEX(TechType[[#All],[TechTypeID]],$A532),":","__"),"")</f>
        <v>C&amp;S__UnCatC&amp;S</v>
      </c>
    </row>
    <row r="533" spans="1:2" hidden="1" x14ac:dyDescent="0.3">
      <c r="A533" s="1">
        <v>26</v>
      </c>
      <c r="B533" t="str" cm="1">
        <f t="array" ref="B533">IFERROR(SUBSTITUTE(INDEX(TechType[[#All],[TechTypeID]],$A533),":","__"),"")</f>
        <v>Chiller__AirCldRecipChlr</v>
      </c>
    </row>
    <row r="534" spans="1:2" hidden="1" x14ac:dyDescent="0.3">
      <c r="A534" s="1">
        <v>25</v>
      </c>
      <c r="B534" t="str" cm="1">
        <f t="array" ref="B534">IFERROR(SUBSTITUTE(INDEX(TechType[[#All],[TechTypeID]],$A534),":","__"),"")</f>
        <v>Chiller__AirCldScrewChlr</v>
      </c>
    </row>
    <row r="535" spans="1:2" hidden="1" x14ac:dyDescent="0.3">
      <c r="A535" s="1">
        <v>216</v>
      </c>
      <c r="B535" t="str" cm="1">
        <f t="array" ref="B535">IFERROR(SUBSTITUTE(INDEX(TechType[[#All],[TechTypeID]],$A535),":","__"),"")</f>
        <v>Chiller__CentChlr</v>
      </c>
    </row>
    <row r="536" spans="1:2" hidden="1" x14ac:dyDescent="0.3">
      <c r="A536" s="1">
        <v>207</v>
      </c>
      <c r="B536" t="str" cm="1">
        <f t="array" ref="B536">IFERROR(SUBSTITUTE(INDEX(TechType[[#All],[TechTypeID]],$A536),":","__"),"")</f>
        <v>Chiller__GasAbsorp</v>
      </c>
    </row>
    <row r="537" spans="1:2" hidden="1" x14ac:dyDescent="0.3">
      <c r="A537" s="1">
        <v>215</v>
      </c>
      <c r="B537" t="str" cm="1">
        <f t="array" ref="B537">IFERROR(SUBSTITUTE(INDEX(TechType[[#All],[TechTypeID]],$A537),":","__"),"")</f>
        <v>Chiller__NoFricCent</v>
      </c>
    </row>
    <row r="538" spans="1:2" hidden="1" x14ac:dyDescent="0.3">
      <c r="A538" s="1">
        <v>211</v>
      </c>
      <c r="B538" t="str" cm="1">
        <f t="array" ref="B538">IFERROR(SUBSTITUTE(INDEX(TechType[[#All],[TechTypeID]],$A538),":","__"),"")</f>
        <v>Chiller__NoFricComp</v>
      </c>
    </row>
    <row r="539" spans="1:2" hidden="1" x14ac:dyDescent="0.3">
      <c r="A539" s="1">
        <v>214</v>
      </c>
      <c r="B539" t="str" cm="1">
        <f t="array" ref="B539">IFERROR(SUBSTITUTE(INDEX(TechType[[#All],[TechTypeID]],$A539),":","__"),"")</f>
        <v>Chiller__Recip</v>
      </c>
    </row>
    <row r="540" spans="1:2" hidden="1" x14ac:dyDescent="0.3">
      <c r="A540" s="1">
        <v>210</v>
      </c>
      <c r="B540" t="str" cm="1">
        <f t="array" ref="B540">IFERROR(SUBSTITUTE(INDEX(TechType[[#All],[TechTypeID]],$A540),":","__"),"")</f>
        <v>Chiller__RecipComp</v>
      </c>
    </row>
    <row r="541" spans="1:2" hidden="1" x14ac:dyDescent="0.3">
      <c r="A541" s="1">
        <v>208</v>
      </c>
      <c r="B541" t="str" cm="1">
        <f t="array" ref="B541">IFERROR(SUBSTITUTE(INDEX(TechType[[#All],[TechTypeID]],$A541),":","__"),"")</f>
        <v>Chiller__RefWareCool</v>
      </c>
    </row>
    <row r="542" spans="1:2" hidden="1" x14ac:dyDescent="0.3">
      <c r="A542" s="1">
        <v>213</v>
      </c>
      <c r="B542" t="str" cm="1">
        <f t="array" ref="B542">IFERROR(SUBSTITUTE(INDEX(TechType[[#All],[TechTypeID]],$A542),":","__"),"")</f>
        <v>Chiller__Screw</v>
      </c>
    </row>
    <row r="543" spans="1:2" hidden="1" x14ac:dyDescent="0.3">
      <c r="A543" s="1">
        <v>212</v>
      </c>
      <c r="B543" t="str" cm="1">
        <f t="array" ref="B543">IFERROR(SUBSTITUTE(INDEX(TechType[[#All],[TechTypeID]],$A543),":","__"),"")</f>
        <v>Chiller__Scroll</v>
      </c>
    </row>
    <row r="544" spans="1:2" hidden="1" x14ac:dyDescent="0.3">
      <c r="A544" s="1">
        <v>209</v>
      </c>
      <c r="B544" t="str" cm="1">
        <f t="array" ref="B544">IFERROR(SUBSTITUTE(INDEX(TechType[[#All],[TechTypeID]],$A544),":","__"),"")</f>
        <v>Chiller__TankIns</v>
      </c>
    </row>
    <row r="545" spans="1:2" hidden="1" x14ac:dyDescent="0.3">
      <c r="A545" s="1">
        <v>24</v>
      </c>
      <c r="B545" t="str" cm="1">
        <f t="array" ref="B545">IFERROR(SUBSTITUTE(INDEX(TechType[[#All],[TechTypeID]],$A545),":","__"),"")</f>
        <v>Chiller__WtrCldCentChlr</v>
      </c>
    </row>
    <row r="546" spans="1:2" hidden="1" x14ac:dyDescent="0.3">
      <c r="A546" s="1">
        <v>22</v>
      </c>
      <c r="B546" t="str" cm="1">
        <f t="array" ref="B546">IFERROR(SUBSTITUTE(INDEX(TechType[[#All],[TechTypeID]],$A546),":","__"),"")</f>
        <v>Chiller__WtrCldReciipChlr</v>
      </c>
    </row>
    <row r="547" spans="1:2" hidden="1" x14ac:dyDescent="0.3">
      <c r="A547" s="1">
        <v>23</v>
      </c>
      <c r="B547" t="str" cm="1">
        <f t="array" ref="B547">IFERROR(SUBSTITUTE(INDEX(TechType[[#All],[TechTypeID]],$A547),":","__"),"")</f>
        <v>Chiller__WtrCldScrewChlr</v>
      </c>
    </row>
    <row r="548" spans="1:2" hidden="1" x14ac:dyDescent="0.3">
      <c r="A548" s="1">
        <v>108</v>
      </c>
      <c r="B548" t="str" cm="1">
        <f t="array" ref="B548">IFERROR(SUBSTITUTE(INDEX(TechType[[#All],[TechTypeID]],$A548),":","__"),"")</f>
        <v>Clean_equip__ClothesWash</v>
      </c>
    </row>
    <row r="549" spans="1:2" hidden="1" x14ac:dyDescent="0.3">
      <c r="A549" s="1">
        <v>107</v>
      </c>
      <c r="B549" t="str" cm="1">
        <f t="array" ref="B549">IFERROR(SUBSTITUTE(INDEX(TechType[[#All],[TechTypeID]],$A549),":","__"),"")</f>
        <v>Clean_equip__DishWash</v>
      </c>
    </row>
    <row r="550" spans="1:2" hidden="1" x14ac:dyDescent="0.3">
      <c r="A550" s="1">
        <v>113</v>
      </c>
      <c r="B550" t="str" cm="1">
        <f t="array" ref="B550">IFERROR(SUBSTITUTE(INDEX(TechType[[#All],[TechTypeID]],$A550),":","__"),"")</f>
        <v>Cook_equip__Broiler</v>
      </c>
    </row>
    <row r="551" spans="1:2" hidden="1" x14ac:dyDescent="0.3">
      <c r="A551" s="1">
        <v>18</v>
      </c>
      <c r="B551" t="str" cm="1">
        <f t="array" ref="B551">IFERROR(SUBSTITUTE(INDEX(TechType[[#All],[TechTypeID]],$A551),":","__"),"")</f>
        <v>Cook_equip__Cooking</v>
      </c>
    </row>
    <row r="552" spans="1:2" hidden="1" x14ac:dyDescent="0.3">
      <c r="A552" s="1">
        <v>119</v>
      </c>
      <c r="B552" t="str" cm="1">
        <f t="array" ref="B552">IFERROR(SUBSTITUTE(INDEX(TechType[[#All],[TechTypeID]],$A552),":","__"),"")</f>
        <v>Cook_equip__Fryer</v>
      </c>
    </row>
    <row r="553" spans="1:2" hidden="1" x14ac:dyDescent="0.3">
      <c r="A553" s="1">
        <v>116</v>
      </c>
      <c r="B553" t="str" cm="1">
        <f t="array" ref="B553">IFERROR(SUBSTITUTE(INDEX(TechType[[#All],[TechTypeID]],$A553),":","__"),"")</f>
        <v>Cook_equip__Griddle</v>
      </c>
    </row>
    <row r="554" spans="1:2" hidden="1" x14ac:dyDescent="0.3">
      <c r="A554" s="1">
        <v>115</v>
      </c>
      <c r="B554" t="str" cm="1">
        <f t="array" ref="B554">IFERROR(SUBSTITUTE(INDEX(TechType[[#All],[TechTypeID]],$A554),":","__"),"")</f>
        <v>Cook_equip__GrillTO</v>
      </c>
    </row>
    <row r="555" spans="1:2" hidden="1" x14ac:dyDescent="0.3">
      <c r="A555" s="1">
        <v>117</v>
      </c>
      <c r="B555" t="str" cm="1">
        <f t="array" ref="B555">IFERROR(SUBSTITUTE(INDEX(TechType[[#All],[TechTypeID]],$A555),":","__"),"")</f>
        <v>Cook_equip__OvenComb</v>
      </c>
    </row>
    <row r="556" spans="1:2" hidden="1" x14ac:dyDescent="0.3">
      <c r="A556" s="1">
        <v>118</v>
      </c>
      <c r="B556" t="str" cm="1">
        <f t="array" ref="B556">IFERROR(SUBSTITUTE(INDEX(TechType[[#All],[TechTypeID]],$A556),":","__"),"")</f>
        <v>Cook_equip__OvenConv</v>
      </c>
    </row>
    <row r="557" spans="1:2" hidden="1" x14ac:dyDescent="0.3">
      <c r="A557" s="1">
        <v>120</v>
      </c>
      <c r="B557" t="str" cm="1">
        <f t="array" ref="B557">IFERROR(SUBSTITUTE(INDEX(TechType[[#All],[TechTypeID]],$A557),":","__"),"")</f>
        <v>Cook_equip__Steamer</v>
      </c>
    </row>
    <row r="558" spans="1:2" hidden="1" x14ac:dyDescent="0.3">
      <c r="A558" s="1">
        <v>114</v>
      </c>
      <c r="B558" t="str" cm="1">
        <f t="array" ref="B558">IFERROR(SUBSTITUTE(INDEX(TechType[[#All],[TechTypeID]],$A558),":","__"),"")</f>
        <v>Cook_equip__SteamLine</v>
      </c>
    </row>
    <row r="559" spans="1:2" hidden="1" x14ac:dyDescent="0.3">
      <c r="A559" s="1">
        <v>88</v>
      </c>
      <c r="B559" t="str" cm="1">
        <f t="array" ref="B559">IFERROR(SUBSTITUTE(INDEX(TechType[[#All],[TechTypeID]],$A559),":","__"),"")</f>
        <v>Cook_equip__StockPot</v>
      </c>
    </row>
    <row r="560" spans="1:2" hidden="1" x14ac:dyDescent="0.3">
      <c r="A560" s="1">
        <v>232</v>
      </c>
      <c r="B560" t="str" cm="1">
        <f t="array" ref="B560">IFERROR(SUBSTITUTE(INDEX(TechType[[#All],[TechTypeID]],$A560),":","__"),"")</f>
        <v>dxAC_equip__pkgEER</v>
      </c>
    </row>
    <row r="561" spans="1:2" hidden="1" x14ac:dyDescent="0.3">
      <c r="A561" s="1">
        <v>233</v>
      </c>
      <c r="B561" t="str" cm="1">
        <f t="array" ref="B561">IFERROR(SUBSTITUTE(INDEX(TechType[[#All],[TechTypeID]],$A561),":","__"),"")</f>
        <v>dxAC_equip__pkgSEER</v>
      </c>
    </row>
    <row r="562" spans="1:2" hidden="1" x14ac:dyDescent="0.3">
      <c r="A562" s="1">
        <v>2</v>
      </c>
      <c r="B562" t="str" cm="1">
        <f t="array" ref="B562">IFERROR(SUBSTITUTE(INDEX(TechType[[#All],[TechTypeID]],$A562),":","__"),"")</f>
        <v>dxAC_equip__pkgSEER-BA</v>
      </c>
    </row>
    <row r="563" spans="1:2" hidden="1" x14ac:dyDescent="0.3">
      <c r="A563" s="1">
        <v>226</v>
      </c>
      <c r="B563" t="str" cm="1">
        <f t="array" ref="B563">IFERROR(SUBSTITUTE(INDEX(TechType[[#All],[TechTypeID]],$A563),":","__"),"")</f>
        <v>dxAC_equip__pkgTerm</v>
      </c>
    </row>
    <row r="564" spans="1:2" hidden="1" x14ac:dyDescent="0.3">
      <c r="A564" s="1">
        <v>228</v>
      </c>
      <c r="B564" t="str" cm="1">
        <f t="array" ref="B564">IFERROR(SUBSTITUTE(INDEX(TechType[[#All],[TechTypeID]],$A564),":","__"),"")</f>
        <v>dxAC_equip__Refrig</v>
      </c>
    </row>
    <row r="565" spans="1:2" x14ac:dyDescent="0.3">
      <c r="A565" s="1">
        <v>227</v>
      </c>
      <c r="B565" t="str" cm="1">
        <f t="array" ref="B565">IFERROR(SUBSTITUTE(INDEX(TechType[[#All],[TechTypeID]],$A565),":","__"),"")</f>
        <v>dxAC_equip__RoomAC</v>
      </c>
    </row>
    <row r="566" spans="1:2" hidden="1" x14ac:dyDescent="0.3">
      <c r="A566" s="1">
        <v>229</v>
      </c>
      <c r="B566" t="str" cm="1">
        <f t="array" ref="B566">IFERROR(SUBSTITUTE(INDEX(TechType[[#All],[TechTypeID]],$A566),":","__"),"")</f>
        <v>dxAC_equip__spltEER</v>
      </c>
    </row>
    <row r="567" spans="1:2" hidden="1" x14ac:dyDescent="0.3">
      <c r="A567" s="1">
        <v>230</v>
      </c>
      <c r="B567" t="str" cm="1">
        <f t="array" ref="B567">IFERROR(SUBSTITUTE(INDEX(TechType[[#All],[TechTypeID]],$A567),":","__"),"")</f>
        <v>dxAC_equip__spltSEER</v>
      </c>
    </row>
    <row r="568" spans="1:2" hidden="1" x14ac:dyDescent="0.3">
      <c r="A568" s="1">
        <v>5</v>
      </c>
      <c r="B568" t="str" cm="1">
        <f t="array" ref="B568">IFERROR(SUBSTITUTE(INDEX(TechType[[#All],[TechTypeID]],$A568),":","__"),"")</f>
        <v>dxAC_equip__spltSEER-BA</v>
      </c>
    </row>
    <row r="569" spans="1:2" hidden="1" x14ac:dyDescent="0.3">
      <c r="A569" s="1">
        <v>231</v>
      </c>
      <c r="B569" t="str" cm="1">
        <f t="array" ref="B569">IFERROR(SUBSTITUTE(INDEX(TechType[[#All],[TechTypeID]],$A569),":","__"),"")</f>
        <v>dxAC_equip__vertEER</v>
      </c>
    </row>
    <row r="570" spans="1:2" hidden="1" x14ac:dyDescent="0.3">
      <c r="A570" s="1">
        <v>224</v>
      </c>
      <c r="B570" t="str" cm="1">
        <f t="array" ref="B570">IFERROR(SUBSTITUTE(INDEX(TechType[[#All],[TechTypeID]],$A570),":","__"),"")</f>
        <v>dxHP_equip__pkgEER</v>
      </c>
    </row>
    <row r="571" spans="1:2" hidden="1" x14ac:dyDescent="0.3">
      <c r="A571" s="1">
        <v>225</v>
      </c>
      <c r="B571" t="str" cm="1">
        <f t="array" ref="B571">IFERROR(SUBSTITUTE(INDEX(TechType[[#All],[TechTypeID]],$A571),":","__"),"")</f>
        <v>dxHP_equip__pkgSEER</v>
      </c>
    </row>
    <row r="572" spans="1:2" hidden="1" x14ac:dyDescent="0.3">
      <c r="A572" s="1">
        <v>220</v>
      </c>
      <c r="B572" t="str" cm="1">
        <f t="array" ref="B572">IFERROR(SUBSTITUTE(INDEX(TechType[[#All],[TechTypeID]],$A572),":","__"),"")</f>
        <v>dxHP_equip__pkgTerm</v>
      </c>
    </row>
    <row r="573" spans="1:2" hidden="1" x14ac:dyDescent="0.3">
      <c r="A573" s="1">
        <v>222</v>
      </c>
      <c r="B573" t="str" cm="1">
        <f t="array" ref="B573">IFERROR(SUBSTITUTE(INDEX(TechType[[#All],[TechTypeID]],$A573),":","__"),"")</f>
        <v>dxHP_equip__spltEER</v>
      </c>
    </row>
    <row r="574" spans="1:2" hidden="1" x14ac:dyDescent="0.3">
      <c r="A574" s="1">
        <v>4</v>
      </c>
      <c r="B574" t="str" cm="1">
        <f t="array" ref="B574">IFERROR(SUBSTITUTE(INDEX(TechType[[#All],[TechTypeID]],$A574),":","__"),"")</f>
        <v>dxHP_equip__spltHP-SEER-BA</v>
      </c>
    </row>
    <row r="575" spans="1:2" hidden="1" x14ac:dyDescent="0.3">
      <c r="A575" s="1">
        <v>223</v>
      </c>
      <c r="B575" t="str" cm="1">
        <f t="array" ref="B575">IFERROR(SUBSTITUTE(INDEX(TechType[[#All],[TechTypeID]],$A575),":","__"),"")</f>
        <v>dxHP_equip__spltSEER</v>
      </c>
    </row>
    <row r="576" spans="1:2" hidden="1" x14ac:dyDescent="0.3">
      <c r="A576" s="1">
        <v>91</v>
      </c>
      <c r="B576" t="str" cm="1">
        <f t="array" ref="B576">IFERROR(SUBSTITUTE(INDEX(TechType[[#All],[TechTypeID]],$A576),":","__"),"")</f>
        <v>dxHP_equip__VarRefgHP</v>
      </c>
    </row>
    <row r="577" spans="1:2" hidden="1" x14ac:dyDescent="0.3">
      <c r="A577" s="1">
        <v>90</v>
      </c>
      <c r="B577" t="str" cm="1">
        <f t="array" ref="B577">IFERROR(SUBSTITUTE(INDEX(TechType[[#All],[TechTypeID]],$A577),":","__"),"")</f>
        <v>dxHP_equip__VarRefgHR</v>
      </c>
    </row>
    <row r="578" spans="1:2" hidden="1" x14ac:dyDescent="0.3">
      <c r="A578" s="1">
        <v>221</v>
      </c>
      <c r="B578" t="str" cm="1">
        <f t="array" ref="B578">IFERROR(SUBSTITUTE(INDEX(TechType[[#All],[TechTypeID]],$A578),":","__"),"")</f>
        <v>dxHP_equip__WSHP</v>
      </c>
    </row>
    <row r="579" spans="1:2" hidden="1" x14ac:dyDescent="0.3">
      <c r="A579" s="1">
        <v>97</v>
      </c>
      <c r="B579" t="str" cm="1">
        <f t="array" ref="B579">IFERROR(SUBSTITUTE(INDEX(TechType[[#All],[TechTypeID]],$A579),":","__"),"")</f>
        <v>Electronics__AllEquip</v>
      </c>
    </row>
    <row r="580" spans="1:2" hidden="1" x14ac:dyDescent="0.3">
      <c r="A580" s="1">
        <v>101</v>
      </c>
      <c r="B580" t="str" cm="1">
        <f t="array" ref="B580">IFERROR(SUBSTITUTE(INDEX(TechType[[#All],[TechTypeID]],$A580),":","__"),"")</f>
        <v>Electronics__DesktopComp</v>
      </c>
    </row>
    <row r="581" spans="1:2" hidden="1" x14ac:dyDescent="0.3">
      <c r="A581" s="1">
        <v>98</v>
      </c>
      <c r="B581" t="str" cm="1">
        <f t="array" ref="B581">IFERROR(SUBSTITUTE(INDEX(TechType[[#All],[TechTypeID]],$A581),":","__"),"")</f>
        <v>Electronics__IRsensor</v>
      </c>
    </row>
    <row r="582" spans="1:2" hidden="1" x14ac:dyDescent="0.3">
      <c r="A582" s="1">
        <v>103</v>
      </c>
      <c r="B582" t="str" cm="1">
        <f t="array" ref="B582">IFERROR(SUBSTITUTE(INDEX(TechType[[#All],[TechTypeID]],$A582),":","__"),"")</f>
        <v>Electronics__Monitor</v>
      </c>
    </row>
    <row r="583" spans="1:2" hidden="1" x14ac:dyDescent="0.3">
      <c r="A583" s="1">
        <v>66</v>
      </c>
      <c r="B583" t="str" cm="1">
        <f t="array" ref="B583">IFERROR(SUBSTITUTE(INDEX(TechType[[#All],[TechTypeID]],$A583),":","__"),"")</f>
        <v>Electronics__MoveSensor</v>
      </c>
    </row>
    <row r="584" spans="1:2" hidden="1" x14ac:dyDescent="0.3">
      <c r="A584" s="1">
        <v>99</v>
      </c>
      <c r="B584" t="str" cm="1">
        <f t="array" ref="B584">IFERROR(SUBSTITUTE(INDEX(TechType[[#All],[TechTypeID]],$A584),":","__"),"")</f>
        <v>Electronics__MoveSensor</v>
      </c>
    </row>
    <row r="585" spans="1:2" hidden="1" x14ac:dyDescent="0.3">
      <c r="A585" s="1">
        <v>104</v>
      </c>
      <c r="B585" t="str" cm="1">
        <f t="array" ref="B585">IFERROR(SUBSTITUTE(INDEX(TechType[[#All],[TechTypeID]],$A585),":","__"),"")</f>
        <v>Electronics__OccSensPlug</v>
      </c>
    </row>
    <row r="586" spans="1:2" hidden="1" x14ac:dyDescent="0.3">
      <c r="A586" s="1">
        <v>68</v>
      </c>
      <c r="B586" t="str" cm="1">
        <f t="array" ref="B586">IFERROR(SUBSTITUTE(INDEX(TechType[[#All],[TechTypeID]],$A586),":","__"),"")</f>
        <v>Electronics__Software</v>
      </c>
    </row>
    <row r="587" spans="1:2" hidden="1" x14ac:dyDescent="0.3">
      <c r="A587" s="1">
        <v>100</v>
      </c>
      <c r="B587" t="str" cm="1">
        <f t="array" ref="B587">IFERROR(SUBSTITUTE(INDEX(TechType[[#All],[TechTypeID]],$A587),":","__"),"")</f>
        <v>Electronics__Timer</v>
      </c>
    </row>
    <row r="588" spans="1:2" hidden="1" x14ac:dyDescent="0.3">
      <c r="A588" s="1">
        <v>102</v>
      </c>
      <c r="B588" t="str" cm="1">
        <f t="array" ref="B588">IFERROR(SUBSTITUTE(INDEX(TechType[[#All],[TechTypeID]],$A588),":","__"),"")</f>
        <v>Electronics__TV</v>
      </c>
    </row>
    <row r="589" spans="1:2" hidden="1" x14ac:dyDescent="0.3">
      <c r="A589" s="1">
        <v>218</v>
      </c>
      <c r="B589" t="str" cm="1">
        <f t="array" ref="B589">IFERROR(SUBSTITUTE(INDEX(TechType[[#All],[TechTypeID]],$A589),":","__"),"")</f>
        <v>EvapCool_eq__ComEvap</v>
      </c>
    </row>
    <row r="590" spans="1:2" hidden="1" x14ac:dyDescent="0.3">
      <c r="A590" s="1">
        <v>219</v>
      </c>
      <c r="B590" t="str" cm="1">
        <f t="array" ref="B590">IFERROR(SUBSTITUTE(INDEX(TechType[[#All],[TechTypeID]],$A590),":","__"),"")</f>
        <v>EvapCool_eq__ResEvap</v>
      </c>
    </row>
    <row r="591" spans="1:2" hidden="1" x14ac:dyDescent="0.3">
      <c r="A591" s="1">
        <v>136</v>
      </c>
      <c r="B591" t="str" cm="1">
        <f t="array" ref="B591">IFERROR(SUBSTITUTE(INDEX(TechType[[#All],[TechTypeID]],$A591),":","__"),"")</f>
        <v>FacPondAer__OxyDemCtrl</v>
      </c>
    </row>
    <row r="592" spans="1:2" hidden="1" x14ac:dyDescent="0.3">
      <c r="A592" s="1">
        <v>80</v>
      </c>
      <c r="B592" t="str" cm="1">
        <f t="array" ref="B592">IFERROR(SUBSTITUTE(INDEX(TechType[[#All],[TechTypeID]],$A592),":","__"),"")</f>
        <v>Fenest__IRFilm</v>
      </c>
    </row>
    <row r="593" spans="1:2" hidden="1" x14ac:dyDescent="0.3">
      <c r="A593" s="1">
        <v>157</v>
      </c>
      <c r="B593" t="str" cm="1">
        <f t="array" ref="B593">IFERROR(SUBSTITUTE(INDEX(TechType[[#All],[TechTypeID]],$A593),":","__"),"")</f>
        <v>Fenest__ManufSky</v>
      </c>
    </row>
    <row r="594" spans="1:2" hidden="1" x14ac:dyDescent="0.3">
      <c r="A594" s="1">
        <v>161</v>
      </c>
      <c r="B594" t="str" cm="1">
        <f t="array" ref="B594">IFERROR(SUBSTITUTE(INDEX(TechType[[#All],[TechTypeID]],$A594),":","__"),"")</f>
        <v>Fenest__ManufWin</v>
      </c>
    </row>
    <row r="595" spans="1:2" hidden="1" x14ac:dyDescent="0.3">
      <c r="A595" s="1">
        <v>156</v>
      </c>
      <c r="B595" t="str" cm="1">
        <f t="array" ref="B595">IFERROR(SUBSTITUTE(INDEX(TechType[[#All],[TechTypeID]],$A595),":","__"),"")</f>
        <v>Fenest__SiteBuiltSky</v>
      </c>
    </row>
    <row r="596" spans="1:2" hidden="1" x14ac:dyDescent="0.3">
      <c r="A596" s="1">
        <v>160</v>
      </c>
      <c r="B596" t="str" cm="1">
        <f t="array" ref="B596">IFERROR(SUBSTITUTE(INDEX(TechType[[#All],[TechTypeID]],$A596),":","__"),"")</f>
        <v>Fenest__SiteBuiltWin</v>
      </c>
    </row>
    <row r="597" spans="1:2" hidden="1" x14ac:dyDescent="0.3">
      <c r="A597" s="1">
        <v>92</v>
      </c>
      <c r="B597" t="str" cm="1">
        <f t="array" ref="B597">IFERROR(SUBSTITUTE(INDEX(TechType[[#All],[TechTypeID]],$A597),":","__"),"")</f>
        <v>Fenest__ThermCurtain</v>
      </c>
    </row>
    <row r="598" spans="1:2" hidden="1" x14ac:dyDescent="0.3">
      <c r="A598" s="1">
        <v>158</v>
      </c>
      <c r="B598" t="str" cm="1">
        <f t="array" ref="B598">IFERROR(SUBSTITUTE(INDEX(TechType[[#All],[TechTypeID]],$A598),":","__"),"")</f>
        <v>Fenest__WinFilm</v>
      </c>
    </row>
    <row r="599" spans="1:2" hidden="1" x14ac:dyDescent="0.3">
      <c r="A599" s="1">
        <v>159</v>
      </c>
      <c r="B599" t="str" cm="1">
        <f t="array" ref="B599">IFERROR(SUBSTITUTE(INDEX(TechType[[#All],[TechTypeID]],$A599),":","__"),"")</f>
        <v>Fenest__WinShade</v>
      </c>
    </row>
    <row r="600" spans="1:2" hidden="1" x14ac:dyDescent="0.3">
      <c r="A600" s="1">
        <v>32</v>
      </c>
      <c r="B600" t="str" cm="1">
        <f t="array" ref="B600">IFERROR(SUBSTITUTE(INDEX(TechType[[#All],[TechTypeID]],$A600),":","__"),"")</f>
        <v>FoodService__HandWrap</v>
      </c>
    </row>
    <row r="601" spans="1:2" hidden="1" x14ac:dyDescent="0.3">
      <c r="A601" s="1">
        <v>112</v>
      </c>
      <c r="B601" t="str" cm="1">
        <f t="array" ref="B601">IFERROR(SUBSTITUTE(INDEX(TechType[[#All],[TechTypeID]],$A601),":","__"),"")</f>
        <v>FoodService__HoldBin</v>
      </c>
    </row>
    <row r="602" spans="1:2" hidden="1" x14ac:dyDescent="0.3">
      <c r="A602" s="1">
        <v>110</v>
      </c>
      <c r="B602" t="str" cm="1">
        <f t="array" ref="B602">IFERROR(SUBSTITUTE(INDEX(TechType[[#All],[TechTypeID]],$A602),":","__"),"")</f>
        <v>FoodService__HoldCab</v>
      </c>
    </row>
    <row r="603" spans="1:2" hidden="1" x14ac:dyDescent="0.3">
      <c r="A603" s="1">
        <v>111</v>
      </c>
      <c r="B603" t="str" cm="1">
        <f t="array" ref="B603">IFERROR(SUBSTITUTE(INDEX(TechType[[#All],[TechTypeID]],$A603),":","__"),"")</f>
        <v>FoodService__StmHoldBin</v>
      </c>
    </row>
    <row r="604" spans="1:2" hidden="1" x14ac:dyDescent="0.3">
      <c r="A604" s="1">
        <v>82</v>
      </c>
      <c r="B604" t="str" cm="1">
        <f t="array" ref="B604">IFERROR(SUBSTITUTE(INDEX(TechType[[#All],[TechTypeID]],$A604),":","__"),"")</f>
        <v>HeatEx__PlateClr</v>
      </c>
    </row>
    <row r="605" spans="1:2" hidden="1" x14ac:dyDescent="0.3">
      <c r="A605" s="1">
        <v>186</v>
      </c>
      <c r="B605" t="str" cm="1">
        <f t="array" ref="B605">IFERROR(SUBSTITUTE(INDEX(TechType[[#All],[TechTypeID]],$A605),":","__"),"")</f>
        <v>HeatReject__TwrFanCtrl</v>
      </c>
    </row>
    <row r="606" spans="1:2" hidden="1" x14ac:dyDescent="0.3">
      <c r="A606" s="1">
        <v>185</v>
      </c>
      <c r="B606" t="str" cm="1">
        <f t="array" ref="B606">IFERROR(SUBSTITUTE(INDEX(TechType[[#All],[TechTypeID]],$A606),":","__"),"")</f>
        <v>HeatReject__TwrFanMtr</v>
      </c>
    </row>
    <row r="607" spans="1:2" hidden="1" x14ac:dyDescent="0.3">
      <c r="A607" s="1">
        <v>184</v>
      </c>
      <c r="B607" t="str" cm="1">
        <f t="array" ref="B607">IFERROR(SUBSTITUTE(INDEX(TechType[[#All],[TechTypeID]],$A607),":","__"),"")</f>
        <v>HeatReject__WSEcono</v>
      </c>
    </row>
    <row r="608" spans="1:2" hidden="1" x14ac:dyDescent="0.3">
      <c r="A608" s="1">
        <v>192</v>
      </c>
      <c r="B608" t="str" cm="1">
        <f t="array" ref="B608">IFERROR(SUBSTITUTE(INDEX(TechType[[#All],[TechTypeID]],$A608),":","__"),"")</f>
        <v>HV_AirDist__AirEcono</v>
      </c>
    </row>
    <row r="609" spans="1:2" hidden="1" x14ac:dyDescent="0.3">
      <c r="A609" s="1">
        <v>69</v>
      </c>
      <c r="B609" t="str" cm="1">
        <f t="array" ref="B609">IFERROR(SUBSTITUTE(INDEX(TechType[[#All],[TechTypeID]],$A609),":","__"),"")</f>
        <v>HV_AirDist__AxialFan</v>
      </c>
    </row>
    <row r="610" spans="1:2" hidden="1" x14ac:dyDescent="0.3">
      <c r="A610" s="1">
        <v>199</v>
      </c>
      <c r="B610" t="str" cm="1">
        <f t="array" ref="B610">IFERROR(SUBSTITUTE(INDEX(TechType[[#All],[TechTypeID]],$A610),":","__"),"")</f>
        <v>HV_AirDist__DuctInsC</v>
      </c>
    </row>
    <row r="611" spans="1:2" hidden="1" x14ac:dyDescent="0.3">
      <c r="A611" s="1">
        <v>200</v>
      </c>
      <c r="B611" t="str" cm="1">
        <f t="array" ref="B611">IFERROR(SUBSTITUTE(INDEX(TechType[[#All],[TechTypeID]],$A611),":","__"),"")</f>
        <v>HV_AirDist__DuctInsul</v>
      </c>
    </row>
    <row r="612" spans="1:2" hidden="1" x14ac:dyDescent="0.3">
      <c r="A612" s="1">
        <v>198</v>
      </c>
      <c r="B612" t="str" cm="1">
        <f t="array" ref="B612">IFERROR(SUBSTITUTE(INDEX(TechType[[#All],[TechTypeID]],$A612),":","__"),"")</f>
        <v>HV_AirDist__DuctLeak</v>
      </c>
    </row>
    <row r="613" spans="1:2" hidden="1" x14ac:dyDescent="0.3">
      <c r="A613" s="1">
        <v>197</v>
      </c>
      <c r="B613" t="str" cm="1">
        <f t="array" ref="B613">IFERROR(SUBSTITUTE(INDEX(TechType[[#All],[TechTypeID]],$A613),":","__"),"")</f>
        <v>HV_AirDist__DuctSysC</v>
      </c>
    </row>
    <row r="614" spans="1:2" hidden="1" x14ac:dyDescent="0.3">
      <c r="A614" s="1">
        <v>193</v>
      </c>
      <c r="B614" t="str" cm="1">
        <f t="array" ref="B614">IFERROR(SUBSTITUTE(INDEX(TechType[[#All],[TechTypeID]],$A614),":","__"),"")</f>
        <v>HV_AirDist__ExFanMtr</v>
      </c>
    </row>
    <row r="615" spans="1:2" hidden="1" x14ac:dyDescent="0.3">
      <c r="A615" s="1">
        <v>201</v>
      </c>
      <c r="B615" t="str" cm="1">
        <f t="array" ref="B615">IFERROR(SUBSTITUTE(INDEX(TechType[[#All],[TechTypeID]],$A615),":","__"),"")</f>
        <v>HV_AirDist__FlowCtrl</v>
      </c>
    </row>
    <row r="616" spans="1:2" hidden="1" x14ac:dyDescent="0.3">
      <c r="A616" s="1">
        <v>191</v>
      </c>
      <c r="B616" t="str" cm="1">
        <f t="array" ref="B616">IFERROR(SUBSTITUTE(INDEX(TechType[[#All],[TechTypeID]],$A616),":","__"),"")</f>
        <v>HV_AirDist__HeatRecov</v>
      </c>
    </row>
    <row r="617" spans="1:2" hidden="1" x14ac:dyDescent="0.3">
      <c r="A617" s="1">
        <v>195</v>
      </c>
      <c r="B617" t="str" cm="1">
        <f t="array" ref="B617">IFERROR(SUBSTITUTE(INDEX(TechType[[#All],[TechTypeID]],$A617),":","__"),"")</f>
        <v>HV_AirDist__RetFanMtr</v>
      </c>
    </row>
    <row r="618" spans="1:2" hidden="1" x14ac:dyDescent="0.3">
      <c r="A618" s="1">
        <v>196</v>
      </c>
      <c r="B618" t="str" cm="1">
        <f t="array" ref="B618">IFERROR(SUBSTITUTE(INDEX(TechType[[#All],[TechTypeID]],$A618),":","__"),"")</f>
        <v>HV_AirDist__SupFanMtr</v>
      </c>
    </row>
    <row r="619" spans="1:2" hidden="1" x14ac:dyDescent="0.3">
      <c r="A619" s="1">
        <v>6</v>
      </c>
      <c r="B619" t="str" cm="1">
        <f t="array" ref="B619">IFERROR(SUBSTITUTE(INDEX(TechType[[#All],[TechTypeID]],$A619),":","__"),"")</f>
        <v>HV_AirDist__SupFanMtr-BA</v>
      </c>
    </row>
    <row r="620" spans="1:2" hidden="1" x14ac:dyDescent="0.3">
      <c r="A620" s="1">
        <v>194</v>
      </c>
      <c r="B620" t="str" cm="1">
        <f t="array" ref="B620">IFERROR(SUBSTITUTE(INDEX(TechType[[#All],[TechTypeID]],$A620),":","__"),"")</f>
        <v>HV_AirDist__VentFanMtr</v>
      </c>
    </row>
    <row r="621" spans="1:2" hidden="1" x14ac:dyDescent="0.3">
      <c r="A621" s="1">
        <v>89</v>
      </c>
      <c r="B621" t="str" cm="1">
        <f t="array" ref="B621">IFERROR(SUBSTITUTE(INDEX(TechType[[#All],[TechTypeID]],$A621),":","__"),"")</f>
        <v>HV_Tech__CO2sens</v>
      </c>
    </row>
    <row r="622" spans="1:2" hidden="1" x14ac:dyDescent="0.3">
      <c r="A622" s="1">
        <v>189</v>
      </c>
      <c r="B622" t="str" cm="1">
        <f t="array" ref="B622">IFERROR(SUBSTITUTE(INDEX(TechType[[#All],[TechTypeID]],$A622),":","__"),"")</f>
        <v>HV_Tech__D5Tstat</v>
      </c>
    </row>
    <row r="623" spans="1:2" hidden="1" x14ac:dyDescent="0.3">
      <c r="A623" s="1">
        <v>70</v>
      </c>
      <c r="B623" t="str" cm="1">
        <f t="array" ref="B623">IFERROR(SUBSTITUTE(INDEX(TechType[[#All],[TechTypeID]],$A623),":","__"),"")</f>
        <v>HV_Tech__DCV</v>
      </c>
    </row>
    <row r="624" spans="1:2" hidden="1" x14ac:dyDescent="0.3">
      <c r="A624" s="1">
        <v>188</v>
      </c>
      <c r="B624" t="str" cm="1">
        <f t="array" ref="B624">IFERROR(SUBSTITUTE(INDEX(TechType[[#All],[TechTypeID]],$A624),":","__"),"")</f>
        <v>HV_Tech__EMS</v>
      </c>
    </row>
    <row r="625" spans="1:2" hidden="1" x14ac:dyDescent="0.3">
      <c r="A625" s="1">
        <v>71</v>
      </c>
      <c r="B625" t="str" cm="1">
        <f t="array" ref="B625">IFERROR(SUBSTITUTE(INDEX(TechType[[#All],[TechTypeID]],$A625),":","__"),"")</f>
        <v>HV_Tech__OccSens</v>
      </c>
    </row>
    <row r="626" spans="1:2" hidden="1" x14ac:dyDescent="0.3">
      <c r="A626" s="1">
        <v>73</v>
      </c>
      <c r="B626" t="str" cm="1">
        <f t="array" ref="B626">IFERROR(SUBSTITUTE(INDEX(TechType[[#All],[TechTypeID]],$A626),":","__"),"")</f>
        <v>HV_Tech__OxyDemCtrl</v>
      </c>
    </row>
    <row r="627" spans="1:2" hidden="1" x14ac:dyDescent="0.3">
      <c r="A627" s="1">
        <v>187</v>
      </c>
      <c r="B627" t="str" cm="1">
        <f t="array" ref="B627">IFERROR(SUBSTITUTE(INDEX(TechType[[#All],[TechTypeID]],$A627),":","__"),"")</f>
        <v>HV_Tech__Timer</v>
      </c>
    </row>
    <row r="628" spans="1:2" hidden="1" x14ac:dyDescent="0.3">
      <c r="A628" s="1">
        <v>72</v>
      </c>
      <c r="B628" t="str" cm="1">
        <f t="array" ref="B628">IFERROR(SUBSTITUTE(INDEX(TechType[[#All],[TechTypeID]],$A628),":","__"),"")</f>
        <v>HV_Tech__TimerRes</v>
      </c>
    </row>
    <row r="629" spans="1:2" hidden="1" x14ac:dyDescent="0.3">
      <c r="A629" s="1">
        <v>190</v>
      </c>
      <c r="B629" t="str" cm="1">
        <f t="array" ref="B629">IFERROR(SUBSTITUTE(INDEX(TechType[[#All],[TechTypeID]],$A629),":","__"),"")</f>
        <v>HV_Tech__TStat</v>
      </c>
    </row>
    <row r="630" spans="1:2" hidden="1" x14ac:dyDescent="0.3">
      <c r="A630" s="1">
        <v>93</v>
      </c>
      <c r="B630" t="str" cm="1">
        <f t="array" ref="B630">IFERROR(SUBSTITUTE(INDEX(TechType[[#All],[TechTypeID]],$A630),":","__"),"")</f>
        <v>HV_Tech__WHFan</v>
      </c>
    </row>
    <row r="631" spans="1:2" hidden="1" x14ac:dyDescent="0.3">
      <c r="A631" s="1">
        <v>96</v>
      </c>
      <c r="B631" t="str" cm="1">
        <f t="array" ref="B631">IFERROR(SUBSTITUTE(INDEX(TechType[[#All],[TechTypeID]],$A631),":","__"),"")</f>
        <v>Irrigation__IrrifSys</v>
      </c>
    </row>
    <row r="632" spans="1:2" hidden="1" x14ac:dyDescent="0.3">
      <c r="A632" s="1">
        <v>31</v>
      </c>
      <c r="B632" t="str" cm="1">
        <f t="array" ref="B632">IFERROR(SUBSTITUTE(INDEX(TechType[[#All],[TechTypeID]],$A632),":","__"),"")</f>
        <v>LiquidCirc__CircBlockHtr</v>
      </c>
    </row>
    <row r="633" spans="1:2" hidden="1" x14ac:dyDescent="0.3">
      <c r="A633" s="1">
        <v>74</v>
      </c>
      <c r="B633" t="str" cm="1">
        <f t="array" ref="B633">IFERROR(SUBSTITUTE(INDEX(TechType[[#All],[TechTypeID]],$A633),":","__"),"")</f>
        <v>LiquidCirc__CompHeatRecov</v>
      </c>
    </row>
    <row r="634" spans="1:2" hidden="1" x14ac:dyDescent="0.3">
      <c r="A634" s="1">
        <v>83</v>
      </c>
      <c r="B634" t="str" cm="1">
        <f t="array" ref="B634">IFERROR(SUBSTITUTE(INDEX(TechType[[#All],[TechTypeID]],$A634),":","__"),"")</f>
        <v>LiquidCirc__FlowCtrl</v>
      </c>
    </row>
    <row r="635" spans="1:2" hidden="1" x14ac:dyDescent="0.3">
      <c r="A635" s="1">
        <v>206</v>
      </c>
      <c r="B635" t="str" cm="1">
        <f t="array" ref="B635">IFERROR(SUBSTITUTE(INDEX(TechType[[#All],[TechTypeID]],$A635),":","__"),"")</f>
        <v>LiquidCirc__FlowTempCtrl</v>
      </c>
    </row>
    <row r="636" spans="1:2" hidden="1" x14ac:dyDescent="0.3">
      <c r="A636" s="1">
        <v>205</v>
      </c>
      <c r="B636" t="str" cm="1">
        <f t="array" ref="B636">IFERROR(SUBSTITUTE(INDEX(TechType[[#All],[TechTypeID]],$A636),":","__"),"")</f>
        <v>LiquidCirc__PipeIns</v>
      </c>
    </row>
    <row r="637" spans="1:2" hidden="1" x14ac:dyDescent="0.3">
      <c r="A637" s="1">
        <v>204</v>
      </c>
      <c r="B637" t="str" cm="1">
        <f t="array" ref="B637">IFERROR(SUBSTITUTE(INDEX(TechType[[#All],[TechTypeID]],$A637),":","__"),"")</f>
        <v>LiquidCirc__PumpMtr</v>
      </c>
    </row>
    <row r="638" spans="1:2" hidden="1" x14ac:dyDescent="0.3">
      <c r="A638" s="1">
        <v>203</v>
      </c>
      <c r="B638" t="str" cm="1">
        <f t="array" ref="B638">IFERROR(SUBSTITUTE(INDEX(TechType[[#All],[TechTypeID]],$A638),":","__"),"")</f>
        <v>LiquidCirc__TempReset</v>
      </c>
    </row>
    <row r="639" spans="1:2" hidden="1" x14ac:dyDescent="0.3">
      <c r="A639" s="1">
        <v>202</v>
      </c>
      <c r="B639" t="str" cm="1">
        <f t="array" ref="B639">IFERROR(SUBSTITUTE(INDEX(TechType[[#All],[TechTypeID]],$A639),":","__"),"")</f>
        <v>LiquidCirc__Timer</v>
      </c>
    </row>
    <row r="640" spans="1:2" hidden="1" x14ac:dyDescent="0.3">
      <c r="A640" s="1">
        <v>58</v>
      </c>
      <c r="B640" t="str" cm="1">
        <f t="array" ref="B640">IFERROR(SUBSTITUTE(INDEX(TechType[[#All],[TechTypeID]],$A640),":","__"),"")</f>
        <v>Ltg_Ballast__LF</v>
      </c>
    </row>
    <row r="641" spans="1:2" hidden="1" x14ac:dyDescent="0.3">
      <c r="A641" s="1">
        <v>132</v>
      </c>
      <c r="B641" t="str" cm="1">
        <f t="array" ref="B641">IFERROR(SUBSTITUTE(INDEX(TechType[[#All],[TechTypeID]],$A641),":","__"),"")</f>
        <v>Ltg_Controls__IRsensor</v>
      </c>
    </row>
    <row r="642" spans="1:2" hidden="1" x14ac:dyDescent="0.3">
      <c r="A642" s="1">
        <v>134</v>
      </c>
      <c r="B642" t="str" cm="1">
        <f t="array" ref="B642">IFERROR(SUBSTITUTE(INDEX(TechType[[#All],[TechTypeID]],$A642),":","__"),"")</f>
        <v>Ltg_Controls__LtSensor</v>
      </c>
    </row>
    <row r="643" spans="1:2" hidden="1" x14ac:dyDescent="0.3">
      <c r="A643" s="1">
        <v>81</v>
      </c>
      <c r="B643" t="str" cm="1">
        <f t="array" ref="B643">IFERROR(SUBSTITUTE(INDEX(TechType[[#All],[TechTypeID]],$A643),":","__"),"")</f>
        <v>Ltg_Controls__OccSensor</v>
      </c>
    </row>
    <row r="644" spans="1:2" hidden="1" x14ac:dyDescent="0.3">
      <c r="A644" s="1">
        <v>133</v>
      </c>
      <c r="B644" t="str" cm="1">
        <f t="array" ref="B644">IFERROR(SUBSTITUTE(INDEX(TechType[[#All],[TechTypeID]],$A644),":","__"),"")</f>
        <v>Ltg_Controls__Timer</v>
      </c>
    </row>
    <row r="645" spans="1:2" hidden="1" x14ac:dyDescent="0.3">
      <c r="A645" s="1">
        <v>51</v>
      </c>
      <c r="B645" t="str" cm="1">
        <f t="array" ref="B645">IFERROR(SUBSTITUTE(INDEX(TechType[[#All],[TechTypeID]],$A645),":","__"),"")</f>
        <v>Ltg_Fixture__CFL_</v>
      </c>
    </row>
    <row r="646" spans="1:2" hidden="1" x14ac:dyDescent="0.3">
      <c r="A646" s="1">
        <v>54</v>
      </c>
      <c r="B646" t="str" cm="1">
        <f t="array" ref="B646">IFERROR(SUBSTITUTE(INDEX(TechType[[#All],[TechTypeID]],$A646),":","__"),"")</f>
        <v>Ltg_Fixture__Exit</v>
      </c>
    </row>
    <row r="647" spans="1:2" hidden="1" x14ac:dyDescent="0.3">
      <c r="A647" s="1">
        <v>52</v>
      </c>
      <c r="B647" t="str" cm="1">
        <f t="array" ref="B647">IFERROR(SUBSTITUTE(INDEX(TechType[[#All],[TechTypeID]],$A647),":","__"),"")</f>
        <v>Ltg_Fixture__HID</v>
      </c>
    </row>
    <row r="648" spans="1:2" hidden="1" x14ac:dyDescent="0.3">
      <c r="A648" s="1">
        <v>44</v>
      </c>
      <c r="B648" t="str" cm="1">
        <f t="array" ref="B648">IFERROR(SUBSTITUTE(INDEX(TechType[[#All],[TechTypeID]],$A648),":","__"),"")</f>
        <v>Ltg_Fixture__Ind</v>
      </c>
    </row>
    <row r="649" spans="1:2" hidden="1" x14ac:dyDescent="0.3">
      <c r="A649" s="1">
        <v>53</v>
      </c>
      <c r="B649" t="str" cm="1">
        <f t="array" ref="B649">IFERROR(SUBSTITUTE(INDEX(TechType[[#All],[TechTypeID]],$A649),":","__"),"")</f>
        <v>Ltg_Fixture__LED</v>
      </c>
    </row>
    <row r="650" spans="1:2" hidden="1" x14ac:dyDescent="0.3">
      <c r="A650" s="1">
        <v>55</v>
      </c>
      <c r="B650" t="str" cm="1">
        <f t="array" ref="B650">IFERROR(SUBSTITUTE(INDEX(TechType[[#All],[TechTypeID]],$A650),":","__"),"")</f>
        <v>Ltg_Fixture__LinFluor</v>
      </c>
    </row>
    <row r="651" spans="1:2" hidden="1" x14ac:dyDescent="0.3">
      <c r="A651" s="1">
        <v>63</v>
      </c>
      <c r="B651" t="str" cm="1">
        <f t="array" ref="B651">IFERROR(SUBSTITUTE(INDEX(TechType[[#All],[TechTypeID]],$A651),":","__"),"")</f>
        <v>Ltg_Lamp__CFLint</v>
      </c>
    </row>
    <row r="652" spans="1:2" hidden="1" x14ac:dyDescent="0.3">
      <c r="A652" s="1">
        <v>62</v>
      </c>
      <c r="B652" t="str" cm="1">
        <f t="array" ref="B652">IFERROR(SUBSTITUTE(INDEX(TechType[[#All],[TechTypeID]],$A652),":","__"),"")</f>
        <v>Ltg_Lamp__CFLpin</v>
      </c>
    </row>
    <row r="653" spans="1:2" hidden="1" x14ac:dyDescent="0.3">
      <c r="A653" s="1">
        <v>61</v>
      </c>
      <c r="B653" t="str" cm="1">
        <f t="array" ref="B653">IFERROR(SUBSTITUTE(INDEX(TechType[[#All],[TechTypeID]],$A653),":","__"),"")</f>
        <v>Ltg_Lamp__Hal</v>
      </c>
    </row>
    <row r="654" spans="1:2" hidden="1" x14ac:dyDescent="0.3">
      <c r="A654" s="1">
        <v>64</v>
      </c>
      <c r="B654" t="str" cm="1">
        <f t="array" ref="B654">IFERROR(SUBSTITUTE(INDEX(TechType[[#All],[TechTypeID]],$A654),":","__"),"")</f>
        <v>Ltg_Lamp__Incan</v>
      </c>
    </row>
    <row r="655" spans="1:2" hidden="1" x14ac:dyDescent="0.3">
      <c r="A655" s="1">
        <v>60</v>
      </c>
      <c r="B655" t="str" cm="1">
        <f t="array" ref="B655">IFERROR(SUBSTITUTE(INDEX(TechType[[#All],[TechTypeID]],$A655),":","__"),"")</f>
        <v>Ltg_Lamp__LED</v>
      </c>
    </row>
    <row r="656" spans="1:2" hidden="1" x14ac:dyDescent="0.3">
      <c r="A656" s="1">
        <v>59</v>
      </c>
      <c r="B656" t="str" cm="1">
        <f t="array" ref="B656">IFERROR(SUBSTITUTE(INDEX(TechType[[#All],[TechTypeID]],$A656),":","__"),"")</f>
        <v>Ltg_Lamp__LF</v>
      </c>
    </row>
    <row r="657" spans="1:2" hidden="1" x14ac:dyDescent="0.3">
      <c r="A657" s="1">
        <v>46</v>
      </c>
      <c r="B657" t="str" cm="1">
        <f t="array" ref="B657">IFERROR(SUBSTITUTE(INDEX(TechType[[#All],[TechTypeID]],$A657),":","__"),"")</f>
        <v>Ltg_Lmp+Blst__CFL</v>
      </c>
    </row>
    <row r="658" spans="1:2" hidden="1" x14ac:dyDescent="0.3">
      <c r="A658" s="1">
        <v>56</v>
      </c>
      <c r="B658" t="str" cm="1">
        <f t="array" ref="B658">IFERROR(SUBSTITUTE(INDEX(TechType[[#All],[TechTypeID]],$A658),":","__"),"")</f>
        <v>Ltg_Lmp+Blst__HID</v>
      </c>
    </row>
    <row r="659" spans="1:2" hidden="1" x14ac:dyDescent="0.3">
      <c r="A659" s="1">
        <v>45</v>
      </c>
      <c r="B659" t="str" cm="1">
        <f t="array" ref="B659">IFERROR(SUBSTITUTE(INDEX(TechType[[#All],[TechTypeID]],$A659),":","__"),"")</f>
        <v>Ltg_Lmp+Blst__Ind</v>
      </c>
    </row>
    <row r="660" spans="1:2" hidden="1" x14ac:dyDescent="0.3">
      <c r="A660" s="1">
        <v>57</v>
      </c>
      <c r="B660" t="str" cm="1">
        <f t="array" ref="B660">IFERROR(SUBSTITUTE(INDEX(TechType[[#All],[TechTypeID]],$A660),":","__"),"")</f>
        <v>Ltg_Lmp+Blst__LF</v>
      </c>
    </row>
    <row r="661" spans="1:2" hidden="1" x14ac:dyDescent="0.3">
      <c r="A661" s="1">
        <v>48</v>
      </c>
      <c r="B661" t="str" cm="1">
        <f t="array" ref="B661">IFERROR(SUBSTITUTE(INDEX(TechType[[#All],[TechTypeID]],$A661),":","__"),"")</f>
        <v>Ltg_PlugIn__Fixture</v>
      </c>
    </row>
    <row r="662" spans="1:2" hidden="1" x14ac:dyDescent="0.3">
      <c r="A662" s="1">
        <v>50</v>
      </c>
      <c r="B662" t="str" cm="1">
        <f t="array" ref="B662">IFERROR(SUBSTITUTE(INDEX(TechType[[#All],[TechTypeID]],$A662),":","__"),"")</f>
        <v>Ltg_PlugIn__LtString</v>
      </c>
    </row>
    <row r="663" spans="1:2" hidden="1" x14ac:dyDescent="0.3">
      <c r="A663" s="1">
        <v>49</v>
      </c>
      <c r="B663" t="str" cm="1">
        <f t="array" ref="B663">IFERROR(SUBSTITUTE(INDEX(TechType[[#All],[TechTypeID]],$A663),":","__"),"")</f>
        <v>Ltg_PlugIn__NiteLight</v>
      </c>
    </row>
    <row r="664" spans="1:2" hidden="1" x14ac:dyDescent="0.3">
      <c r="A664" s="1">
        <v>47</v>
      </c>
      <c r="B664" t="str" cm="1">
        <f t="array" ref="B664">IFERROR(SUBSTITUTE(INDEX(TechType[[#All],[TechTypeID]],$A664),":","__"),"")</f>
        <v>Ltg_PlugIn__Signage</v>
      </c>
    </row>
    <row r="665" spans="1:2" hidden="1" x14ac:dyDescent="0.3">
      <c r="A665" s="1">
        <v>173</v>
      </c>
      <c r="B665" t="str" cm="1">
        <f t="array" ref="B665">IFERROR(SUBSTITUTE(INDEX(TechType[[#All],[TechTypeID]],$A665),":","__"),"")</f>
        <v>Motor__GenPurpose</v>
      </c>
    </row>
    <row r="666" spans="1:2" hidden="1" x14ac:dyDescent="0.3">
      <c r="A666" s="1">
        <v>176</v>
      </c>
      <c r="B666" t="str" cm="1">
        <f t="array" ref="B666">IFERROR(SUBSTITUTE(INDEX(TechType[[#All],[TechTypeID]],$A666),":","__"),"")</f>
        <v>Motor_gen__Agitation</v>
      </c>
    </row>
    <row r="667" spans="1:2" hidden="1" x14ac:dyDescent="0.3">
      <c r="A667" s="1">
        <v>175</v>
      </c>
      <c r="B667" t="str" cm="1">
        <f t="array" ref="B667">IFERROR(SUBSTITUTE(INDEX(TechType[[#All],[TechTypeID]],$A667),":","__"),"")</f>
        <v>Motor_gen__BlrDraftFan</v>
      </c>
    </row>
    <row r="668" spans="1:2" hidden="1" x14ac:dyDescent="0.3">
      <c r="A668" s="1">
        <v>182</v>
      </c>
      <c r="B668" t="str" cm="1">
        <f t="array" ref="B668">IFERROR(SUBSTITUTE(INDEX(TechType[[#All],[TechTypeID]],$A668),":","__"),"")</f>
        <v>Motor_gen__CondRetpmp</v>
      </c>
    </row>
    <row r="669" spans="1:2" hidden="1" x14ac:dyDescent="0.3">
      <c r="A669" s="1">
        <v>180</v>
      </c>
      <c r="B669" t="str" cm="1">
        <f t="array" ref="B669">IFERROR(SUBSTITUTE(INDEX(TechType[[#All],[TechTypeID]],$A669),":","__"),"")</f>
        <v>Motor_gen__ConveyDrv</v>
      </c>
    </row>
    <row r="670" spans="1:2" hidden="1" x14ac:dyDescent="0.3">
      <c r="A670" s="1">
        <v>179</v>
      </c>
      <c r="B670" t="str" cm="1">
        <f t="array" ref="B670">IFERROR(SUBSTITUTE(INDEX(TechType[[#All],[TechTypeID]],$A670),":","__"),"")</f>
        <v>Motor_gen__ElevDrv</v>
      </c>
    </row>
    <row r="671" spans="1:2" hidden="1" x14ac:dyDescent="0.3">
      <c r="A671" s="1">
        <v>174</v>
      </c>
      <c r="B671" t="str" cm="1">
        <f t="array" ref="B671">IFERROR(SUBSTITUTE(INDEX(TechType[[#All],[TechTypeID]],$A671),":","__"),"")</f>
        <v>Motor_gen__IrrigPmp</v>
      </c>
    </row>
    <row r="672" spans="1:2" hidden="1" x14ac:dyDescent="0.3">
      <c r="A672" s="1">
        <v>178</v>
      </c>
      <c r="B672" t="str" cm="1">
        <f t="array" ref="B672">IFERROR(SUBSTITUTE(INDEX(TechType[[#All],[TechTypeID]],$A672),":","__"),"")</f>
        <v>Motor_gen__ManMachDrv</v>
      </c>
    </row>
    <row r="673" spans="1:2" hidden="1" x14ac:dyDescent="0.3">
      <c r="A673" s="1">
        <v>177</v>
      </c>
      <c r="B673" t="str" cm="1">
        <f t="array" ref="B673">IFERROR(SUBSTITUTE(INDEX(TechType[[#All],[TechTypeID]],$A673),":","__"),"")</f>
        <v>Motor_gen__MatProcDrv</v>
      </c>
    </row>
    <row r="674" spans="1:2" hidden="1" x14ac:dyDescent="0.3">
      <c r="A674" s="1">
        <v>183</v>
      </c>
      <c r="B674" t="str" cm="1">
        <f t="array" ref="B674">IFERROR(SUBSTITUTE(INDEX(TechType[[#All],[TechTypeID]],$A674),":","__"),"")</f>
        <v>Motor_gen__MUWaterPmp</v>
      </c>
    </row>
    <row r="675" spans="1:2" hidden="1" x14ac:dyDescent="0.3">
      <c r="A675" s="1">
        <v>181</v>
      </c>
      <c r="B675" t="str" cm="1">
        <f t="array" ref="B675">IFERROR(SUBSTITUTE(INDEX(TechType[[#All],[TechTypeID]],$A675),":","__"),"")</f>
        <v>Motor_gen__StackExfan</v>
      </c>
    </row>
    <row r="676" spans="1:2" hidden="1" x14ac:dyDescent="0.3">
      <c r="A676" s="1">
        <v>172</v>
      </c>
      <c r="B676" t="str" cm="1">
        <f t="array" ref="B676">IFERROR(SUBSTITUTE(INDEX(TechType[[#All],[TechTypeID]],$A676),":","__"),"")</f>
        <v>Motor_Spd__ASD</v>
      </c>
    </row>
    <row r="677" spans="1:2" hidden="1" x14ac:dyDescent="0.3">
      <c r="A677" s="1">
        <v>14</v>
      </c>
      <c r="B677" t="str" cm="1">
        <f t="array" ref="B677">IFERROR(SUBSTITUTE(INDEX(TechType[[#All],[TechTypeID]],$A677),":","__"),"")</f>
        <v>NonSav__Bonus</v>
      </c>
    </row>
    <row r="678" spans="1:2" hidden="1" x14ac:dyDescent="0.3">
      <c r="A678" s="1">
        <v>16</v>
      </c>
      <c r="B678" t="str" cm="1">
        <f t="array" ref="B678">IFERROR(SUBSTITUTE(INDEX(TechType[[#All],[TechTypeID]],$A678),":","__"),"")</f>
        <v>NonSav__Correction</v>
      </c>
    </row>
    <row r="679" spans="1:2" hidden="1" x14ac:dyDescent="0.3">
      <c r="A679" s="1">
        <v>17</v>
      </c>
      <c r="B679" t="str" cm="1">
        <f t="array" ref="B679">IFERROR(SUBSTITUTE(INDEX(TechType[[#All],[TechTypeID]],$A679),":","__"),"")</f>
        <v>NonSav__NonSav</v>
      </c>
    </row>
    <row r="680" spans="1:2" hidden="1" x14ac:dyDescent="0.3">
      <c r="A680" s="1">
        <v>15</v>
      </c>
      <c r="B680" t="str" cm="1">
        <f t="array" ref="B680">IFERROR(SUBSTITUTE(INDEX(TechType[[#All],[TechTypeID]],$A680),":","__"),"")</f>
        <v>NonSav__Pilot</v>
      </c>
    </row>
    <row r="681" spans="1:2" hidden="1" x14ac:dyDescent="0.3">
      <c r="A681" s="1">
        <v>86</v>
      </c>
      <c r="B681" t="str" cm="1">
        <f t="array" ref="B681">IFERROR(SUBSTITUTE(INDEX(TechType[[#All],[TechTypeID]],$A681),":","__"),"")</f>
        <v>PoolSpa_eq__LqdPoolCvr</v>
      </c>
    </row>
    <row r="682" spans="1:2" hidden="1" x14ac:dyDescent="0.3">
      <c r="A682" s="1">
        <v>28</v>
      </c>
      <c r="B682" t="str" cm="1">
        <f t="array" ref="B682">IFERROR(SUBSTITUTE(INDEX(TechType[[#All],[TechTypeID]],$A682),":","__"),"")</f>
        <v>PoolSpa_eq__PoolCvr</v>
      </c>
    </row>
    <row r="683" spans="1:2" hidden="1" x14ac:dyDescent="0.3">
      <c r="A683" s="1">
        <v>27</v>
      </c>
      <c r="B683" t="str" cm="1">
        <f t="array" ref="B683">IFERROR(SUBSTITUTE(INDEX(TechType[[#All],[TechTypeID]],$A683),":","__"),"")</f>
        <v>PoolSpa_eq__PoolHeater</v>
      </c>
    </row>
    <row r="684" spans="1:2" hidden="1" x14ac:dyDescent="0.3">
      <c r="A684" s="1">
        <v>78</v>
      </c>
      <c r="B684" t="str" cm="1">
        <f t="array" ref="B684">IFERROR(SUBSTITUTE(INDEX(TechType[[#All],[TechTypeID]],$A684),":","__"),"")</f>
        <v>PoolSpa_eq__PoolPump</v>
      </c>
    </row>
    <row r="685" spans="1:2" hidden="1" x14ac:dyDescent="0.3">
      <c r="A685" s="1">
        <v>43</v>
      </c>
      <c r="B685" t="str" cm="1">
        <f t="array" ref="B685">IFERROR(SUBSTITUTE(INDEX(TechType[[#All],[TechTypeID]],$A685),":","__"),"")</f>
        <v>PumpSystem__CentBstr</v>
      </c>
    </row>
    <row r="686" spans="1:2" hidden="1" x14ac:dyDescent="0.3">
      <c r="A686" s="1">
        <v>143</v>
      </c>
      <c r="B686" t="str" cm="1">
        <f t="array" ref="B686">IFERROR(SUBSTITUTE(INDEX(TechType[[#All],[TechTypeID]],$A686),":","__"),"")</f>
        <v>PumpSystem__Centrif</v>
      </c>
    </row>
    <row r="687" spans="1:2" hidden="1" x14ac:dyDescent="0.3">
      <c r="A687" s="1">
        <v>141</v>
      </c>
      <c r="B687" t="str" cm="1">
        <f t="array" ref="B687">IFERROR(SUBSTITUTE(INDEX(TechType[[#All],[TechTypeID]],$A687),":","__"),"")</f>
        <v>PumpSystem__PosDisp</v>
      </c>
    </row>
    <row r="688" spans="1:2" hidden="1" x14ac:dyDescent="0.3">
      <c r="A688" s="1">
        <v>142</v>
      </c>
      <c r="B688" t="str" cm="1">
        <f t="array" ref="B688">IFERROR(SUBSTITUTE(INDEX(TechType[[#All],[TechTypeID]],$A688),":","__"),"")</f>
        <v>PumpSystem__ProgCapac</v>
      </c>
    </row>
    <row r="689" spans="1:2" hidden="1" x14ac:dyDescent="0.3">
      <c r="A689" s="1">
        <v>42</v>
      </c>
      <c r="B689" t="str" cm="1">
        <f t="array" ref="B689">IFERROR(SUBSTITUTE(INDEX(TechType[[#All],[TechTypeID]],$A689),":","__"),"")</f>
        <v>PumpSystem__SubBstr</v>
      </c>
    </row>
    <row r="690" spans="1:2" hidden="1" x14ac:dyDescent="0.3">
      <c r="A690" s="1">
        <v>41</v>
      </c>
      <c r="B690" t="str" cm="1">
        <f t="array" ref="B690">IFERROR(SUBSTITUTE(INDEX(TechType[[#All],[TechTypeID]],$A690),":","__"),"")</f>
        <v>PumpSystem__SubWell</v>
      </c>
    </row>
    <row r="691" spans="1:2" hidden="1" x14ac:dyDescent="0.3">
      <c r="A691" s="1">
        <v>40</v>
      </c>
      <c r="B691" t="str" cm="1">
        <f t="array" ref="B691">IFERROR(SUBSTITUTE(INDEX(TechType[[#All],[TechTypeID]],$A691),":","__"),"")</f>
        <v>PumpSystem__TurbBstr</v>
      </c>
    </row>
    <row r="692" spans="1:2" hidden="1" x14ac:dyDescent="0.3">
      <c r="A692" s="1">
        <v>39</v>
      </c>
      <c r="B692" t="str" cm="1">
        <f t="array" ref="B692">IFERROR(SUBSTITUTE(INDEX(TechType[[#All],[TechTypeID]],$A692),":","__"),"")</f>
        <v>PumpSystem__TurbWell</v>
      </c>
    </row>
    <row r="693" spans="1:2" hidden="1" x14ac:dyDescent="0.3">
      <c r="A693" s="1">
        <v>109</v>
      </c>
      <c r="B693" t="str" cm="1">
        <f t="array" ref="B693">IFERROR(SUBSTITUTE(INDEX(TechType[[#All],[TechTypeID]],$A693),":","__"),"")</f>
        <v>Ref_SelfCon__IceMach</v>
      </c>
    </row>
    <row r="694" spans="1:2" hidden="1" x14ac:dyDescent="0.3">
      <c r="A694" s="1">
        <v>75</v>
      </c>
      <c r="B694" t="str" cm="1">
        <f t="array" ref="B694">IFERROR(SUBSTITUTE(INDEX(TechType[[#All],[TechTypeID]],$A694),":","__"),"")</f>
        <v xml:space="preserve">Ref_Storage__AutoCloserCF_x000D_
</v>
      </c>
    </row>
    <row r="695" spans="1:2" hidden="1" x14ac:dyDescent="0.3">
      <c r="A695" s="1">
        <v>128</v>
      </c>
      <c r="B695" t="str" cm="1">
        <f t="array" ref="B695">IFERROR(SUBSTITUTE(INDEX(TechType[[#All],[TechTypeID]],$A695),":","__"),"")</f>
        <v>Ref_Storage__Freezer</v>
      </c>
    </row>
    <row r="696" spans="1:2" hidden="1" x14ac:dyDescent="0.3">
      <c r="A696" s="1">
        <v>79</v>
      </c>
      <c r="B696" t="str" cm="1">
        <f t="array" ref="B696">IFERROR(SUBSTITUTE(INDEX(TechType[[#All],[TechTypeID]],$A696),":","__"),"")</f>
        <v>Ref_Storage__Gasket</v>
      </c>
    </row>
    <row r="697" spans="1:2" hidden="1" x14ac:dyDescent="0.3">
      <c r="A697" s="1">
        <v>131</v>
      </c>
      <c r="B697" t="str" cm="1">
        <f t="array" ref="B697">IFERROR(SUBSTITUTE(INDEX(TechType[[#All],[TechTypeID]],$A697),":","__"),"")</f>
        <v>Ref_Storage__HorDisp</v>
      </c>
    </row>
    <row r="698" spans="1:2" hidden="1" x14ac:dyDescent="0.3">
      <c r="A698" s="1">
        <v>76</v>
      </c>
      <c r="B698" t="str" cm="1">
        <f t="array" ref="B698">IFERROR(SUBSTITUTE(INDEX(TechType[[#All],[TechTypeID]],$A698),":","__"),"")</f>
        <v xml:space="preserve">Ref_Storage__NightCover_x000D_
</v>
      </c>
    </row>
    <row r="699" spans="1:2" hidden="1" x14ac:dyDescent="0.3">
      <c r="A699" s="1">
        <v>121</v>
      </c>
      <c r="B699" t="str" cm="1">
        <f t="array" ref="B699">IFERROR(SUBSTITUTE(INDEX(TechType[[#All],[TechTypeID]],$A699),":","__"),"")</f>
        <v>Ref_Storage__ReachIn</v>
      </c>
    </row>
    <row r="700" spans="1:2" hidden="1" x14ac:dyDescent="0.3">
      <c r="A700" s="1">
        <v>65</v>
      </c>
      <c r="B700" t="str" cm="1">
        <f t="array" ref="B700">IFERROR(SUBSTITUTE(INDEX(TechType[[#All],[TechTypeID]],$A700),":","__"),"")</f>
        <v>Ref_Storage__RefControl</v>
      </c>
    </row>
    <row r="701" spans="1:2" hidden="1" x14ac:dyDescent="0.3">
      <c r="A701" s="1">
        <v>129</v>
      </c>
      <c r="B701" t="str" cm="1">
        <f t="array" ref="B701">IFERROR(SUBSTITUTE(INDEX(TechType[[#All],[TechTypeID]],$A701),":","__"),"")</f>
        <v>Ref_Storage__RefrigFrz</v>
      </c>
    </row>
    <row r="702" spans="1:2" hidden="1" x14ac:dyDescent="0.3">
      <c r="A702" s="1">
        <v>122</v>
      </c>
      <c r="B702" t="str" cm="1">
        <f t="array" ref="B702">IFERROR(SUBSTITUTE(INDEX(TechType[[#All],[TechTypeID]],$A702),":","__"),"")</f>
        <v>Ref_Storage__RefrigLtg</v>
      </c>
    </row>
    <row r="703" spans="1:2" hidden="1" x14ac:dyDescent="0.3">
      <c r="A703" s="1">
        <v>124</v>
      </c>
      <c r="B703" t="str" cm="1">
        <f t="array" ref="B703">IFERROR(SUBSTITUTE(INDEX(TechType[[#All],[TechTypeID]],$A703),":","__"),"")</f>
        <v>Ref_Storage__StripCurt</v>
      </c>
    </row>
    <row r="704" spans="1:2" hidden="1" x14ac:dyDescent="0.3">
      <c r="A704" s="1">
        <v>123</v>
      </c>
      <c r="B704" t="str" cm="1">
        <f t="array" ref="B704">IFERROR(SUBSTITUTE(INDEX(TechType[[#All],[TechTypeID]],$A704),":","__"),"")</f>
        <v>Ref_Storage__TempSensor</v>
      </c>
    </row>
    <row r="705" spans="1:2" hidden="1" x14ac:dyDescent="0.3">
      <c r="A705" s="1">
        <v>130</v>
      </c>
      <c r="B705" t="str" cm="1">
        <f t="array" ref="B705">IFERROR(SUBSTITUTE(INDEX(TechType[[#All],[TechTypeID]],$A705),":","__"),"")</f>
        <v>Ref_Storage__VertDisplay</v>
      </c>
    </row>
    <row r="706" spans="1:2" hidden="1" x14ac:dyDescent="0.3">
      <c r="A706" s="1">
        <v>77</v>
      </c>
      <c r="B706" t="str" cm="1">
        <f t="array" ref="B706">IFERROR(SUBSTITUTE(INDEX(TechType[[#All],[TechTypeID]],$A706),":","__"),"")</f>
        <v>Ref_Storage__VMController</v>
      </c>
    </row>
    <row r="707" spans="1:2" hidden="1" x14ac:dyDescent="0.3">
      <c r="A707" s="1">
        <v>126</v>
      </c>
      <c r="B707" t="str" cm="1">
        <f t="array" ref="B707">IFERROR(SUBSTITUTE(INDEX(TechType[[#All],[TechTypeID]],$A707),":","__"),"")</f>
        <v>Ref_Storage__WalkInCool</v>
      </c>
    </row>
    <row r="708" spans="1:2" hidden="1" x14ac:dyDescent="0.3">
      <c r="A708" s="1">
        <v>127</v>
      </c>
      <c r="B708" t="str" cm="1">
        <f t="array" ref="B708">IFERROR(SUBSTITUTE(INDEX(TechType[[#All],[TechTypeID]],$A708),":","__"),"")</f>
        <v>Ref_Storage__WalkInDoor</v>
      </c>
    </row>
    <row r="709" spans="1:2" hidden="1" x14ac:dyDescent="0.3">
      <c r="A709" s="1">
        <v>125</v>
      </c>
      <c r="B709" t="str" cm="1">
        <f t="array" ref="B709">IFERROR(SUBSTITUTE(INDEX(TechType[[#All],[TechTypeID]],$A709),":","__"),"")</f>
        <v>Ref_Storage__WalkInFrz</v>
      </c>
    </row>
    <row r="710" spans="1:2" hidden="1" x14ac:dyDescent="0.3">
      <c r="A710" s="1">
        <v>135</v>
      </c>
      <c r="B710" t="str" cm="1">
        <f t="array" ref="B710">IFERROR(SUBSTITUTE(INDEX(TechType[[#All],[TechTypeID]],$A710),":","__"),"")</f>
        <v>RodPumps__PumpCtrl</v>
      </c>
    </row>
    <row r="711" spans="1:2" hidden="1" x14ac:dyDescent="0.3">
      <c r="A711" s="1">
        <v>217</v>
      </c>
      <c r="B711" t="str" cm="1">
        <f t="array" ref="B711">IFERROR(SUBSTITUTE(INDEX(TechType[[#All],[TechTypeID]],$A711),":","__"),"")</f>
        <v>SpaceHtg_eq__GasFurnace</v>
      </c>
    </row>
    <row r="712" spans="1:2" hidden="1" x14ac:dyDescent="0.3">
      <c r="A712" s="1">
        <v>139</v>
      </c>
      <c r="B712" t="str" cm="1">
        <f t="array" ref="B712">IFERROR(SUBSTITUTE(INDEX(TechType[[#All],[TechTypeID]],$A712),":","__"),"")</f>
        <v>SteamCirc__PipeIns</v>
      </c>
    </row>
    <row r="713" spans="1:2" hidden="1" x14ac:dyDescent="0.3">
      <c r="A713" s="1">
        <v>140</v>
      </c>
      <c r="B713" t="str" cm="1">
        <f t="array" ref="B713">IFERROR(SUBSTITUTE(INDEX(TechType[[#All],[TechTypeID]],$A713),":","__"),"")</f>
        <v>SteamCirc__SteamTrap</v>
      </c>
    </row>
    <row r="714" spans="1:2" hidden="1" x14ac:dyDescent="0.3">
      <c r="A714" s="1">
        <v>163</v>
      </c>
      <c r="B714" t="str" cm="1">
        <f t="array" ref="B714">IFERROR(SUBSTITUTE(INDEX(TechType[[#All],[TechTypeID]],$A714),":","__"),"")</f>
        <v>SteamHtg_eq__Boiler_AF</v>
      </c>
    </row>
    <row r="715" spans="1:2" hidden="1" x14ac:dyDescent="0.3">
      <c r="A715" s="1">
        <v>162</v>
      </c>
      <c r="B715" t="str" cm="1">
        <f t="array" ref="B715">IFERROR(SUBSTITUTE(INDEX(TechType[[#All],[TechTypeID]],$A715),":","__"),"")</f>
        <v>SteamHtg_eq__Boiler_Et</v>
      </c>
    </row>
    <row r="716" spans="1:2" hidden="1" x14ac:dyDescent="0.3">
      <c r="A716" s="1">
        <v>138</v>
      </c>
      <c r="B716" t="str" cm="1">
        <f t="array" ref="B716">IFERROR(SUBSTITUTE(INDEX(TechType[[#All],[TechTypeID]],$A716),":","__"),"")</f>
        <v>VertTrans__ElevMotor</v>
      </c>
    </row>
    <row r="717" spans="1:2" hidden="1" x14ac:dyDescent="0.3">
      <c r="A717" s="1">
        <v>29</v>
      </c>
      <c r="B717" t="str" cm="1">
        <f t="array" ref="B717">IFERROR(SUBSTITUTE(INDEX(TechType[[#All],[TechTypeID]],$A717),":","__"),"")</f>
        <v>WaterFixt__DHWSavingsKit</v>
      </c>
    </row>
    <row r="718" spans="1:2" hidden="1" x14ac:dyDescent="0.3">
      <c r="A718" s="1">
        <v>11</v>
      </c>
      <c r="B718" t="str" cm="1">
        <f t="array" ref="B718">IFERROR(SUBSTITUTE(INDEX(TechType[[#All],[TechTypeID]],$A718),":","__"),"")</f>
        <v>WaterFixt__Faucet</v>
      </c>
    </row>
    <row r="719" spans="1:2" hidden="1" x14ac:dyDescent="0.3">
      <c r="A719" s="1">
        <v>105</v>
      </c>
      <c r="B719" t="str" cm="1">
        <f t="array" ref="B719">IFERROR(SUBSTITUTE(INDEX(TechType[[#All],[TechTypeID]],$A719),":","__"),"")</f>
        <v>WaterFixt__FaucetAer</v>
      </c>
    </row>
    <row r="720" spans="1:2" hidden="1" x14ac:dyDescent="0.3">
      <c r="A720" s="1">
        <v>87</v>
      </c>
      <c r="B720" t="str" cm="1">
        <f t="array" ref="B720">IFERROR(SUBSTITUTE(INDEX(TechType[[#All],[TechTypeID]],$A720),":","__"),"")</f>
        <v>WaterFixt__FlowRestrict</v>
      </c>
    </row>
    <row r="721" spans="1:2" hidden="1" x14ac:dyDescent="0.3">
      <c r="A721" s="1">
        <v>106</v>
      </c>
      <c r="B721" t="str" cm="1">
        <f t="array" ref="B721">IFERROR(SUBSTITUTE(INDEX(TechType[[#All],[TechTypeID]],$A721),":","__"),"")</f>
        <v>WaterFixt__ShowerHd</v>
      </c>
    </row>
    <row r="722" spans="1:2" hidden="1" x14ac:dyDescent="0.3">
      <c r="A722" s="1">
        <v>30</v>
      </c>
      <c r="B722" t="str" cm="1">
        <f t="array" ref="B722">IFERROR(SUBSTITUTE(INDEX(TechType[[#All],[TechTypeID]],$A722),":","__"),"")</f>
        <v>WaterFixt__ShowerHdFlowRes</v>
      </c>
    </row>
    <row r="723" spans="1:2" hidden="1" x14ac:dyDescent="0.3">
      <c r="A723" s="1">
        <v>171</v>
      </c>
      <c r="B723" t="str" cm="1">
        <f t="array" ref="B723">IFERROR(SUBSTITUTE(INDEX(TechType[[#All],[TechTypeID]],$A723),":","__"),"")</f>
        <v>WaterHtg_eq__Boiler_AF</v>
      </c>
    </row>
    <row r="724" spans="1:2" hidden="1" x14ac:dyDescent="0.3">
      <c r="A724" s="1">
        <v>3</v>
      </c>
      <c r="B724" t="str" cm="1">
        <f t="array" ref="B724">IFERROR(SUBSTITUTE(INDEX(TechType[[#All],[TechTypeID]],$A724),":","__"),"")</f>
        <v>WaterHtg_eq__Boiler_Et</v>
      </c>
    </row>
    <row r="725" spans="1:2" hidden="1" x14ac:dyDescent="0.3">
      <c r="A725" s="1">
        <v>170</v>
      </c>
      <c r="B725" t="str" cm="1">
        <f t="array" ref="B725">IFERROR(SUBSTITUTE(INDEX(TechType[[#All],[TechTypeID]],$A725),":","__"),"")</f>
        <v>WaterHtg_eq__Boiler_Et</v>
      </c>
    </row>
    <row r="726" spans="1:2" hidden="1" x14ac:dyDescent="0.3">
      <c r="A726" s="1">
        <v>9</v>
      </c>
      <c r="B726" t="str" cm="1">
        <f t="array" ref="B726">IFERROR(SUBSTITUTE(INDEX(TechType[[#All],[TechTypeID]],$A726),":","__"),"")</f>
        <v>WaterHtg_eq__Boiler_Et_Central</v>
      </c>
    </row>
    <row r="727" spans="1:2" hidden="1" x14ac:dyDescent="0.3">
      <c r="A727" s="1">
        <v>12</v>
      </c>
      <c r="B727" t="str" cm="1">
        <f t="array" ref="B727">IFERROR(SUBSTITUTE(INDEX(TechType[[#All],[TechTypeID]],$A727),":","__"),"")</f>
        <v>WaterHtg_eq__HP_COP</v>
      </c>
    </row>
    <row r="728" spans="1:2" hidden="1" x14ac:dyDescent="0.3">
      <c r="A728" s="1">
        <v>10</v>
      </c>
      <c r="B728" t="str" cm="1">
        <f t="array" ref="B728">IFERROR(SUBSTITUTE(INDEX(TechType[[#All],[TechTypeID]],$A728),":","__"),"")</f>
        <v>WaterHtg_eq__HP_COP_Central</v>
      </c>
    </row>
    <row r="729" spans="1:2" hidden="1" x14ac:dyDescent="0.3">
      <c r="A729" s="1">
        <v>165</v>
      </c>
      <c r="B729" t="str" cm="1">
        <f t="array" ref="B729">IFERROR(SUBSTITUTE(INDEX(TechType[[#All],[TechTypeID]],$A729),":","__"),"")</f>
        <v>WaterHtg_eq__HP_EF</v>
      </c>
    </row>
    <row r="730" spans="1:2" hidden="1" x14ac:dyDescent="0.3">
      <c r="A730" s="1">
        <v>19</v>
      </c>
      <c r="B730" t="str" cm="1">
        <f t="array" ref="B730">IFERROR(SUBSTITUTE(INDEX(TechType[[#All],[TechTypeID]],$A730),":","__"),"")</f>
        <v>WaterHtg_eq__HP_UEF</v>
      </c>
    </row>
    <row r="731" spans="1:2" hidden="1" x14ac:dyDescent="0.3">
      <c r="A731" s="1">
        <v>169</v>
      </c>
      <c r="B731" t="str" cm="1">
        <f t="array" ref="B731">IFERROR(SUBSTITUTE(INDEX(TechType[[#All],[TechTypeID]],$A731),":","__"),"")</f>
        <v>WaterHtg_eq__Instant_EF</v>
      </c>
    </row>
    <row r="732" spans="1:2" hidden="1" x14ac:dyDescent="0.3">
      <c r="A732" s="1">
        <v>168</v>
      </c>
      <c r="B732" t="str" cm="1">
        <f t="array" ref="B732">IFERROR(SUBSTITUTE(INDEX(TechType[[#All],[TechTypeID]],$A732),":","__"),"")</f>
        <v>WaterHtg_eq__Instant_Et</v>
      </c>
    </row>
    <row r="733" spans="1:2" hidden="1" x14ac:dyDescent="0.3">
      <c r="A733" s="1">
        <v>21</v>
      </c>
      <c r="B733" t="str" cm="1">
        <f t="array" ref="B733">IFERROR(SUBSTITUTE(INDEX(TechType[[#All],[TechTypeID]],$A733),":","__"),"")</f>
        <v>WaterHtg_eq__Instant_UEF</v>
      </c>
    </row>
    <row r="734" spans="1:2" hidden="1" x14ac:dyDescent="0.3">
      <c r="A734" s="1">
        <v>167</v>
      </c>
      <c r="B734" t="str" cm="1">
        <f t="array" ref="B734">IFERROR(SUBSTITUTE(INDEX(TechType[[#All],[TechTypeID]],$A734),":","__"),"")</f>
        <v>WaterHtg_eq__Stor_EF</v>
      </c>
    </row>
    <row r="735" spans="1:2" hidden="1" x14ac:dyDescent="0.3">
      <c r="A735" s="1">
        <v>166</v>
      </c>
      <c r="B735" t="str" cm="1">
        <f t="array" ref="B735">IFERROR(SUBSTITUTE(INDEX(TechType[[#All],[TechTypeID]],$A735),":","__"),"")</f>
        <v>WaterHtg_eq__Stor_Et</v>
      </c>
    </row>
    <row r="736" spans="1:2" hidden="1" x14ac:dyDescent="0.3">
      <c r="A736" s="1">
        <v>8</v>
      </c>
      <c r="B736" t="str" cm="1">
        <f t="array" ref="B736">IFERROR(SUBSTITUTE(INDEX(TechType[[#All],[TechTypeID]],$A736),":","__"),"")</f>
        <v>WaterHtg_eq__Stor_Et_Central</v>
      </c>
    </row>
    <row r="737" spans="1:2" hidden="1" x14ac:dyDescent="0.3">
      <c r="A737" s="1">
        <v>20</v>
      </c>
      <c r="B737" t="str" cm="1">
        <f t="array" ref="B737">IFERROR(SUBSTITUTE(INDEX(TechType[[#All],[TechTypeID]],$A737),":","__"),"")</f>
        <v>WaterHtg_eq__Stor_UEF</v>
      </c>
    </row>
    <row r="738" spans="1:2" hidden="1" x14ac:dyDescent="0.3">
      <c r="A738" s="1">
        <v>164</v>
      </c>
      <c r="B738" t="str" cm="1">
        <f t="array" ref="B738">IFERROR(SUBSTITUTE(INDEX(TechType[[#All],[TechTypeID]],$A738),":","__"),"")</f>
        <v>WaterHtg_eq__TankIns</v>
      </c>
    </row>
    <row r="739" spans="1:2" hidden="1" x14ac:dyDescent="0.3">
      <c r="A739" s="1">
        <v>84</v>
      </c>
      <c r="B739" t="str" cm="1">
        <f t="array" ref="B739">IFERROR(SUBSTITUTE(INDEX(TechType[[#All],[TechTypeID]],$A739),":","__"),"")</f>
        <v>WhlBldg__WBldgImpArea</v>
      </c>
    </row>
    <row r="740" spans="1:2" hidden="1" x14ac:dyDescent="0.3">
      <c r="A740" s="1">
        <v>85</v>
      </c>
      <c r="B740" t="str" cm="1">
        <f t="array" ref="B740">IFERROR(SUBSTITUTE(INDEX(TechType[[#All],[TechTypeID]],$A740),":","__"),"")</f>
        <v>WhlBldg__WBldgImpSite</v>
      </c>
    </row>
    <row r="741" spans="1:2" hidden="1" x14ac:dyDescent="0.3">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546875" defaultRowHeight="10.199999999999999" x14ac:dyDescent="0.3"/>
  <cols>
    <col min="1" max="1" width="6.44140625" style="9" bestFit="1" customWidth="1"/>
    <col min="2" max="2" width="10.109375" style="9" bestFit="1" customWidth="1"/>
    <col min="3" max="3" width="22.88671875" style="6" bestFit="1" customWidth="1"/>
    <col min="4" max="4" width="12.44140625" style="9" bestFit="1" customWidth="1"/>
    <col min="5" max="5" width="8.88671875" style="9" bestFit="1" customWidth="1"/>
    <col min="6" max="6" width="11.88671875" style="6" bestFit="1" customWidth="1"/>
    <col min="7" max="7" width="6.44140625" style="9" bestFit="1" customWidth="1"/>
    <col min="8" max="8" width="34.5546875" style="6" bestFit="1" customWidth="1"/>
    <col min="9" max="9" width="9.88671875" style="9" bestFit="1" customWidth="1"/>
    <col min="10" max="10" width="9.44140625" style="9" bestFit="1" customWidth="1"/>
    <col min="11" max="11" width="20.109375" style="9" customWidth="1"/>
    <col min="12" max="12" width="8.44140625" style="10" bestFit="1" customWidth="1"/>
    <col min="13" max="13" width="8.88671875" style="10" bestFit="1" customWidth="1"/>
    <col min="14" max="14" width="12.5546875" style="10" bestFit="1" customWidth="1"/>
    <col min="15" max="15" width="12.109375" style="10" bestFit="1" customWidth="1"/>
    <col min="16" max="16" width="8.5546875" style="11" bestFit="1" customWidth="1"/>
    <col min="17" max="17" width="9.5546875" style="11" bestFit="1" customWidth="1"/>
    <col min="18" max="19" width="9.5546875" style="10" bestFit="1" customWidth="1"/>
    <col min="20" max="20" width="10.5546875" style="10" bestFit="1" customWidth="1"/>
    <col min="21" max="21" width="8.5546875" style="11" bestFit="1" customWidth="1"/>
    <col min="22" max="22" width="10.5546875" style="12" bestFit="1" customWidth="1"/>
    <col min="23" max="23" width="8.109375" style="11" bestFit="1" customWidth="1"/>
    <col min="24" max="24" width="44.44140625" style="12" bestFit="1" customWidth="1"/>
    <col min="25" max="25" width="14.44140625" style="10" bestFit="1" customWidth="1"/>
    <col min="26" max="26" width="18.5546875" style="12" bestFit="1" customWidth="1"/>
    <col min="27" max="16384" width="7.5546875" style="9"/>
  </cols>
  <sheetData>
    <row r="1" spans="1:26" s="6" customFormat="1" x14ac:dyDescent="0.3">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0.6" hidden="1" x14ac:dyDescent="0.3">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0.399999999999999" hidden="1" x14ac:dyDescent="0.3">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0.399999999999999" hidden="1" x14ac:dyDescent="0.3">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0.399999999999999" hidden="1" x14ac:dyDescent="0.3">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0.6" hidden="1" x14ac:dyDescent="0.3">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0.399999999999999" hidden="1" x14ac:dyDescent="0.3">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0.399999999999999" hidden="1" x14ac:dyDescent="0.3">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30.6" hidden="1" x14ac:dyDescent="0.3">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0.399999999999999" hidden="1" x14ac:dyDescent="0.3">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0.399999999999999" hidden="1" x14ac:dyDescent="0.3">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0.399999999999999" hidden="1" x14ac:dyDescent="0.3">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0.399999999999999" hidden="1" x14ac:dyDescent="0.3">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0.399999999999999" hidden="1" x14ac:dyDescent="0.3">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0.399999999999999" hidden="1" x14ac:dyDescent="0.3">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0.399999999999999" hidden="1" x14ac:dyDescent="0.3">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0.399999999999999" hidden="1" x14ac:dyDescent="0.3">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0.399999999999999" hidden="1" x14ac:dyDescent="0.3">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0.399999999999999" hidden="1" x14ac:dyDescent="0.3">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0.399999999999999" hidden="1" x14ac:dyDescent="0.3">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0.399999999999999" hidden="1" x14ac:dyDescent="0.3">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0.399999999999999" hidden="1" x14ac:dyDescent="0.3">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0.399999999999999" hidden="1" x14ac:dyDescent="0.3">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0.399999999999999" hidden="1" x14ac:dyDescent="0.3">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0.399999999999999" hidden="1" x14ac:dyDescent="0.3">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0.399999999999999" hidden="1" x14ac:dyDescent="0.3">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0.399999999999999" hidden="1" x14ac:dyDescent="0.3">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0.399999999999999" hidden="1" x14ac:dyDescent="0.3">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20.399999999999999" hidden="1" x14ac:dyDescent="0.3">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0.399999999999999" hidden="1" x14ac:dyDescent="0.3">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0.399999999999999" hidden="1" x14ac:dyDescent="0.3">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0.399999999999999" hidden="1" x14ac:dyDescent="0.3">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0.399999999999999" hidden="1" x14ac:dyDescent="0.3">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0.399999999999999" hidden="1" x14ac:dyDescent="0.3">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0.399999999999999" hidden="1" x14ac:dyDescent="0.3">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0.399999999999999" hidden="1" x14ac:dyDescent="0.3">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0.399999999999999" hidden="1" x14ac:dyDescent="0.3">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0.399999999999999" hidden="1" x14ac:dyDescent="0.3">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0.399999999999999" hidden="1" x14ac:dyDescent="0.3">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0.399999999999999" hidden="1" x14ac:dyDescent="0.3">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0.399999999999999" hidden="1" x14ac:dyDescent="0.3">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0.399999999999999" hidden="1" x14ac:dyDescent="0.3">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0.399999999999999" hidden="1" x14ac:dyDescent="0.3">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0.399999999999999" hidden="1" x14ac:dyDescent="0.3">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0.399999999999999" hidden="1" x14ac:dyDescent="0.3">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0.399999999999999" hidden="1" x14ac:dyDescent="0.3">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0.399999999999999" hidden="1" x14ac:dyDescent="0.3">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0.399999999999999" hidden="1" x14ac:dyDescent="0.3">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0.399999999999999" hidden="1" x14ac:dyDescent="0.3">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0.399999999999999" hidden="1" x14ac:dyDescent="0.3">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0.399999999999999" hidden="1" x14ac:dyDescent="0.3">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0.399999999999999" hidden="1" x14ac:dyDescent="0.3">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0.399999999999999" hidden="1" x14ac:dyDescent="0.3">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0.399999999999999" hidden="1" x14ac:dyDescent="0.3">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0.399999999999999" hidden="1" x14ac:dyDescent="0.3">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0.399999999999999" hidden="1" x14ac:dyDescent="0.3">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0.399999999999999" hidden="1" x14ac:dyDescent="0.3">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0.399999999999999" hidden="1" x14ac:dyDescent="0.3">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0.399999999999999" hidden="1" x14ac:dyDescent="0.3">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0.399999999999999" hidden="1" x14ac:dyDescent="0.3">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0.399999999999999" hidden="1" x14ac:dyDescent="0.3">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0.399999999999999" hidden="1" x14ac:dyDescent="0.3">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0.399999999999999" hidden="1" x14ac:dyDescent="0.3">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0.399999999999999" hidden="1" x14ac:dyDescent="0.3">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0.399999999999999" hidden="1" x14ac:dyDescent="0.3">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0.399999999999999" hidden="1" x14ac:dyDescent="0.3">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0.399999999999999" hidden="1" x14ac:dyDescent="0.3">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0.399999999999999" hidden="1" x14ac:dyDescent="0.3">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0.399999999999999" hidden="1" x14ac:dyDescent="0.3">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20.399999999999999" hidden="1" x14ac:dyDescent="0.3">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0.399999999999999" hidden="1" x14ac:dyDescent="0.3">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0.6" hidden="1" x14ac:dyDescent="0.3">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0.399999999999999" hidden="1" x14ac:dyDescent="0.3">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0.6" hidden="1" x14ac:dyDescent="0.3">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0.399999999999999" hidden="1" x14ac:dyDescent="0.3">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0.6" hidden="1" x14ac:dyDescent="0.3">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0.399999999999999" hidden="1" x14ac:dyDescent="0.3">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0.399999999999999" hidden="1" x14ac:dyDescent="0.3">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0.399999999999999" hidden="1" x14ac:dyDescent="0.3">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0.399999999999999" x14ac:dyDescent="0.3">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0.399999999999999" hidden="1" x14ac:dyDescent="0.3">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0.399999999999999" hidden="1" x14ac:dyDescent="0.3">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0.399999999999999" hidden="1" x14ac:dyDescent="0.3">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0.399999999999999" hidden="1" x14ac:dyDescent="0.3">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0.399999999999999" hidden="1" x14ac:dyDescent="0.3">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0.399999999999999" hidden="1" x14ac:dyDescent="0.3">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0.399999999999999" hidden="1" x14ac:dyDescent="0.3">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0.399999999999999" hidden="1" x14ac:dyDescent="0.3">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0.399999999999999" hidden="1" x14ac:dyDescent="0.3">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0.399999999999999" hidden="1" x14ac:dyDescent="0.3">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0.399999999999999" hidden="1" x14ac:dyDescent="0.3">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0.399999999999999" x14ac:dyDescent="0.3">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0.399999999999999" hidden="1" x14ac:dyDescent="0.3">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0.399999999999999" hidden="1" x14ac:dyDescent="0.3">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0.399999999999999" hidden="1" x14ac:dyDescent="0.3">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0.399999999999999" hidden="1" x14ac:dyDescent="0.3">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0.399999999999999" hidden="1" x14ac:dyDescent="0.3">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0.399999999999999" hidden="1" x14ac:dyDescent="0.3">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0.399999999999999" hidden="1" x14ac:dyDescent="0.3">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0.399999999999999" hidden="1" x14ac:dyDescent="0.3">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0.399999999999999" hidden="1" x14ac:dyDescent="0.3">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0.399999999999999" hidden="1" x14ac:dyDescent="0.3">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0.399999999999999" hidden="1" x14ac:dyDescent="0.3">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0.399999999999999" hidden="1" x14ac:dyDescent="0.3">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0.399999999999999" hidden="1" x14ac:dyDescent="0.3">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0.399999999999999" hidden="1" x14ac:dyDescent="0.3">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0.399999999999999" hidden="1" x14ac:dyDescent="0.3">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0.399999999999999" hidden="1" x14ac:dyDescent="0.3">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0.399999999999999" hidden="1" x14ac:dyDescent="0.3">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0.399999999999999" hidden="1" x14ac:dyDescent="0.3">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0.399999999999999" hidden="1" x14ac:dyDescent="0.3">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0.399999999999999" hidden="1" x14ac:dyDescent="0.3">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0.399999999999999" hidden="1" x14ac:dyDescent="0.3">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0.399999999999999" hidden="1" x14ac:dyDescent="0.3">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0.399999999999999" hidden="1" x14ac:dyDescent="0.3">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0.399999999999999" hidden="1" x14ac:dyDescent="0.3">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0.399999999999999" hidden="1" x14ac:dyDescent="0.3">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0.399999999999999" hidden="1" x14ac:dyDescent="0.3">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0.399999999999999" hidden="1" x14ac:dyDescent="0.3">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0.399999999999999" hidden="1" x14ac:dyDescent="0.3">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0.399999999999999" hidden="1" x14ac:dyDescent="0.3">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0.399999999999999" hidden="1" x14ac:dyDescent="0.3">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0.399999999999999" hidden="1" x14ac:dyDescent="0.3">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0.399999999999999" hidden="1" x14ac:dyDescent="0.3">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0.399999999999999" hidden="1" x14ac:dyDescent="0.3">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0.399999999999999" hidden="1" x14ac:dyDescent="0.3">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0.399999999999999" hidden="1" x14ac:dyDescent="0.3">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0.399999999999999" hidden="1" x14ac:dyDescent="0.3">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20.100000000000001" hidden="1" customHeight="1" x14ac:dyDescent="0.3">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0.399999999999999" hidden="1" x14ac:dyDescent="0.3">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0.399999999999999" hidden="1" x14ac:dyDescent="0.3">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0.399999999999999" hidden="1" x14ac:dyDescent="0.3">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0.399999999999999" hidden="1" x14ac:dyDescent="0.3">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0.399999999999999" hidden="1" x14ac:dyDescent="0.3">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0.399999999999999" hidden="1" x14ac:dyDescent="0.3">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0.399999999999999" hidden="1" x14ac:dyDescent="0.3">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0.6" hidden="1" x14ac:dyDescent="0.3">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0.399999999999999" hidden="1" x14ac:dyDescent="0.3">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0.399999999999999" hidden="1" x14ac:dyDescent="0.3">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0.399999999999999" hidden="1" x14ac:dyDescent="0.3">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0.399999999999999" hidden="1" x14ac:dyDescent="0.3">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0.399999999999999" hidden="1" x14ac:dyDescent="0.3">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0.399999999999999" hidden="1" x14ac:dyDescent="0.3">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0.399999999999999" hidden="1" x14ac:dyDescent="0.3">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0.399999999999999" hidden="1" x14ac:dyDescent="0.3">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0.399999999999999" hidden="1" x14ac:dyDescent="0.3">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0.399999999999999" hidden="1" x14ac:dyDescent="0.3">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0.399999999999999" hidden="1" x14ac:dyDescent="0.3">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0.399999999999999" hidden="1" x14ac:dyDescent="0.3">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0.399999999999999" hidden="1" x14ac:dyDescent="0.3">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0.399999999999999" hidden="1" x14ac:dyDescent="0.3">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0.399999999999999" hidden="1" x14ac:dyDescent="0.3">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0.399999999999999" hidden="1" x14ac:dyDescent="0.3">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0.399999999999999" hidden="1" x14ac:dyDescent="0.3">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0.399999999999999" hidden="1" x14ac:dyDescent="0.3">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0.399999999999999" x14ac:dyDescent="0.3">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0.399999999999999" x14ac:dyDescent="0.3">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0.399999999999999" x14ac:dyDescent="0.3">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0.399999999999999" x14ac:dyDescent="0.3">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0.399999999999999" x14ac:dyDescent="0.3">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0.399999999999999" x14ac:dyDescent="0.3">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0.399999999999999" hidden="1" x14ac:dyDescent="0.3">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0.399999999999999" hidden="1" x14ac:dyDescent="0.3">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0.399999999999999" hidden="1" x14ac:dyDescent="0.3">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0.399999999999999" hidden="1" x14ac:dyDescent="0.3">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0.399999999999999" hidden="1" x14ac:dyDescent="0.3">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0.399999999999999" hidden="1" x14ac:dyDescent="0.3">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0.399999999999999" hidden="1" x14ac:dyDescent="0.3">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0.399999999999999" hidden="1" x14ac:dyDescent="0.3">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0.399999999999999" hidden="1" x14ac:dyDescent="0.3">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0.399999999999999" hidden="1" x14ac:dyDescent="0.3">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0.399999999999999" hidden="1" x14ac:dyDescent="0.3">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0.399999999999999" hidden="1" x14ac:dyDescent="0.3">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0.399999999999999" hidden="1" x14ac:dyDescent="0.3">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0.399999999999999" hidden="1" x14ac:dyDescent="0.3">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0.399999999999999" hidden="1" x14ac:dyDescent="0.3">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0.399999999999999" hidden="1" x14ac:dyDescent="0.3">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0.399999999999999" hidden="1" x14ac:dyDescent="0.3">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0.399999999999999" hidden="1" x14ac:dyDescent="0.3">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0.399999999999999" hidden="1" x14ac:dyDescent="0.3">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0.399999999999999" hidden="1" x14ac:dyDescent="0.3">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0.399999999999999" hidden="1" x14ac:dyDescent="0.3">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0.399999999999999" hidden="1" x14ac:dyDescent="0.3">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0.399999999999999" hidden="1" x14ac:dyDescent="0.3">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0.399999999999999" hidden="1" x14ac:dyDescent="0.3">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0.399999999999999" hidden="1" x14ac:dyDescent="0.3">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0.399999999999999" hidden="1" x14ac:dyDescent="0.3">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0.399999999999999" hidden="1" x14ac:dyDescent="0.3">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0.399999999999999" hidden="1" x14ac:dyDescent="0.3">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0.399999999999999" hidden="1" x14ac:dyDescent="0.3">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0.399999999999999" hidden="1" x14ac:dyDescent="0.3">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0.399999999999999" hidden="1" x14ac:dyDescent="0.3">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0.399999999999999" hidden="1" x14ac:dyDescent="0.3">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0.399999999999999" hidden="1" x14ac:dyDescent="0.3">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0.399999999999999" hidden="1" x14ac:dyDescent="0.3">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0.399999999999999" hidden="1" x14ac:dyDescent="0.3">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0.399999999999999" hidden="1" x14ac:dyDescent="0.3">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0.399999999999999" hidden="1" x14ac:dyDescent="0.3">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0.399999999999999" hidden="1" x14ac:dyDescent="0.3">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0.399999999999999" hidden="1" x14ac:dyDescent="0.3">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0.399999999999999" hidden="1" x14ac:dyDescent="0.3">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0.399999999999999" hidden="1" x14ac:dyDescent="0.3">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0.399999999999999" hidden="1" x14ac:dyDescent="0.3">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0.399999999999999" hidden="1" x14ac:dyDescent="0.3">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0.399999999999999" hidden="1" x14ac:dyDescent="0.3">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0.6" hidden="1" x14ac:dyDescent="0.3">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0.399999999999999" hidden="1" x14ac:dyDescent="0.3">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0.399999999999999" hidden="1" x14ac:dyDescent="0.3">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0.399999999999999" hidden="1" x14ac:dyDescent="0.3">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0.399999999999999" hidden="1" x14ac:dyDescent="0.3">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0.399999999999999" hidden="1" x14ac:dyDescent="0.3">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0.399999999999999" hidden="1" x14ac:dyDescent="0.3">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0.399999999999999" hidden="1" x14ac:dyDescent="0.3">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0.399999999999999" hidden="1" x14ac:dyDescent="0.3">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0.399999999999999" hidden="1" x14ac:dyDescent="0.3">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0.399999999999999" hidden="1" x14ac:dyDescent="0.3">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0.399999999999999" hidden="1" x14ac:dyDescent="0.3">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0.399999999999999" hidden="1" x14ac:dyDescent="0.3">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0.399999999999999" hidden="1" x14ac:dyDescent="0.3">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0.399999999999999" hidden="1" x14ac:dyDescent="0.3">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0.399999999999999" hidden="1" x14ac:dyDescent="0.3">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0.399999999999999" hidden="1" x14ac:dyDescent="0.3">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0.399999999999999" hidden="1" x14ac:dyDescent="0.3">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0.399999999999999" hidden="1" x14ac:dyDescent="0.3">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0.399999999999999" hidden="1" x14ac:dyDescent="0.3">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0.399999999999999" hidden="1" x14ac:dyDescent="0.3">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0.399999999999999" hidden="1" x14ac:dyDescent="0.3">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0.399999999999999" hidden="1" x14ac:dyDescent="0.3">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0.399999999999999" hidden="1" x14ac:dyDescent="0.3">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0.399999999999999" hidden="1" x14ac:dyDescent="0.3">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0.399999999999999" hidden="1" x14ac:dyDescent="0.3">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0.399999999999999" hidden="1" x14ac:dyDescent="0.3">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0.399999999999999" hidden="1" x14ac:dyDescent="0.3">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8671875" defaultRowHeight="10.199999999999999" x14ac:dyDescent="0.3"/>
  <cols>
    <col min="1" max="1" width="8.44140625" style="13" bestFit="1" customWidth="1"/>
    <col min="2" max="2" width="43.5546875" style="13" bestFit="1" customWidth="1"/>
    <col min="3" max="3" width="12.5546875" style="13" bestFit="1" customWidth="1"/>
    <col min="4" max="4" width="19" style="13" bestFit="1" customWidth="1"/>
    <col min="5" max="5" width="43.5546875" style="13" bestFit="1" customWidth="1"/>
    <col min="6" max="6" width="8.88671875" style="13" bestFit="1" customWidth="1"/>
    <col min="7" max="7" width="12.44140625" style="13" bestFit="1" customWidth="1"/>
    <col min="8" max="8" width="10.44140625" style="16" bestFit="1" customWidth="1"/>
    <col min="9" max="9" width="36.5546875" style="13" bestFit="1" customWidth="1"/>
    <col min="10" max="10" width="20" style="13" bestFit="1" customWidth="1"/>
    <col min="11" max="11" width="10.44140625" style="16" bestFit="1" customWidth="1"/>
    <col min="12" max="12" width="43.5546875" style="13" bestFit="1" customWidth="1"/>
    <col min="13" max="13" width="20" style="13" bestFit="1" customWidth="1"/>
    <col min="14" max="14" width="11.109375" style="13" bestFit="1" customWidth="1"/>
    <col min="15" max="15" width="11.44140625" style="13" bestFit="1" customWidth="1"/>
    <col min="16" max="16" width="10.44140625" style="16" bestFit="1" customWidth="1"/>
    <col min="17" max="17" width="11.44140625" style="16" bestFit="1" customWidth="1"/>
    <col min="18" max="18" width="4.5546875" style="13" bestFit="1" customWidth="1"/>
    <col min="19" max="16384" width="8.88671875" style="13"/>
  </cols>
  <sheetData>
    <row r="1" spans="1:18" x14ac:dyDescent="0.3">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0.6" x14ac:dyDescent="0.3">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0.6" x14ac:dyDescent="0.3">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0.6" x14ac:dyDescent="0.3">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0.6" x14ac:dyDescent="0.3">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0.6" x14ac:dyDescent="0.3">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0.6" x14ac:dyDescent="0.3">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0.6" x14ac:dyDescent="0.3">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0.6" x14ac:dyDescent="0.3">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0.6" x14ac:dyDescent="0.3">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0.6" x14ac:dyDescent="0.3">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0.6" x14ac:dyDescent="0.3">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0.6" x14ac:dyDescent="0.3">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0.6" x14ac:dyDescent="0.3">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0.6" x14ac:dyDescent="0.3">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0.6" x14ac:dyDescent="0.3">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0.6" x14ac:dyDescent="0.3">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0.6" x14ac:dyDescent="0.3">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0.6" x14ac:dyDescent="0.3">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0.6" x14ac:dyDescent="0.3">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1" x14ac:dyDescent="0.3">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1" x14ac:dyDescent="0.3">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1" x14ac:dyDescent="0.3">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0.6" x14ac:dyDescent="0.3">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0.6" x14ac:dyDescent="0.3">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0.6" x14ac:dyDescent="0.3">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0.6" x14ac:dyDescent="0.3">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0.6" x14ac:dyDescent="0.3">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0.6" x14ac:dyDescent="0.3">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0.6" x14ac:dyDescent="0.3">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0.6" x14ac:dyDescent="0.3">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0.6" x14ac:dyDescent="0.3">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0.6" x14ac:dyDescent="0.3">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0.6" x14ac:dyDescent="0.3">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0.6" x14ac:dyDescent="0.3">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0.6" x14ac:dyDescent="0.3">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0.6" x14ac:dyDescent="0.3">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0.6" x14ac:dyDescent="0.3">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0.6" x14ac:dyDescent="0.3">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0.6" x14ac:dyDescent="0.3">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0.6" x14ac:dyDescent="0.3">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0.6" x14ac:dyDescent="0.3">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0.6" x14ac:dyDescent="0.3">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0.6" x14ac:dyDescent="0.3">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0.6" x14ac:dyDescent="0.3">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0.6" x14ac:dyDescent="0.3">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0.6" x14ac:dyDescent="0.3">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0.6" x14ac:dyDescent="0.3">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0.6" x14ac:dyDescent="0.3">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0.6" x14ac:dyDescent="0.3">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0.6" x14ac:dyDescent="0.3">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0.6" x14ac:dyDescent="0.3">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0.6" x14ac:dyDescent="0.3">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0.6" x14ac:dyDescent="0.3">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0.6" x14ac:dyDescent="0.3">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0.6" x14ac:dyDescent="0.3">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0.6" x14ac:dyDescent="0.3">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0.6" x14ac:dyDescent="0.3">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0.6" x14ac:dyDescent="0.3">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0.6" x14ac:dyDescent="0.3">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0.6" x14ac:dyDescent="0.3">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0.6" x14ac:dyDescent="0.3">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0.6" x14ac:dyDescent="0.3">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0.6" x14ac:dyDescent="0.3">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0.6" x14ac:dyDescent="0.3">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0.6" x14ac:dyDescent="0.3">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0.6" x14ac:dyDescent="0.3">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0.6" x14ac:dyDescent="0.3">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0.6" x14ac:dyDescent="0.3">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0.6" x14ac:dyDescent="0.3">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0.6" x14ac:dyDescent="0.3">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3">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3">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3">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3">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3">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3">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3">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3">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3">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3">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3">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3">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3">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3">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3">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3">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3">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3">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0.6" x14ac:dyDescent="0.3">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0.6" x14ac:dyDescent="0.3">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0.6" x14ac:dyDescent="0.3">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0.6" x14ac:dyDescent="0.3">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0.6" x14ac:dyDescent="0.3">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0.6" x14ac:dyDescent="0.3">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0.6" x14ac:dyDescent="0.3">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0.6" x14ac:dyDescent="0.3">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0.6" x14ac:dyDescent="0.3">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0.6" x14ac:dyDescent="0.3">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0.6" x14ac:dyDescent="0.3">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0.6" x14ac:dyDescent="0.3">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0.6" x14ac:dyDescent="0.3">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0.6" x14ac:dyDescent="0.3">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0.6" x14ac:dyDescent="0.3">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0.6" x14ac:dyDescent="0.3">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0.6" x14ac:dyDescent="0.3">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0.6" x14ac:dyDescent="0.3">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0.6" x14ac:dyDescent="0.3">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0.6" x14ac:dyDescent="0.3">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0.6" x14ac:dyDescent="0.3">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0.6" x14ac:dyDescent="0.3">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0.6" x14ac:dyDescent="0.3">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0.6" x14ac:dyDescent="0.3">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0.6" x14ac:dyDescent="0.3">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0.6" x14ac:dyDescent="0.3">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0.6" x14ac:dyDescent="0.3">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0.6" x14ac:dyDescent="0.3">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0.6" x14ac:dyDescent="0.3">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0.6" x14ac:dyDescent="0.3">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0.6" x14ac:dyDescent="0.3">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0.6" x14ac:dyDescent="0.3">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0.6" x14ac:dyDescent="0.3">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0.6" x14ac:dyDescent="0.3">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0.6" x14ac:dyDescent="0.3">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0.6" x14ac:dyDescent="0.3">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40.799999999999997" x14ac:dyDescent="0.3">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40.799999999999997" x14ac:dyDescent="0.3">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0.6" x14ac:dyDescent="0.3">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0.6" x14ac:dyDescent="0.3">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40.799999999999997" x14ac:dyDescent="0.3">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40.799999999999997" x14ac:dyDescent="0.3">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0.6" x14ac:dyDescent="0.3">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0.6" x14ac:dyDescent="0.3">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0.6" x14ac:dyDescent="0.3">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0.6" x14ac:dyDescent="0.3">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0.6" x14ac:dyDescent="0.3">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0.6" x14ac:dyDescent="0.3">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3">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3">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3">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3">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3">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3">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3">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3">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3">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3">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3">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3">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3">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3">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3">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3">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3">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3">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3">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3">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3">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3">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3">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3">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3">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3">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3">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3">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3">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3">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3">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3">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3">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3">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3">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3">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3">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3">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3">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3">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3">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3">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3">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3">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3">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3">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3">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3">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3">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3">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3">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3">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3">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3">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3">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3">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3">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3">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3">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3">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3">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3">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3">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3">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3">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3">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3">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3">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3">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3">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3">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3">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3">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3">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3">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3">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3">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3">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3">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3">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3">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3">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3">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3">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3">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3">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3">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3">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3">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3">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3">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3">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3">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3">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3">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3">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3">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3">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3">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3">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3">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3">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3">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3">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3">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3">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3">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3">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3">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3">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3">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3">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3">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3">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3">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0.6" x14ac:dyDescent="0.3">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3">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3">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3">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3">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3">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3">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0.6" x14ac:dyDescent="0.3">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0.6" x14ac:dyDescent="0.3">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0.6" x14ac:dyDescent="0.3">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0.6" x14ac:dyDescent="0.3">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0.6" x14ac:dyDescent="0.3">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3">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0.6" x14ac:dyDescent="0.3">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0.6" x14ac:dyDescent="0.3">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3">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3">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3">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3">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3">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3">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3">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3">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3">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0.6" x14ac:dyDescent="0.3">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0.6" x14ac:dyDescent="0.3">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0.6" x14ac:dyDescent="0.3">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0.6" x14ac:dyDescent="0.3">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0.6" x14ac:dyDescent="0.3">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0.6" x14ac:dyDescent="0.3">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0.6" x14ac:dyDescent="0.3">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0.6" x14ac:dyDescent="0.3">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0.6" x14ac:dyDescent="0.3">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0.6" x14ac:dyDescent="0.3">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0.6" x14ac:dyDescent="0.3">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0.6" x14ac:dyDescent="0.3">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0.6" x14ac:dyDescent="0.3">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0.6" x14ac:dyDescent="0.3">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0.6" x14ac:dyDescent="0.3">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0.6" x14ac:dyDescent="0.3">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0.6" x14ac:dyDescent="0.3">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0.6" x14ac:dyDescent="0.3">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0.6" x14ac:dyDescent="0.3">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0.6" x14ac:dyDescent="0.3">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0.6" x14ac:dyDescent="0.3">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0.6" x14ac:dyDescent="0.3">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0.6" x14ac:dyDescent="0.3">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0.6" x14ac:dyDescent="0.3">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0.6" x14ac:dyDescent="0.3">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0.6" x14ac:dyDescent="0.3">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40.799999999999997" x14ac:dyDescent="0.3">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40.799999999999997" x14ac:dyDescent="0.3">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1" x14ac:dyDescent="0.3">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1" x14ac:dyDescent="0.3">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40.799999999999997" x14ac:dyDescent="0.3">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1" x14ac:dyDescent="0.3">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3">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0.399999999999999" x14ac:dyDescent="0.3">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3">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3">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3">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3">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3">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3">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3">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3">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3">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3">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3">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3">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3">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3">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3">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3">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3">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3">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3">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3">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3">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3">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3">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3">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3">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3">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3">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3">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0.399999999999999" x14ac:dyDescent="0.3">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51" x14ac:dyDescent="0.3">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0.399999999999999" x14ac:dyDescent="0.3">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0.399999999999999" x14ac:dyDescent="0.3">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0.399999999999999" x14ac:dyDescent="0.3">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3">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0.399999999999999" x14ac:dyDescent="0.3">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0.399999999999999" x14ac:dyDescent="0.3">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0.399999999999999" x14ac:dyDescent="0.3">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0.799999999999997" x14ac:dyDescent="0.3">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40.799999999999997" x14ac:dyDescent="0.3">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0.799999999999997" x14ac:dyDescent="0.3">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0.799999999999997" x14ac:dyDescent="0.3">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0.799999999999997" x14ac:dyDescent="0.3">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40.799999999999997" x14ac:dyDescent="0.3">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0.399999999999999" x14ac:dyDescent="0.3">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0.399999999999999" x14ac:dyDescent="0.3">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0.399999999999999" x14ac:dyDescent="0.3">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0.399999999999999" x14ac:dyDescent="0.3">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0.6" x14ac:dyDescent="0.3">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0.6" x14ac:dyDescent="0.3">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0.6" x14ac:dyDescent="0.3">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0.6" x14ac:dyDescent="0.3">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0.6" x14ac:dyDescent="0.3">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0.6" x14ac:dyDescent="0.3">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40.799999999999997" x14ac:dyDescent="0.3">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40.799999999999997" x14ac:dyDescent="0.3">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0.6" x14ac:dyDescent="0.3">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0.6" x14ac:dyDescent="0.3">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0.6" x14ac:dyDescent="0.3">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0.6" x14ac:dyDescent="0.3">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0.6" x14ac:dyDescent="0.3">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0.6" x14ac:dyDescent="0.3">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0.6" x14ac:dyDescent="0.3">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0.6" x14ac:dyDescent="0.3">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0.6" x14ac:dyDescent="0.3">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0.6" x14ac:dyDescent="0.3">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0.6" x14ac:dyDescent="0.3">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40.799999999999997" x14ac:dyDescent="0.3">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0.6" x14ac:dyDescent="0.3">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0.6" x14ac:dyDescent="0.3">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0.6" x14ac:dyDescent="0.3">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0.6" x14ac:dyDescent="0.3">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0.6" x14ac:dyDescent="0.3">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0.6" x14ac:dyDescent="0.3">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0.6" x14ac:dyDescent="0.3">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0.6" x14ac:dyDescent="0.3">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0.6" x14ac:dyDescent="0.3">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0.6" x14ac:dyDescent="0.3">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0.6" x14ac:dyDescent="0.3">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1" x14ac:dyDescent="0.3">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40.799999999999997" x14ac:dyDescent="0.3">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0.799999999999997" x14ac:dyDescent="0.3">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0.6" x14ac:dyDescent="0.3">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0.6" x14ac:dyDescent="0.3">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0.6" x14ac:dyDescent="0.3">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0.6" x14ac:dyDescent="0.3">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0.6" x14ac:dyDescent="0.3">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0.6" x14ac:dyDescent="0.3">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0.6" x14ac:dyDescent="0.3">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0.6" x14ac:dyDescent="0.3">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0.6" x14ac:dyDescent="0.3">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0.6" x14ac:dyDescent="0.3">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0.6" x14ac:dyDescent="0.3">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3">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3">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3">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3">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3">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3">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3">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3">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3">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3">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3">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3">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3">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3">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3">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3">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3">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3">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3">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3">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3">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3">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3">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3">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3">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3">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3">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3">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3">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3">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3">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3">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3">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3">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3">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3">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3">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3">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3">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3">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3">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3">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3">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3">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3">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3">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3">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3">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3">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3">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3">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3">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3">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3">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3">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3">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3">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3">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3">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3">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3">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3">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3">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0.399999999999999" x14ac:dyDescent="0.3">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0.399999999999999" x14ac:dyDescent="0.3">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0.399999999999999" x14ac:dyDescent="0.3">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0.399999999999999" x14ac:dyDescent="0.3">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0.399999999999999" x14ac:dyDescent="0.3">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0.399999999999999" x14ac:dyDescent="0.3">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0.399999999999999" x14ac:dyDescent="0.3">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x14ac:dyDescent="0.3">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3">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x14ac:dyDescent="0.3">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x14ac:dyDescent="0.3">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x14ac:dyDescent="0.3">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x14ac:dyDescent="0.3">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x14ac:dyDescent="0.3">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x14ac:dyDescent="0.3">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3">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x14ac:dyDescent="0.3">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x14ac:dyDescent="0.3">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x14ac:dyDescent="0.3">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0.399999999999999" x14ac:dyDescent="0.3">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0.399999999999999" x14ac:dyDescent="0.3">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0.399999999999999" x14ac:dyDescent="0.3">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0.399999999999999" x14ac:dyDescent="0.3">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0.399999999999999" x14ac:dyDescent="0.3">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0.399999999999999" x14ac:dyDescent="0.3">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0.399999999999999" x14ac:dyDescent="0.3">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3">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3">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3">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3">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3">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3">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3">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3">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3">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3">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3">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3">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3">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3">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3">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3">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3">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3">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3">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3">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3">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3">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3">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3">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3">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3">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3">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3">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3">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3">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3">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3">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3">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3">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3">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3">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0.6" x14ac:dyDescent="0.3">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0.6" x14ac:dyDescent="0.3">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0.6" x14ac:dyDescent="0.3">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20.399999999999999" x14ac:dyDescent="0.3">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20.399999999999999" x14ac:dyDescent="0.3">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20.399999999999999" x14ac:dyDescent="0.3">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20.399999999999999" x14ac:dyDescent="0.3">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20.399999999999999" x14ac:dyDescent="0.3">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20.399999999999999" x14ac:dyDescent="0.3">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20.399999999999999" x14ac:dyDescent="0.3">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20.399999999999999" x14ac:dyDescent="0.3">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20.399999999999999" x14ac:dyDescent="0.3">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20.399999999999999" x14ac:dyDescent="0.3">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20.399999999999999" x14ac:dyDescent="0.3">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20.399999999999999" x14ac:dyDescent="0.3">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20.399999999999999" x14ac:dyDescent="0.3">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20.399999999999999" x14ac:dyDescent="0.3">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20.399999999999999" x14ac:dyDescent="0.3">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20.399999999999999" x14ac:dyDescent="0.3">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20.399999999999999" x14ac:dyDescent="0.3">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20.399999999999999" x14ac:dyDescent="0.3">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20.399999999999999" x14ac:dyDescent="0.3">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20.399999999999999" x14ac:dyDescent="0.3">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20.399999999999999" x14ac:dyDescent="0.3">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20.399999999999999" x14ac:dyDescent="0.3">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20.399999999999999" x14ac:dyDescent="0.3">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20.399999999999999" x14ac:dyDescent="0.3">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20.399999999999999" x14ac:dyDescent="0.3">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20.399999999999999" x14ac:dyDescent="0.3">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20.399999999999999" x14ac:dyDescent="0.3">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20.399999999999999" x14ac:dyDescent="0.3">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20.399999999999999" x14ac:dyDescent="0.3">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20.399999999999999" x14ac:dyDescent="0.3">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0.399999999999999" x14ac:dyDescent="0.3">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0.399999999999999" x14ac:dyDescent="0.3">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0.399999999999999" x14ac:dyDescent="0.3">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0.399999999999999" x14ac:dyDescent="0.3">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0.399999999999999" x14ac:dyDescent="0.3">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0.399999999999999" x14ac:dyDescent="0.3">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0.399999999999999" x14ac:dyDescent="0.3">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0.399999999999999" x14ac:dyDescent="0.3">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0.399999999999999" x14ac:dyDescent="0.3">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0.399999999999999" x14ac:dyDescent="0.3">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0.399999999999999" x14ac:dyDescent="0.3">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0.399999999999999" x14ac:dyDescent="0.3">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0.399999999999999" x14ac:dyDescent="0.3">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0.399999999999999" x14ac:dyDescent="0.3">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0.399999999999999" x14ac:dyDescent="0.3">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0.399999999999999" x14ac:dyDescent="0.3">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0.399999999999999" x14ac:dyDescent="0.3">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0.399999999999999" x14ac:dyDescent="0.3">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0.399999999999999" x14ac:dyDescent="0.3">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0.399999999999999" x14ac:dyDescent="0.3">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0.399999999999999" x14ac:dyDescent="0.3">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0.399999999999999" x14ac:dyDescent="0.3">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0.399999999999999" x14ac:dyDescent="0.3">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0.399999999999999" x14ac:dyDescent="0.3">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0.399999999999999" x14ac:dyDescent="0.3">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0.399999999999999" x14ac:dyDescent="0.3">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0.399999999999999" x14ac:dyDescent="0.3">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0.399999999999999" x14ac:dyDescent="0.3">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0.399999999999999" x14ac:dyDescent="0.3">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0.399999999999999" x14ac:dyDescent="0.3">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0.399999999999999" x14ac:dyDescent="0.3">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3">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3">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3">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3">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3">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3">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3">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3">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3">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3">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3">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3">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3">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3">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3">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3">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3">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3">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3">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3">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3">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3">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3">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3">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3">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3">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3">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3">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3">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3">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3">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3">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3">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3">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3">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3">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3">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3">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3">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3">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3">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3">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3">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3">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3">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3">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3">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3">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3">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3">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3">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3">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3">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3">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3">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3">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3">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3">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3">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3">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0.399999999999999" x14ac:dyDescent="0.3">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3">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3">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3">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3">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3">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3">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3">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3">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3">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3">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3">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3">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3">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3">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3">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3">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3">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3">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3">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3">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3">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3">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3">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3">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3">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3">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3">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3">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3">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20.399999999999999" x14ac:dyDescent="0.3">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20.399999999999999" x14ac:dyDescent="0.3">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20.399999999999999" x14ac:dyDescent="0.3">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20.399999999999999" x14ac:dyDescent="0.3">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20.399999999999999" x14ac:dyDescent="0.3">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20.399999999999999" x14ac:dyDescent="0.3">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20.399999999999999" x14ac:dyDescent="0.3">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20.399999999999999" x14ac:dyDescent="0.3">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3">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3">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3">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3">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3">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3">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0.399999999999999" x14ac:dyDescent="0.3">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3">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0.399999999999999" x14ac:dyDescent="0.3">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3">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0.399999999999999" x14ac:dyDescent="0.3">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0.399999999999999" x14ac:dyDescent="0.3">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0.399999999999999" x14ac:dyDescent="0.3">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0.399999999999999" x14ac:dyDescent="0.3">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3">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0.399999999999999" x14ac:dyDescent="0.3">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0.6" x14ac:dyDescent="0.3">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0.399999999999999" x14ac:dyDescent="0.3">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0.399999999999999" x14ac:dyDescent="0.3">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0.399999999999999" x14ac:dyDescent="0.3">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3">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0.399999999999999" x14ac:dyDescent="0.3">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3">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0.399999999999999" x14ac:dyDescent="0.3">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0.399999999999999" x14ac:dyDescent="0.3">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0.399999999999999" x14ac:dyDescent="0.3">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0.399999999999999" x14ac:dyDescent="0.3">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0.399999999999999" x14ac:dyDescent="0.3">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0.399999999999999" x14ac:dyDescent="0.3">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0.399999999999999" x14ac:dyDescent="0.3">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0.399999999999999" x14ac:dyDescent="0.3">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0.399999999999999" x14ac:dyDescent="0.3">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0.399999999999999" x14ac:dyDescent="0.3">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3">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0.399999999999999" x14ac:dyDescent="0.3">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0.399999999999999" x14ac:dyDescent="0.3">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3">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3">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3">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3">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0.6" x14ac:dyDescent="0.3">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0.6" x14ac:dyDescent="0.3">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0.399999999999999" x14ac:dyDescent="0.3">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3">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0.399999999999999" x14ac:dyDescent="0.3">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0.399999999999999" x14ac:dyDescent="0.3">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0.399999999999999" x14ac:dyDescent="0.3">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0.399999999999999" x14ac:dyDescent="0.3">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0.399999999999999" x14ac:dyDescent="0.3">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0.6" x14ac:dyDescent="0.3">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3">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3">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3">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3">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3">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3">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3">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0.399999999999999" x14ac:dyDescent="0.3">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20.399999999999999" x14ac:dyDescent="0.3">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0.6" x14ac:dyDescent="0.3">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20.399999999999999" x14ac:dyDescent="0.3">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0.6" x14ac:dyDescent="0.3">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0.6" x14ac:dyDescent="0.3">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0.6" x14ac:dyDescent="0.3">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20.399999999999999" x14ac:dyDescent="0.3">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0.6" x14ac:dyDescent="0.3">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0.6" x14ac:dyDescent="0.3">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0.399999999999999" x14ac:dyDescent="0.3">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0.399999999999999" x14ac:dyDescent="0.3">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0.399999999999999" x14ac:dyDescent="0.3">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0.399999999999999" x14ac:dyDescent="0.3">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0.399999999999999" x14ac:dyDescent="0.3">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0.399999999999999" x14ac:dyDescent="0.3">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0.399999999999999" x14ac:dyDescent="0.3">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0.399999999999999" x14ac:dyDescent="0.3">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0.399999999999999" x14ac:dyDescent="0.3">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3">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0.399999999999999" x14ac:dyDescent="0.3">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3">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0.399999999999999" x14ac:dyDescent="0.3">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3">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0.399999999999999" x14ac:dyDescent="0.3">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0.399999999999999" x14ac:dyDescent="0.3">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3">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0.399999999999999" x14ac:dyDescent="0.3">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3">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0.399999999999999" x14ac:dyDescent="0.3">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0.399999999999999" x14ac:dyDescent="0.3">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3">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0.399999999999999" x14ac:dyDescent="0.3">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3">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0.399999999999999" x14ac:dyDescent="0.3">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3">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0.399999999999999" x14ac:dyDescent="0.3">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3">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0.399999999999999" x14ac:dyDescent="0.3">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3">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3">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3">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0.399999999999999" x14ac:dyDescent="0.3">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0.399999999999999" x14ac:dyDescent="0.3">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3">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3">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0.399999999999999" x14ac:dyDescent="0.3">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0.399999999999999" x14ac:dyDescent="0.3">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3">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0.399999999999999" x14ac:dyDescent="0.3">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3">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0.399999999999999" x14ac:dyDescent="0.3">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0.399999999999999" x14ac:dyDescent="0.3">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0.399999999999999" x14ac:dyDescent="0.3">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0.399999999999999" x14ac:dyDescent="0.3">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0.399999999999999" x14ac:dyDescent="0.3">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0.399999999999999" x14ac:dyDescent="0.3">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0.399999999999999" x14ac:dyDescent="0.3">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0.399999999999999" x14ac:dyDescent="0.3">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20.399999999999999" x14ac:dyDescent="0.3">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0.399999999999999" x14ac:dyDescent="0.3">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3">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3">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3">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3">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3">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3">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0.399999999999999" x14ac:dyDescent="0.3">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0.399999999999999" x14ac:dyDescent="0.3">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0.399999999999999" x14ac:dyDescent="0.3">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0.399999999999999" x14ac:dyDescent="0.3">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0.399999999999999" x14ac:dyDescent="0.3">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0.399999999999999" x14ac:dyDescent="0.3">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0.399999999999999" x14ac:dyDescent="0.3">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0.399999999999999" x14ac:dyDescent="0.3">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0.399999999999999" x14ac:dyDescent="0.3">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0.399999999999999" x14ac:dyDescent="0.3">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0.399999999999999" x14ac:dyDescent="0.3">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0.399999999999999" x14ac:dyDescent="0.3">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0.399999999999999" x14ac:dyDescent="0.3">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0.399999999999999" x14ac:dyDescent="0.3">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0.399999999999999" x14ac:dyDescent="0.3">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3">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3">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3">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0.399999999999999" x14ac:dyDescent="0.3">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0.6" x14ac:dyDescent="0.3">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0.399999999999999" x14ac:dyDescent="0.3">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0.399999999999999" x14ac:dyDescent="0.3">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0.399999999999999" x14ac:dyDescent="0.3">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3">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3">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3">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3">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3">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3">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0.399999999999999" x14ac:dyDescent="0.3">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0.6" x14ac:dyDescent="0.3">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0.399999999999999" x14ac:dyDescent="0.3">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0.399999999999999" x14ac:dyDescent="0.3">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0.6" x14ac:dyDescent="0.3">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0.399999999999999" x14ac:dyDescent="0.3">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3">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3">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3">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3">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3">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3">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3">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3">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3">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3">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3">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3">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3">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3">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20.399999999999999" x14ac:dyDescent="0.3">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20.399999999999999" x14ac:dyDescent="0.3">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20.399999999999999" x14ac:dyDescent="0.3">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3">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3">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3">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3">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3">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3">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20.399999999999999" x14ac:dyDescent="0.3">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20.399999999999999" x14ac:dyDescent="0.3">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20.399999999999999" x14ac:dyDescent="0.3">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20.399999999999999" x14ac:dyDescent="0.3">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20.399999999999999" x14ac:dyDescent="0.3">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20.399999999999999" x14ac:dyDescent="0.3">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20.399999999999999" x14ac:dyDescent="0.3">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20.399999999999999" x14ac:dyDescent="0.3">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20.399999999999999" x14ac:dyDescent="0.3">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3">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3">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3">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20.399999999999999" x14ac:dyDescent="0.3">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20.399999999999999" x14ac:dyDescent="0.3">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3">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3">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3">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3">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0.399999999999999" x14ac:dyDescent="0.3">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0.399999999999999" x14ac:dyDescent="0.3">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0.399999999999999" x14ac:dyDescent="0.3">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0.399999999999999" x14ac:dyDescent="0.3">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0.399999999999999" x14ac:dyDescent="0.3">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0.399999999999999" x14ac:dyDescent="0.3">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0.399999999999999" x14ac:dyDescent="0.3">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0.399999999999999" x14ac:dyDescent="0.3">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0.399999999999999" x14ac:dyDescent="0.3">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0.399999999999999" x14ac:dyDescent="0.3">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0.399999999999999" x14ac:dyDescent="0.3">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0.399999999999999" x14ac:dyDescent="0.3">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0.399999999999999" x14ac:dyDescent="0.3">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0.399999999999999" x14ac:dyDescent="0.3">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0.399999999999999" x14ac:dyDescent="0.3">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0.399999999999999" x14ac:dyDescent="0.3">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0.399999999999999" x14ac:dyDescent="0.3">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20.399999999999999" x14ac:dyDescent="0.3">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0.399999999999999" x14ac:dyDescent="0.3">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20.399999999999999" x14ac:dyDescent="0.3">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0.399999999999999" x14ac:dyDescent="0.3">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0.399999999999999" x14ac:dyDescent="0.3">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0.399999999999999" x14ac:dyDescent="0.3">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20.399999999999999" x14ac:dyDescent="0.3">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0.399999999999999" x14ac:dyDescent="0.3">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0.399999999999999" x14ac:dyDescent="0.3">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20.399999999999999" x14ac:dyDescent="0.3">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20.399999999999999" x14ac:dyDescent="0.3">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20.399999999999999" x14ac:dyDescent="0.3">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20.399999999999999" x14ac:dyDescent="0.3">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20.399999999999999" x14ac:dyDescent="0.3">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20.399999999999999" x14ac:dyDescent="0.3">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0.6" x14ac:dyDescent="0.3">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0.6" x14ac:dyDescent="0.3">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0.6" x14ac:dyDescent="0.3">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0.6" x14ac:dyDescent="0.3">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20.399999999999999" x14ac:dyDescent="0.3">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20.399999999999999" x14ac:dyDescent="0.3">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0.6" x14ac:dyDescent="0.3">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20.399999999999999" x14ac:dyDescent="0.3">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20.399999999999999" x14ac:dyDescent="0.3">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0.6" x14ac:dyDescent="0.3">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20.399999999999999" x14ac:dyDescent="0.3">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20.399999999999999" x14ac:dyDescent="0.3">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20.399999999999999" x14ac:dyDescent="0.3">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20.399999999999999" x14ac:dyDescent="0.3">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20.399999999999999" x14ac:dyDescent="0.3">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0.6" x14ac:dyDescent="0.3">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0.6" x14ac:dyDescent="0.3">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0.6" x14ac:dyDescent="0.3">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20.399999999999999" x14ac:dyDescent="0.3">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20.399999999999999" x14ac:dyDescent="0.3">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20.399999999999999" x14ac:dyDescent="0.3">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0.6" x14ac:dyDescent="0.3">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20.399999999999999" x14ac:dyDescent="0.3">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20.399999999999999" x14ac:dyDescent="0.3">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0.6" x14ac:dyDescent="0.3">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0.6" x14ac:dyDescent="0.3">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0.6" x14ac:dyDescent="0.3">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0.6" x14ac:dyDescent="0.3">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0.6" x14ac:dyDescent="0.3">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0.6" x14ac:dyDescent="0.3">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0.6" x14ac:dyDescent="0.3">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0.6" x14ac:dyDescent="0.3">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0.6" x14ac:dyDescent="0.3">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0.6" x14ac:dyDescent="0.3">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0.6" x14ac:dyDescent="0.3">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0.6" x14ac:dyDescent="0.3">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0.6" x14ac:dyDescent="0.3">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20.399999999999999" x14ac:dyDescent="0.3">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20.399999999999999" x14ac:dyDescent="0.3">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20.399999999999999" x14ac:dyDescent="0.3">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20.399999999999999" x14ac:dyDescent="0.3">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20.399999999999999" x14ac:dyDescent="0.3">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20.399999999999999" x14ac:dyDescent="0.3">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0.6" x14ac:dyDescent="0.3">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20.399999999999999" x14ac:dyDescent="0.3">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0.6" x14ac:dyDescent="0.3">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0.6" x14ac:dyDescent="0.3">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0.6" x14ac:dyDescent="0.3">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0.6" x14ac:dyDescent="0.3">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0.6" x14ac:dyDescent="0.3">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0.6" x14ac:dyDescent="0.3">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0.6" x14ac:dyDescent="0.3">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0.6" x14ac:dyDescent="0.3">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0.6" x14ac:dyDescent="0.3">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0.6" x14ac:dyDescent="0.3">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0.6" x14ac:dyDescent="0.3">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0.6" x14ac:dyDescent="0.3">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0.6" x14ac:dyDescent="0.3">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0.6" x14ac:dyDescent="0.3">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0.6" x14ac:dyDescent="0.3">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0.6" x14ac:dyDescent="0.3">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0.6" x14ac:dyDescent="0.3">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0.6" x14ac:dyDescent="0.3">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20.399999999999999" x14ac:dyDescent="0.3">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20.399999999999999" x14ac:dyDescent="0.3">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20.399999999999999" x14ac:dyDescent="0.3">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0.6" x14ac:dyDescent="0.3">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20.399999999999999" x14ac:dyDescent="0.3">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20.399999999999999" x14ac:dyDescent="0.3">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0.6" x14ac:dyDescent="0.3">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20.399999999999999" x14ac:dyDescent="0.3">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20.399999999999999" x14ac:dyDescent="0.3">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20.399999999999999" x14ac:dyDescent="0.3">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20.399999999999999" x14ac:dyDescent="0.3">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20.399999999999999" x14ac:dyDescent="0.3">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0.6" x14ac:dyDescent="0.3">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20.399999999999999" x14ac:dyDescent="0.3">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20.399999999999999" x14ac:dyDescent="0.3">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0.399999999999999" x14ac:dyDescent="0.3">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0.399999999999999" x14ac:dyDescent="0.3">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0.399999999999999" x14ac:dyDescent="0.3">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0.399999999999999" x14ac:dyDescent="0.3">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0.399999999999999" x14ac:dyDescent="0.3">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0.399999999999999" x14ac:dyDescent="0.3">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0.6" x14ac:dyDescent="0.3">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0.6" x14ac:dyDescent="0.3">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0.6" x14ac:dyDescent="0.3">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0.6" x14ac:dyDescent="0.3">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0.6" x14ac:dyDescent="0.3">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0.6" x14ac:dyDescent="0.3">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0.6" x14ac:dyDescent="0.3">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0.6" x14ac:dyDescent="0.3">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0.6" x14ac:dyDescent="0.3">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0.6" x14ac:dyDescent="0.3">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0.6" x14ac:dyDescent="0.3">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0.6" x14ac:dyDescent="0.3">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0.6" x14ac:dyDescent="0.3">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0.6" x14ac:dyDescent="0.3">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0.6" x14ac:dyDescent="0.3">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0.6" x14ac:dyDescent="0.3">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0.6" x14ac:dyDescent="0.3">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0.6" x14ac:dyDescent="0.3">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30.6" x14ac:dyDescent="0.3">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0.6" x14ac:dyDescent="0.3">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0.6" x14ac:dyDescent="0.3">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0.6" x14ac:dyDescent="0.3">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0.6" x14ac:dyDescent="0.3">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0.6" x14ac:dyDescent="0.3">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0.6" x14ac:dyDescent="0.3">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0.6" x14ac:dyDescent="0.3">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0.6" x14ac:dyDescent="0.3">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30.6" x14ac:dyDescent="0.3">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0.6" x14ac:dyDescent="0.3">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0.6" x14ac:dyDescent="0.3">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0.6" x14ac:dyDescent="0.3">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0.6" x14ac:dyDescent="0.3">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0.6" x14ac:dyDescent="0.3">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20.399999999999999" x14ac:dyDescent="0.3">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20.399999999999999" x14ac:dyDescent="0.3">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20.399999999999999" x14ac:dyDescent="0.3">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0.6" x14ac:dyDescent="0.3">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20.399999999999999" x14ac:dyDescent="0.3">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20.399999999999999" x14ac:dyDescent="0.3">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0.6" x14ac:dyDescent="0.3">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20.399999999999999" x14ac:dyDescent="0.3">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20.399999999999999" x14ac:dyDescent="0.3">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20.399999999999999" x14ac:dyDescent="0.3">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20.399999999999999" x14ac:dyDescent="0.3">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0.399999999999999" x14ac:dyDescent="0.3">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3">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20.399999999999999" x14ac:dyDescent="0.3">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0.6" x14ac:dyDescent="0.3">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0.6" x14ac:dyDescent="0.3">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0.6" x14ac:dyDescent="0.3">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0.6" x14ac:dyDescent="0.3">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0.6" x14ac:dyDescent="0.3">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0.6" x14ac:dyDescent="0.3">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0.6" x14ac:dyDescent="0.3">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0.6" x14ac:dyDescent="0.3">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0.6" x14ac:dyDescent="0.3">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0.6" x14ac:dyDescent="0.3">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0.6" x14ac:dyDescent="0.3">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0.6" x14ac:dyDescent="0.3">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0.6" x14ac:dyDescent="0.3">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0.6" x14ac:dyDescent="0.3">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0.6" x14ac:dyDescent="0.3">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0.6" x14ac:dyDescent="0.3">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0.6" x14ac:dyDescent="0.3">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0.6" x14ac:dyDescent="0.3">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0.6" x14ac:dyDescent="0.3">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0.6" x14ac:dyDescent="0.3">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0.6" x14ac:dyDescent="0.3">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0.6" x14ac:dyDescent="0.3">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0.6" x14ac:dyDescent="0.3">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0.6" x14ac:dyDescent="0.3">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0.6" x14ac:dyDescent="0.3">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0.6" x14ac:dyDescent="0.3">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0.6" x14ac:dyDescent="0.3">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0.6" x14ac:dyDescent="0.3">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0.6" x14ac:dyDescent="0.3">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0.6" x14ac:dyDescent="0.3">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0.6" x14ac:dyDescent="0.3">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0.6" x14ac:dyDescent="0.3">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20.399999999999999" x14ac:dyDescent="0.3">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0.399999999999999" x14ac:dyDescent="0.3">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0.399999999999999" x14ac:dyDescent="0.3">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0.399999999999999" x14ac:dyDescent="0.3">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0.399999999999999" x14ac:dyDescent="0.3">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3">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0.399999999999999" x14ac:dyDescent="0.3">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3">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0.399999999999999" x14ac:dyDescent="0.3">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3">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0.399999999999999" x14ac:dyDescent="0.3">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0.399999999999999" x14ac:dyDescent="0.3">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3">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3">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0.399999999999999" x14ac:dyDescent="0.3">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3">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3">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3">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3">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3">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3">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0.399999999999999" x14ac:dyDescent="0.3">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0.399999999999999" x14ac:dyDescent="0.3">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0.399999999999999" x14ac:dyDescent="0.3">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0.399999999999999" x14ac:dyDescent="0.3">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0.399999999999999" x14ac:dyDescent="0.3">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0.399999999999999" x14ac:dyDescent="0.3">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0.399999999999999" x14ac:dyDescent="0.3">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0.399999999999999" x14ac:dyDescent="0.3">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0.399999999999999" x14ac:dyDescent="0.3">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0.399999999999999" x14ac:dyDescent="0.3">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0.399999999999999" x14ac:dyDescent="0.3">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3">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x14ac:dyDescent="0.3">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0.399999999999999" x14ac:dyDescent="0.3">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0.399999999999999" x14ac:dyDescent="0.3">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0.399999999999999" x14ac:dyDescent="0.3">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0.399999999999999" x14ac:dyDescent="0.3">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0.399999999999999" x14ac:dyDescent="0.3">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0.399999999999999" x14ac:dyDescent="0.3">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3">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0.399999999999999" x14ac:dyDescent="0.3">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0.399999999999999" x14ac:dyDescent="0.3">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0.399999999999999" x14ac:dyDescent="0.3">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0.399999999999999" x14ac:dyDescent="0.3">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0.399999999999999" x14ac:dyDescent="0.3">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0.399999999999999" x14ac:dyDescent="0.3">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0.399999999999999" x14ac:dyDescent="0.3">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0.399999999999999" x14ac:dyDescent="0.3">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3">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3">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0.399999999999999" x14ac:dyDescent="0.3">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0.399999999999999" x14ac:dyDescent="0.3">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0.399999999999999" x14ac:dyDescent="0.3">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0.399999999999999" x14ac:dyDescent="0.3">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0.399999999999999" x14ac:dyDescent="0.3">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0.399999999999999" x14ac:dyDescent="0.3">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0.399999999999999" x14ac:dyDescent="0.3">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3">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0.399999999999999" x14ac:dyDescent="0.3">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0.399999999999999" x14ac:dyDescent="0.3">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x14ac:dyDescent="0.3">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0.399999999999999" x14ac:dyDescent="0.3">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0.399999999999999" x14ac:dyDescent="0.3">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0.399999999999999" x14ac:dyDescent="0.3">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0.399999999999999" x14ac:dyDescent="0.3">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0.399999999999999" x14ac:dyDescent="0.3">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0.399999999999999" x14ac:dyDescent="0.3">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0.399999999999999" x14ac:dyDescent="0.3">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0.399999999999999" x14ac:dyDescent="0.3">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0.399999999999999" x14ac:dyDescent="0.3">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0.399999999999999" x14ac:dyDescent="0.3">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3">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0.399999999999999" x14ac:dyDescent="0.3">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0.399999999999999" x14ac:dyDescent="0.3">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0.399999999999999" x14ac:dyDescent="0.3">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0.399999999999999" x14ac:dyDescent="0.3">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0.399999999999999" x14ac:dyDescent="0.3">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0.399999999999999" x14ac:dyDescent="0.3">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x14ac:dyDescent="0.3">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0.399999999999999" x14ac:dyDescent="0.3">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3">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3">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3">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3">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0.399999999999999" x14ac:dyDescent="0.3">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3">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3">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3">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3">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3">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3">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3">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3">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3">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3">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3">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3">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3">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3">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3">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3">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3">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3">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3">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3">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3">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3">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3">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3">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3">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3">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3">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3">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3">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3">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3">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3">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3">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3">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3">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3">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3">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3">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3">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3">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0.399999999999999" x14ac:dyDescent="0.3">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0.399999999999999" x14ac:dyDescent="0.3">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0.399999999999999" x14ac:dyDescent="0.3">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0.399999999999999" x14ac:dyDescent="0.3">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3">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3">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3">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3">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3">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0.399999999999999" x14ac:dyDescent="0.3">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3">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0.399999999999999" x14ac:dyDescent="0.3">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3">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0.399999999999999" x14ac:dyDescent="0.3">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0.399999999999999" x14ac:dyDescent="0.3">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0.399999999999999" x14ac:dyDescent="0.3">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0.399999999999999" x14ac:dyDescent="0.3">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0.399999999999999" x14ac:dyDescent="0.3">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0.399999999999999" x14ac:dyDescent="0.3">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0.399999999999999" x14ac:dyDescent="0.3">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0.399999999999999" x14ac:dyDescent="0.3">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0.399999999999999" x14ac:dyDescent="0.3">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0.399999999999999" x14ac:dyDescent="0.3">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0.399999999999999" x14ac:dyDescent="0.3">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0.399999999999999" x14ac:dyDescent="0.3">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0.399999999999999" x14ac:dyDescent="0.3">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0.399999999999999" x14ac:dyDescent="0.3">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0.399999999999999" x14ac:dyDescent="0.3">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0.399999999999999" x14ac:dyDescent="0.3">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3">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0.399999999999999" x14ac:dyDescent="0.3">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0.399999999999999" x14ac:dyDescent="0.3">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0.399999999999999" x14ac:dyDescent="0.3">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0.399999999999999" x14ac:dyDescent="0.3">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0.399999999999999" x14ac:dyDescent="0.3">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0.399999999999999" x14ac:dyDescent="0.3">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0.399999999999999" x14ac:dyDescent="0.3">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0.399999999999999" x14ac:dyDescent="0.3">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0.399999999999999" x14ac:dyDescent="0.3">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0.399999999999999" x14ac:dyDescent="0.3">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0.399999999999999" x14ac:dyDescent="0.3">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3">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3">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3">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3">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3">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3">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3">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3">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3">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3">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3">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3">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3">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3">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3">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3">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0.399999999999999" x14ac:dyDescent="0.3">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0.399999999999999" x14ac:dyDescent="0.3">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0.399999999999999" x14ac:dyDescent="0.3">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0.399999999999999" x14ac:dyDescent="0.3">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3">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0.399999999999999" x14ac:dyDescent="0.3">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0.399999999999999" x14ac:dyDescent="0.3">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0.399999999999999" x14ac:dyDescent="0.3">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0.399999999999999" x14ac:dyDescent="0.3">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0.399999999999999" x14ac:dyDescent="0.3">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0.399999999999999" x14ac:dyDescent="0.3">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0.399999999999999" x14ac:dyDescent="0.3">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0.399999999999999" x14ac:dyDescent="0.3">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0.399999999999999" x14ac:dyDescent="0.3">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0.399999999999999" x14ac:dyDescent="0.3">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0.399999999999999" x14ac:dyDescent="0.3">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0.399999999999999" x14ac:dyDescent="0.3">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3">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3">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3">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3">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3">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3">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3">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3">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3">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3">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3">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3">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3">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3">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3">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3">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3">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3">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3">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3">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3">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3">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3">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3">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3">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3">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3">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3">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3">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3">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3">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3">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3">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3">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3">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3">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3">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3">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3">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3">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3">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3">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3">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3">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3">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3">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3">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3">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3">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3">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3">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3">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3">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3">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3">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3">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3">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3">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3">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3">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3">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3">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3">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3">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3">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3">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3">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3">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3">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3">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3">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3">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3">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3">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0.399999999999999" x14ac:dyDescent="0.3">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0.399999999999999" x14ac:dyDescent="0.3">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3">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3">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3">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x14ac:dyDescent="0.3">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3">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x14ac:dyDescent="0.3">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3">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x14ac:dyDescent="0.3">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x14ac:dyDescent="0.3">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x14ac:dyDescent="0.3">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3">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3">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3">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3">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x14ac:dyDescent="0.3">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3">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3">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x14ac:dyDescent="0.3">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3">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3">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x14ac:dyDescent="0.3">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3">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3">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3">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3">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3">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3">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3">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3">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3">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3">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3">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3">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3">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3">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3">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3">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x14ac:dyDescent="0.3">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x14ac:dyDescent="0.3">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3">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x14ac:dyDescent="0.3">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x14ac:dyDescent="0.3">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3">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3">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3">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3">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3">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3">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3">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3">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3">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3">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3">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3">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3">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x14ac:dyDescent="0.3">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3">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0.399999999999999" x14ac:dyDescent="0.3">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0.399999999999999" x14ac:dyDescent="0.3">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3">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3">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3">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3">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3">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3">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3">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3">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3">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3">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3">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3">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3">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3">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3">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3">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3">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3">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3">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3">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3">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3">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3">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3">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3">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3">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3">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3">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3">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3">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3">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3">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3">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3">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3">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3">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3">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3">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3">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3">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3">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3">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3">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3">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3">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3">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3">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3">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3">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3">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3">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3">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3">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3">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3">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3">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3">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3">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3">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3">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3">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3">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3">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3">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3">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3">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3">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3">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3">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3">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3">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3">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3">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3">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3">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3">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3">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3">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3">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3">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3">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3">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3">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3">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3">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3">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3">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3">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3">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3">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3">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3">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3">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3">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3">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3">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3">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3">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3">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3">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3">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3">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3">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3">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3">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3">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3">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3">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3">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3">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3">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3">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3">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3">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3">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3">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3">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3">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3">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3">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3">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3">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3">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3">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3">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3">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3">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3">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3">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3">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3">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3">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3">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3">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3">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3">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3">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3">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3">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3">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3">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3">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3">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3">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3">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3">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3">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3">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3">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3">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3">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3">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3">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3">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3">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3">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3">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3">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3">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3">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3">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3">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3">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3">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3">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3">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3">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3">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3">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3">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3">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3">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3">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3">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3">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3">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3">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3">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3">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3">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3">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3">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3">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3">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3">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3">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3">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3">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3">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3">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3">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3">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3">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3">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3">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3">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3">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3">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3">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3">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3">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3">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3">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3">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0.399999999999999" x14ac:dyDescent="0.3">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3">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3">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3">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3">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3">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3">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3">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3">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3">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3">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3">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3">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3">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3">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3">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3">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3">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3">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3">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3">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3">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3">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3">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3">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3">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3">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3">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3">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3">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3">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3">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3">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3">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3">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3">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3">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3">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3">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3">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3">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3">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3">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3">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3">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3">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3">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3">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3">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3">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3">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3">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3">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3">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3">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3">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3">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3">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3">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3">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3">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3">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3">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3">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3">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0.399999999999999" x14ac:dyDescent="0.3">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0.399999999999999" x14ac:dyDescent="0.3">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0.6" x14ac:dyDescent="0.3">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0.399999999999999" x14ac:dyDescent="0.3">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20.399999999999999" x14ac:dyDescent="0.3">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20.399999999999999" x14ac:dyDescent="0.3">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20.399999999999999" x14ac:dyDescent="0.3">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3">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3">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3">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3">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0.399999999999999" x14ac:dyDescent="0.3">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0.399999999999999" x14ac:dyDescent="0.3">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3">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0.399999999999999" x14ac:dyDescent="0.3">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3">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3">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0.399999999999999" x14ac:dyDescent="0.3">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3">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x14ac:dyDescent="0.3">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3">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x14ac:dyDescent="0.3">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x14ac:dyDescent="0.3">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x14ac:dyDescent="0.3">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x14ac:dyDescent="0.3">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x14ac:dyDescent="0.3">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x14ac:dyDescent="0.3">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x14ac:dyDescent="0.3">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x14ac:dyDescent="0.3">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x14ac:dyDescent="0.3">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x14ac:dyDescent="0.3">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x14ac:dyDescent="0.3">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x14ac:dyDescent="0.3">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0.399999999999999" x14ac:dyDescent="0.3">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x14ac:dyDescent="0.3">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x14ac:dyDescent="0.3">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x14ac:dyDescent="0.3">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x14ac:dyDescent="0.3">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x14ac:dyDescent="0.3">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x14ac:dyDescent="0.3">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x14ac:dyDescent="0.3">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x14ac:dyDescent="0.3">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x14ac:dyDescent="0.3">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x14ac:dyDescent="0.3">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x14ac:dyDescent="0.3">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x14ac:dyDescent="0.3">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x14ac:dyDescent="0.3">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x14ac:dyDescent="0.3">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x14ac:dyDescent="0.3">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x14ac:dyDescent="0.3">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x14ac:dyDescent="0.3">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x14ac:dyDescent="0.3">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x14ac:dyDescent="0.3">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x14ac:dyDescent="0.3">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x14ac:dyDescent="0.3">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x14ac:dyDescent="0.3">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x14ac:dyDescent="0.3">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0.399999999999999" x14ac:dyDescent="0.3">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3">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3">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3">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3">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3">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0.399999999999999" x14ac:dyDescent="0.3">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0.399999999999999" x14ac:dyDescent="0.3">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0.399999999999999" x14ac:dyDescent="0.3">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0.399999999999999" x14ac:dyDescent="0.3">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0.399999999999999" x14ac:dyDescent="0.3">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0.399999999999999" x14ac:dyDescent="0.3">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0.399999999999999" x14ac:dyDescent="0.3">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0.399999999999999" x14ac:dyDescent="0.3">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0.399999999999999" x14ac:dyDescent="0.3">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0.399999999999999" x14ac:dyDescent="0.3">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0.399999999999999" x14ac:dyDescent="0.3">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3">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3">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3">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3">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x14ac:dyDescent="0.3">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x14ac:dyDescent="0.3">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x14ac:dyDescent="0.3">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x14ac:dyDescent="0.3">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x14ac:dyDescent="0.3">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x14ac:dyDescent="0.3">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x14ac:dyDescent="0.3">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x14ac:dyDescent="0.3">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x14ac:dyDescent="0.3">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x14ac:dyDescent="0.3">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x14ac:dyDescent="0.3">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3">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3">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3">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3">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3">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3">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3">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3">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3">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3">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3">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3">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3">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3">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3">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3">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3">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3">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3">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3">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3">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x14ac:dyDescent="0.3">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x14ac:dyDescent="0.3">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x14ac:dyDescent="0.3">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x14ac:dyDescent="0.3">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x14ac:dyDescent="0.3">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x14ac:dyDescent="0.3">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x14ac:dyDescent="0.3">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x14ac:dyDescent="0.3">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x14ac:dyDescent="0.3">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x14ac:dyDescent="0.3">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x14ac:dyDescent="0.3">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x14ac:dyDescent="0.3">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x14ac:dyDescent="0.3">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x14ac:dyDescent="0.3">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x14ac:dyDescent="0.3">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x14ac:dyDescent="0.3">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x14ac:dyDescent="0.3">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x14ac:dyDescent="0.3">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x14ac:dyDescent="0.3">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x14ac:dyDescent="0.3">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x14ac:dyDescent="0.3">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x14ac:dyDescent="0.3">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x14ac:dyDescent="0.3">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x14ac:dyDescent="0.3">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x14ac:dyDescent="0.3">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x14ac:dyDescent="0.3">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x14ac:dyDescent="0.3">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x14ac:dyDescent="0.3">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3">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3">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3">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3">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3">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3">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3">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3">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3">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3">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3">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3">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3">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3">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3">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3">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3">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3">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3">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3">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3">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3">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3">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3">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3">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3">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3">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3">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3">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3">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3">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3">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3">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3">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3">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3">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3">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3">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3">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3">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3">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3">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3">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3">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3">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3">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3">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3">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3">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3">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3">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3">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3">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3">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3">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3">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3">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3">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3">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3">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3">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3">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3">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3">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3">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3">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3">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3">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3">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3">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3">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3">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3">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3">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3">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3">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3">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3">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3">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3">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3">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3">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3">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3">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3">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3">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3">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3">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3">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3">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3">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3">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3">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3">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3">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3">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3">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3">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3">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3">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3">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3">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3">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3">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3">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3">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3">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3">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3">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3">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3">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3">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3">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3">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3">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3">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3">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3">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3">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3">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3">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3">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3">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3">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3">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3">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3">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3">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3">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3">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3">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3">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3">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3">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3">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3">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3">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3">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3">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3">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3">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3">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3">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3">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3">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3">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0.399999999999999" x14ac:dyDescent="0.3">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3">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0.399999999999999" x14ac:dyDescent="0.3">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0.399999999999999" x14ac:dyDescent="0.3">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3">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0.399999999999999" x14ac:dyDescent="0.3">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3">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3">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3">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3">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3">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3">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3">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3">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3">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3">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3">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3">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3">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3">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3">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3">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3">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3">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3">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0.399999999999999" x14ac:dyDescent="0.3">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0.399999999999999" x14ac:dyDescent="0.3">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3">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3">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3">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3">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3">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3">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3">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3">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3">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3">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3">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3">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3">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3">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3">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3">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3">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3">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3">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3">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3">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3">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3">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3">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3">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3">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3">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3">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3">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3">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3">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3">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3">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3">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3">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3">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3">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3">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3">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3">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3">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3">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3">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3">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3">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3">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3">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3">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3">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3">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3">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3">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3">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3">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3">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3">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3">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3">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3">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3">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3">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3">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3">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3">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3">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3">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3">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3">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3">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3">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3">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3">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3">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3">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3">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3">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3">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3">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3">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3">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3">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3">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3">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3">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3">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3">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3">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3">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3">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3">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3">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3">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3">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3">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3">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3">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3">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0.399999999999999" x14ac:dyDescent="0.3">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3">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0.399999999999999" x14ac:dyDescent="0.3">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3">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3">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3">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0.399999999999999" x14ac:dyDescent="0.3">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3">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3">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3">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3">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3">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3">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3">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3">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3">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3">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3">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3">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3">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3">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3">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3">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3">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3">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3">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0.399999999999999" x14ac:dyDescent="0.3">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0.399999999999999" x14ac:dyDescent="0.3">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0.399999999999999" x14ac:dyDescent="0.3">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0.399999999999999" x14ac:dyDescent="0.3">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0.399999999999999" x14ac:dyDescent="0.3">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0.399999999999999" x14ac:dyDescent="0.3">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0.399999999999999" x14ac:dyDescent="0.3">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0.399999999999999" x14ac:dyDescent="0.3">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0.399999999999999" x14ac:dyDescent="0.3">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0.399999999999999" x14ac:dyDescent="0.3">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0.399999999999999" x14ac:dyDescent="0.3">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0.399999999999999" x14ac:dyDescent="0.3">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0.399999999999999" x14ac:dyDescent="0.3">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0.399999999999999" x14ac:dyDescent="0.3">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0.399999999999999" x14ac:dyDescent="0.3">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3">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0.399999999999999" x14ac:dyDescent="0.3">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0.399999999999999" x14ac:dyDescent="0.3">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0.399999999999999" x14ac:dyDescent="0.3">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0.399999999999999" x14ac:dyDescent="0.3">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0.399999999999999" x14ac:dyDescent="0.3">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3">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0.399999999999999" x14ac:dyDescent="0.3">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0.399999999999999" x14ac:dyDescent="0.3">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0.399999999999999" x14ac:dyDescent="0.3">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0.399999999999999" x14ac:dyDescent="0.3">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0.399999999999999" x14ac:dyDescent="0.3">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0.399999999999999" x14ac:dyDescent="0.3">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0.399999999999999" x14ac:dyDescent="0.3">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0.399999999999999" x14ac:dyDescent="0.3">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0.399999999999999" x14ac:dyDescent="0.3">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0.399999999999999" x14ac:dyDescent="0.3">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0.399999999999999" x14ac:dyDescent="0.3">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0.399999999999999" x14ac:dyDescent="0.3">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0.399999999999999" x14ac:dyDescent="0.3">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0.399999999999999" x14ac:dyDescent="0.3">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0.399999999999999" x14ac:dyDescent="0.3">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0.399999999999999" x14ac:dyDescent="0.3">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0.399999999999999" x14ac:dyDescent="0.3">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0.399999999999999" x14ac:dyDescent="0.3">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0.399999999999999" x14ac:dyDescent="0.3">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0.399999999999999" x14ac:dyDescent="0.3">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0.399999999999999" x14ac:dyDescent="0.3">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0.399999999999999" x14ac:dyDescent="0.3">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0.399999999999999" x14ac:dyDescent="0.3">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0.399999999999999" x14ac:dyDescent="0.3">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0.399999999999999" x14ac:dyDescent="0.3">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0.399999999999999" x14ac:dyDescent="0.3">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x14ac:dyDescent="0.3">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0.399999999999999" x14ac:dyDescent="0.3">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0.399999999999999" x14ac:dyDescent="0.3">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0.399999999999999" x14ac:dyDescent="0.3">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0.399999999999999" x14ac:dyDescent="0.3">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3">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0.399999999999999" x14ac:dyDescent="0.3">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x14ac:dyDescent="0.3">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0.399999999999999" x14ac:dyDescent="0.3">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0.399999999999999" x14ac:dyDescent="0.3">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3">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3">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0.399999999999999" x14ac:dyDescent="0.3">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0.399999999999999" x14ac:dyDescent="0.3">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0.399999999999999" x14ac:dyDescent="0.3">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0.399999999999999" x14ac:dyDescent="0.3">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0.399999999999999" x14ac:dyDescent="0.3">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0.399999999999999" x14ac:dyDescent="0.3">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0.399999999999999" x14ac:dyDescent="0.3">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0.399999999999999" x14ac:dyDescent="0.3">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0.399999999999999" x14ac:dyDescent="0.3">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3">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0.399999999999999" x14ac:dyDescent="0.3">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0.399999999999999" x14ac:dyDescent="0.3">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0.399999999999999" x14ac:dyDescent="0.3">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0.399999999999999" x14ac:dyDescent="0.3">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3">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0.399999999999999" x14ac:dyDescent="0.3">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0.399999999999999" x14ac:dyDescent="0.3">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0.399999999999999" x14ac:dyDescent="0.3">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0.399999999999999" x14ac:dyDescent="0.3">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0.399999999999999" x14ac:dyDescent="0.3">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0.399999999999999" x14ac:dyDescent="0.3">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0.399999999999999" x14ac:dyDescent="0.3">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0.399999999999999" x14ac:dyDescent="0.3">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0.399999999999999" x14ac:dyDescent="0.3">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0.399999999999999" x14ac:dyDescent="0.3">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0.399999999999999" x14ac:dyDescent="0.3">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0.399999999999999" x14ac:dyDescent="0.3">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0.399999999999999" x14ac:dyDescent="0.3">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0.399999999999999" x14ac:dyDescent="0.3">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0.399999999999999" x14ac:dyDescent="0.3">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0.399999999999999" x14ac:dyDescent="0.3">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3">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0.399999999999999" x14ac:dyDescent="0.3">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0.399999999999999" x14ac:dyDescent="0.3">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0.399999999999999" x14ac:dyDescent="0.3">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0.399999999999999" x14ac:dyDescent="0.3">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0.399999999999999" x14ac:dyDescent="0.3">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3">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3">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3">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3">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0.399999999999999" x14ac:dyDescent="0.3">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3">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3">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0.399999999999999" x14ac:dyDescent="0.3">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0.399999999999999" x14ac:dyDescent="0.3">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0.399999999999999" x14ac:dyDescent="0.3">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0.399999999999999" x14ac:dyDescent="0.3">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0.399999999999999" x14ac:dyDescent="0.3">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3">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3">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3">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3">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3">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3">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0.399999999999999" x14ac:dyDescent="0.3">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0.399999999999999" x14ac:dyDescent="0.3">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0.399999999999999" x14ac:dyDescent="0.3">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0.399999999999999" x14ac:dyDescent="0.3">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0.399999999999999" x14ac:dyDescent="0.3">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0.399999999999999" x14ac:dyDescent="0.3">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0.399999999999999" x14ac:dyDescent="0.3">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0.399999999999999" x14ac:dyDescent="0.3">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0.399999999999999" x14ac:dyDescent="0.3">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0.399999999999999" x14ac:dyDescent="0.3">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3">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3">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0.399999999999999" x14ac:dyDescent="0.3">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0.399999999999999" x14ac:dyDescent="0.3">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0.399999999999999" x14ac:dyDescent="0.3">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0.399999999999999" x14ac:dyDescent="0.3">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3">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0.399999999999999" x14ac:dyDescent="0.3">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0.399999999999999" x14ac:dyDescent="0.3">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0.399999999999999" x14ac:dyDescent="0.3">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0.399999999999999" x14ac:dyDescent="0.3">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0.399999999999999" x14ac:dyDescent="0.3">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0.399999999999999" x14ac:dyDescent="0.3">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0.399999999999999" x14ac:dyDescent="0.3">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0.399999999999999" x14ac:dyDescent="0.3">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0.399999999999999" x14ac:dyDescent="0.3">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0.399999999999999" x14ac:dyDescent="0.3">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0.399999999999999" x14ac:dyDescent="0.3">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0.399999999999999" x14ac:dyDescent="0.3">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0.399999999999999" x14ac:dyDescent="0.3">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0.399999999999999" x14ac:dyDescent="0.3">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0.399999999999999" x14ac:dyDescent="0.3">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0.399999999999999" x14ac:dyDescent="0.3">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0.399999999999999" x14ac:dyDescent="0.3">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0.399999999999999" x14ac:dyDescent="0.3">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0.399999999999999" x14ac:dyDescent="0.3">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0.399999999999999" x14ac:dyDescent="0.3">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0.399999999999999" x14ac:dyDescent="0.3">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0.399999999999999" x14ac:dyDescent="0.3">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0.399999999999999" x14ac:dyDescent="0.3">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0.399999999999999" x14ac:dyDescent="0.3">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0.399999999999999" x14ac:dyDescent="0.3">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0.399999999999999" x14ac:dyDescent="0.3">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0.399999999999999" x14ac:dyDescent="0.3">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0.399999999999999" x14ac:dyDescent="0.3">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0.399999999999999" x14ac:dyDescent="0.3">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0.399999999999999" x14ac:dyDescent="0.3">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0.399999999999999" x14ac:dyDescent="0.3">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0.399999999999999" x14ac:dyDescent="0.3">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0.399999999999999" x14ac:dyDescent="0.3">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0.399999999999999" x14ac:dyDescent="0.3">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0.399999999999999" x14ac:dyDescent="0.3">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0.399999999999999" x14ac:dyDescent="0.3">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0.399999999999999" x14ac:dyDescent="0.3">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0.399999999999999" x14ac:dyDescent="0.3">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0.399999999999999" x14ac:dyDescent="0.3">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0.399999999999999" x14ac:dyDescent="0.3">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0.399999999999999" x14ac:dyDescent="0.3">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0.399999999999999" x14ac:dyDescent="0.3">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0.399999999999999" x14ac:dyDescent="0.3">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3">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0.399999999999999" x14ac:dyDescent="0.3">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0.399999999999999" x14ac:dyDescent="0.3">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0.399999999999999" x14ac:dyDescent="0.3">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0.399999999999999" x14ac:dyDescent="0.3">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0.399999999999999" x14ac:dyDescent="0.3">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0.399999999999999" x14ac:dyDescent="0.3">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0.399999999999999" x14ac:dyDescent="0.3">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0.399999999999999" x14ac:dyDescent="0.3">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0.399999999999999" x14ac:dyDescent="0.3">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0.399999999999999" x14ac:dyDescent="0.3">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0.399999999999999" x14ac:dyDescent="0.3">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0.399999999999999" x14ac:dyDescent="0.3">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0.399999999999999" x14ac:dyDescent="0.3">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0.399999999999999" x14ac:dyDescent="0.3">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0.399999999999999" x14ac:dyDescent="0.3">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0.399999999999999" x14ac:dyDescent="0.3">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0.399999999999999" x14ac:dyDescent="0.3">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0.399999999999999" x14ac:dyDescent="0.3">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0.399999999999999" x14ac:dyDescent="0.3">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0.399999999999999" x14ac:dyDescent="0.3">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0.399999999999999" x14ac:dyDescent="0.3">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0.399999999999999" x14ac:dyDescent="0.3">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3">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3">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0.399999999999999" x14ac:dyDescent="0.3">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0.399999999999999" x14ac:dyDescent="0.3">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0.399999999999999" x14ac:dyDescent="0.3">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0.399999999999999" x14ac:dyDescent="0.3">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0.399999999999999" x14ac:dyDescent="0.3">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0.399999999999999" x14ac:dyDescent="0.3">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0.399999999999999" x14ac:dyDescent="0.3">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0.399999999999999" x14ac:dyDescent="0.3">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0.399999999999999" x14ac:dyDescent="0.3">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0.399999999999999" x14ac:dyDescent="0.3">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0.399999999999999" x14ac:dyDescent="0.3">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0.399999999999999" x14ac:dyDescent="0.3">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0.399999999999999" x14ac:dyDescent="0.3">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0.399999999999999" x14ac:dyDescent="0.3">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0.399999999999999" x14ac:dyDescent="0.3">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0.399999999999999" x14ac:dyDescent="0.3">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0.399999999999999" x14ac:dyDescent="0.3">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0.399999999999999" x14ac:dyDescent="0.3">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0.399999999999999" x14ac:dyDescent="0.3">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0.399999999999999" x14ac:dyDescent="0.3">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0.399999999999999" x14ac:dyDescent="0.3">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0.399999999999999" x14ac:dyDescent="0.3">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0.399999999999999" x14ac:dyDescent="0.3">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0.399999999999999" x14ac:dyDescent="0.3">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0.399999999999999" x14ac:dyDescent="0.3">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x14ac:dyDescent="0.3">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0.399999999999999" x14ac:dyDescent="0.3">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0.399999999999999" x14ac:dyDescent="0.3">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3">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3">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0.399999999999999" x14ac:dyDescent="0.3">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0.399999999999999" x14ac:dyDescent="0.3">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x14ac:dyDescent="0.3">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x14ac:dyDescent="0.3">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x14ac:dyDescent="0.3">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x14ac:dyDescent="0.3">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x14ac:dyDescent="0.3">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3">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x14ac:dyDescent="0.3">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0.399999999999999" x14ac:dyDescent="0.3">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x14ac:dyDescent="0.3">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x14ac:dyDescent="0.3">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x14ac:dyDescent="0.3">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0.399999999999999" x14ac:dyDescent="0.3">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x14ac:dyDescent="0.3">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x14ac:dyDescent="0.3">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x14ac:dyDescent="0.3">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0.399999999999999" x14ac:dyDescent="0.3">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x14ac:dyDescent="0.3">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x14ac:dyDescent="0.3">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x14ac:dyDescent="0.3">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0.399999999999999" x14ac:dyDescent="0.3">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x14ac:dyDescent="0.3">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x14ac:dyDescent="0.3">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x14ac:dyDescent="0.3">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0.399999999999999" x14ac:dyDescent="0.3">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3">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3">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3">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0.399999999999999" x14ac:dyDescent="0.3">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0.399999999999999" x14ac:dyDescent="0.3">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x14ac:dyDescent="0.3">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0.399999999999999" x14ac:dyDescent="0.3">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0.399999999999999" x14ac:dyDescent="0.3">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0.399999999999999" x14ac:dyDescent="0.3">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0.399999999999999" x14ac:dyDescent="0.3">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0.399999999999999" x14ac:dyDescent="0.3">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0.399999999999999" x14ac:dyDescent="0.3">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0.399999999999999" x14ac:dyDescent="0.3">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0.399999999999999" x14ac:dyDescent="0.3">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3">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0.399999999999999" x14ac:dyDescent="0.3">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0.399999999999999" x14ac:dyDescent="0.3">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0.6" x14ac:dyDescent="0.3">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0.6" x14ac:dyDescent="0.3">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30.6" x14ac:dyDescent="0.3">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30.6" x14ac:dyDescent="0.3">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30.6" x14ac:dyDescent="0.3">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30.6" x14ac:dyDescent="0.3">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30.6" x14ac:dyDescent="0.3">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30.6" x14ac:dyDescent="0.3">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30.6" x14ac:dyDescent="0.3">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30.6" x14ac:dyDescent="0.3">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30.6" x14ac:dyDescent="0.3">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30.6" x14ac:dyDescent="0.3">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0.799999999999997" x14ac:dyDescent="0.3">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30.6" x14ac:dyDescent="0.3">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30.6" x14ac:dyDescent="0.3">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0.6" x14ac:dyDescent="0.3">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0.6" x14ac:dyDescent="0.3">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0.799999999999997" x14ac:dyDescent="0.3">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0.799999999999997" x14ac:dyDescent="0.3">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0.799999999999997" x14ac:dyDescent="0.3">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30.6" x14ac:dyDescent="0.3">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30.6" x14ac:dyDescent="0.3">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30.6" x14ac:dyDescent="0.3">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30.6" x14ac:dyDescent="0.3">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0.799999999999997" x14ac:dyDescent="0.3">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0.6" x14ac:dyDescent="0.3">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0.6" x14ac:dyDescent="0.3">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0.6" x14ac:dyDescent="0.3">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0.799999999999997" x14ac:dyDescent="0.3">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0.799999999999997" x14ac:dyDescent="0.3">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0.799999999999997" x14ac:dyDescent="0.3">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0.799999999999997" x14ac:dyDescent="0.3">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0.799999999999997" x14ac:dyDescent="0.3">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30.6" x14ac:dyDescent="0.3">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30.6" x14ac:dyDescent="0.3">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30.6" x14ac:dyDescent="0.3">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30.6" x14ac:dyDescent="0.3">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30.6" x14ac:dyDescent="0.3">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30.6" x14ac:dyDescent="0.3">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30.6" x14ac:dyDescent="0.3">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30.6" x14ac:dyDescent="0.3">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30.6" x14ac:dyDescent="0.3">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30.6" x14ac:dyDescent="0.3">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30.6" x14ac:dyDescent="0.3">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30.6" x14ac:dyDescent="0.3">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30.6" x14ac:dyDescent="0.3">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0.6" x14ac:dyDescent="0.3">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0.6" x14ac:dyDescent="0.3">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0.6" x14ac:dyDescent="0.3">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0.6" x14ac:dyDescent="0.3">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0.6" x14ac:dyDescent="0.3">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0.6" x14ac:dyDescent="0.3">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0.6" x14ac:dyDescent="0.3">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30.6" x14ac:dyDescent="0.3">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0.6" x14ac:dyDescent="0.3">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0.6" x14ac:dyDescent="0.3">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0.6" x14ac:dyDescent="0.3">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0.6" x14ac:dyDescent="0.3">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0.6" x14ac:dyDescent="0.3">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0.799999999999997" x14ac:dyDescent="0.3">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0.799999999999997" x14ac:dyDescent="0.3">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0.799999999999997" x14ac:dyDescent="0.3">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0.799999999999997" x14ac:dyDescent="0.3">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0.799999999999997" x14ac:dyDescent="0.3">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0.799999999999997" x14ac:dyDescent="0.3">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0.6" x14ac:dyDescent="0.3">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0.6" x14ac:dyDescent="0.3">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0.6" x14ac:dyDescent="0.3">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0.6" x14ac:dyDescent="0.3">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0.6" x14ac:dyDescent="0.3">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30.6" x14ac:dyDescent="0.3">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30.6" x14ac:dyDescent="0.3">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30.6" x14ac:dyDescent="0.3">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30.6" x14ac:dyDescent="0.3">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30.6" x14ac:dyDescent="0.3">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30.6" x14ac:dyDescent="0.3">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30.6" x14ac:dyDescent="0.3">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30.6" x14ac:dyDescent="0.3">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30.6" x14ac:dyDescent="0.3">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30.6" x14ac:dyDescent="0.3">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0.6" x14ac:dyDescent="0.3">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0.6" x14ac:dyDescent="0.3">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30.6" x14ac:dyDescent="0.3">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30.6" x14ac:dyDescent="0.3">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0.6" x14ac:dyDescent="0.3">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0.6" x14ac:dyDescent="0.3">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0.799999999999997" x14ac:dyDescent="0.3">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0.799999999999997" x14ac:dyDescent="0.3">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30.6" x14ac:dyDescent="0.3">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30.6" x14ac:dyDescent="0.3">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30.6" x14ac:dyDescent="0.3">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30.6" x14ac:dyDescent="0.3">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0.6" x14ac:dyDescent="0.3">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0.6" x14ac:dyDescent="0.3">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0.6" x14ac:dyDescent="0.3">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0.6" x14ac:dyDescent="0.3">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0.6" x14ac:dyDescent="0.3">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0.799999999999997" x14ac:dyDescent="0.3">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0.799999999999997" x14ac:dyDescent="0.3">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30.6" x14ac:dyDescent="0.3">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30.6" x14ac:dyDescent="0.3">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30.6" x14ac:dyDescent="0.3">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30.6" x14ac:dyDescent="0.3">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0.799999999999997" x14ac:dyDescent="0.3">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0.799999999999997" x14ac:dyDescent="0.3">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30.6" x14ac:dyDescent="0.3">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30.6" x14ac:dyDescent="0.3">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0.799999999999997" x14ac:dyDescent="0.3">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0.799999999999997" x14ac:dyDescent="0.3">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0.799999999999997" x14ac:dyDescent="0.3">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0.799999999999997" x14ac:dyDescent="0.3">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30.6" x14ac:dyDescent="0.3">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30.6" x14ac:dyDescent="0.3">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30.6" x14ac:dyDescent="0.3">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30.6" x14ac:dyDescent="0.3">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0.6" x14ac:dyDescent="0.3">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0.6" x14ac:dyDescent="0.3">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0.6" x14ac:dyDescent="0.3">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0.6" x14ac:dyDescent="0.3">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0.799999999999997" x14ac:dyDescent="0.3">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0.799999999999997" x14ac:dyDescent="0.3">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0.799999999999997" x14ac:dyDescent="0.3">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30.6" x14ac:dyDescent="0.3">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30.6" x14ac:dyDescent="0.3">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30.6" x14ac:dyDescent="0.3">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30.6" x14ac:dyDescent="0.3">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30.6" x14ac:dyDescent="0.3">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0.6" x14ac:dyDescent="0.3">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0.6" x14ac:dyDescent="0.3">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0.799999999999997" x14ac:dyDescent="0.3">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0.799999999999997" x14ac:dyDescent="0.3">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0.799999999999997" x14ac:dyDescent="0.3">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0.6" x14ac:dyDescent="0.3">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0.6" x14ac:dyDescent="0.3">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0.6" x14ac:dyDescent="0.3">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0.799999999999997" x14ac:dyDescent="0.3">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0.799999999999997" x14ac:dyDescent="0.3">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0.799999999999997" x14ac:dyDescent="0.3">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30.6" x14ac:dyDescent="0.3">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30.6" x14ac:dyDescent="0.3">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30.6" x14ac:dyDescent="0.3">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30.6" x14ac:dyDescent="0.3">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30.6" x14ac:dyDescent="0.3">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30.6" x14ac:dyDescent="0.3">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0.6" x14ac:dyDescent="0.3">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0.6" x14ac:dyDescent="0.3">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0.6" x14ac:dyDescent="0.3">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0.6" x14ac:dyDescent="0.3">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0.6" x14ac:dyDescent="0.3">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0.6" x14ac:dyDescent="0.3">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0.6" x14ac:dyDescent="0.3">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0.6" x14ac:dyDescent="0.3">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0.6" x14ac:dyDescent="0.3">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0.6" x14ac:dyDescent="0.3">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0.6" x14ac:dyDescent="0.3">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0.6" x14ac:dyDescent="0.3">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0.6" x14ac:dyDescent="0.3">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0.6" x14ac:dyDescent="0.3">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0.6" x14ac:dyDescent="0.3">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0.6" x14ac:dyDescent="0.3">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0.6" x14ac:dyDescent="0.3">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0.6" x14ac:dyDescent="0.3">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0.6" x14ac:dyDescent="0.3">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0.6" x14ac:dyDescent="0.3">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0.6" x14ac:dyDescent="0.3">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0.6" x14ac:dyDescent="0.3">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0.6" x14ac:dyDescent="0.3">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0.6" x14ac:dyDescent="0.3">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0.6" x14ac:dyDescent="0.3">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0.6" x14ac:dyDescent="0.3">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0.6" x14ac:dyDescent="0.3">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0.6" x14ac:dyDescent="0.3">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0.6" x14ac:dyDescent="0.3">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0.6" x14ac:dyDescent="0.3">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0.6" x14ac:dyDescent="0.3">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0.6" x14ac:dyDescent="0.3">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0.6" x14ac:dyDescent="0.3">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0.6" x14ac:dyDescent="0.3">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0.6" x14ac:dyDescent="0.3">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0.6" x14ac:dyDescent="0.3">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0.6" x14ac:dyDescent="0.3">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0.6" x14ac:dyDescent="0.3">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0.6" x14ac:dyDescent="0.3">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0.6" x14ac:dyDescent="0.3">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0.6" x14ac:dyDescent="0.3">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0.6" x14ac:dyDescent="0.3">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0.6" x14ac:dyDescent="0.3">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0.6" x14ac:dyDescent="0.3">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0.6" x14ac:dyDescent="0.3">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0.6" x14ac:dyDescent="0.3">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0.6" x14ac:dyDescent="0.3">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0.6" x14ac:dyDescent="0.3">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0.6" x14ac:dyDescent="0.3">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0.6" x14ac:dyDescent="0.3">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0.6" x14ac:dyDescent="0.3">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0.6" x14ac:dyDescent="0.3">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0.6" x14ac:dyDescent="0.3">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0.6" x14ac:dyDescent="0.3">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0.6" x14ac:dyDescent="0.3">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0.6" x14ac:dyDescent="0.3">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0.6" x14ac:dyDescent="0.3">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0.6" x14ac:dyDescent="0.3">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0.6" x14ac:dyDescent="0.3">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0.6" x14ac:dyDescent="0.3">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0.6" x14ac:dyDescent="0.3">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0.6" x14ac:dyDescent="0.3">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0.6" x14ac:dyDescent="0.3">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0.6" x14ac:dyDescent="0.3">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0.6" x14ac:dyDescent="0.3">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0.6" x14ac:dyDescent="0.3">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0.6" x14ac:dyDescent="0.3">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0.6" x14ac:dyDescent="0.3">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0.6" x14ac:dyDescent="0.3">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0.6" x14ac:dyDescent="0.3">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0.6" x14ac:dyDescent="0.3">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0.6" x14ac:dyDescent="0.3">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0.6" x14ac:dyDescent="0.3">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0.6" x14ac:dyDescent="0.3">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0.6" x14ac:dyDescent="0.3">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0.6" x14ac:dyDescent="0.3">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0.6" x14ac:dyDescent="0.3">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0.6" x14ac:dyDescent="0.3">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30.6" x14ac:dyDescent="0.3">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30.6" x14ac:dyDescent="0.3">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0.6" x14ac:dyDescent="0.3">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0.6" x14ac:dyDescent="0.3">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0.6" x14ac:dyDescent="0.3">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0.6" x14ac:dyDescent="0.3">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0.6" x14ac:dyDescent="0.3">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0.6" x14ac:dyDescent="0.3">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0.6" x14ac:dyDescent="0.3">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0.6" x14ac:dyDescent="0.3">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0.6" x14ac:dyDescent="0.3">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0.6" x14ac:dyDescent="0.3">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30.6" x14ac:dyDescent="0.3">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0.6" x14ac:dyDescent="0.3">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0.6" x14ac:dyDescent="0.3">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0.6" x14ac:dyDescent="0.3">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0.6" x14ac:dyDescent="0.3">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0.6" x14ac:dyDescent="0.3">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0.6" x14ac:dyDescent="0.3">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0.6" x14ac:dyDescent="0.3">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0.6" x14ac:dyDescent="0.3">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0.6" x14ac:dyDescent="0.3">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0.6" x14ac:dyDescent="0.3">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0.6" x14ac:dyDescent="0.3">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0.6" x14ac:dyDescent="0.3">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0.6" x14ac:dyDescent="0.3">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0.6" x14ac:dyDescent="0.3">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0.6" x14ac:dyDescent="0.3">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0.6" x14ac:dyDescent="0.3">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0.6" x14ac:dyDescent="0.3">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0.6" x14ac:dyDescent="0.3">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0.6" x14ac:dyDescent="0.3">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0.6" x14ac:dyDescent="0.3">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0.6" x14ac:dyDescent="0.3">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0.6" x14ac:dyDescent="0.3">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0.6" x14ac:dyDescent="0.3">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0.6" x14ac:dyDescent="0.3">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0.6" x14ac:dyDescent="0.3">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0.6" x14ac:dyDescent="0.3">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30.6" x14ac:dyDescent="0.3">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0.6" x14ac:dyDescent="0.3">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0.6" x14ac:dyDescent="0.3">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0.6" x14ac:dyDescent="0.3">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0.6" x14ac:dyDescent="0.3">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0.6" x14ac:dyDescent="0.3">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0.6" x14ac:dyDescent="0.3">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0.6" x14ac:dyDescent="0.3">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0.6" x14ac:dyDescent="0.3">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0.6" x14ac:dyDescent="0.3">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0.6" x14ac:dyDescent="0.3">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0.6" x14ac:dyDescent="0.3">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0.6" x14ac:dyDescent="0.3">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0.6" x14ac:dyDescent="0.3">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0.6" x14ac:dyDescent="0.3">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0.6" x14ac:dyDescent="0.3">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0.6" x14ac:dyDescent="0.3">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0.6" x14ac:dyDescent="0.3">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0.6" x14ac:dyDescent="0.3">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0.6" x14ac:dyDescent="0.3">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0.6" x14ac:dyDescent="0.3">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0.6" x14ac:dyDescent="0.3">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0.6" x14ac:dyDescent="0.3">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0.6" x14ac:dyDescent="0.3">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0.6" x14ac:dyDescent="0.3">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0.6" x14ac:dyDescent="0.3">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0.6" x14ac:dyDescent="0.3">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0.6" x14ac:dyDescent="0.3">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0.6" x14ac:dyDescent="0.3">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0.6" x14ac:dyDescent="0.3">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0.6" x14ac:dyDescent="0.3">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0.6" x14ac:dyDescent="0.3">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0.6" x14ac:dyDescent="0.3">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0.6" x14ac:dyDescent="0.3">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0.6" x14ac:dyDescent="0.3">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0.6" x14ac:dyDescent="0.3">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0.6" x14ac:dyDescent="0.3">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0.6" x14ac:dyDescent="0.3">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0.6" x14ac:dyDescent="0.3">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0.6" x14ac:dyDescent="0.3">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0.6" x14ac:dyDescent="0.3">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0.6" x14ac:dyDescent="0.3">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0.6" x14ac:dyDescent="0.3">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0.6" x14ac:dyDescent="0.3">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0.6" x14ac:dyDescent="0.3">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0.6" x14ac:dyDescent="0.3">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0.6" x14ac:dyDescent="0.3">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0.6" x14ac:dyDescent="0.3">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0.6" x14ac:dyDescent="0.3">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0.6" x14ac:dyDescent="0.3">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0.6" x14ac:dyDescent="0.3">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0.6" x14ac:dyDescent="0.3">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0.6" x14ac:dyDescent="0.3">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0.6" x14ac:dyDescent="0.3">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0.6" x14ac:dyDescent="0.3">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0.6" x14ac:dyDescent="0.3">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0.6" x14ac:dyDescent="0.3">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0.6" x14ac:dyDescent="0.3">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0.6" x14ac:dyDescent="0.3">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0.6" x14ac:dyDescent="0.3">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0.6" x14ac:dyDescent="0.3">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0.6" x14ac:dyDescent="0.3">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0.6" x14ac:dyDescent="0.3">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0.6" x14ac:dyDescent="0.3">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0.6" x14ac:dyDescent="0.3">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0.6" x14ac:dyDescent="0.3">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0.6" x14ac:dyDescent="0.3">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0.6" x14ac:dyDescent="0.3">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0.6" x14ac:dyDescent="0.3">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0.6" x14ac:dyDescent="0.3">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0.6" x14ac:dyDescent="0.3">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0.6" x14ac:dyDescent="0.3">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0.6" x14ac:dyDescent="0.3">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0.6" x14ac:dyDescent="0.3">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0.6" x14ac:dyDescent="0.3">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0.6" x14ac:dyDescent="0.3">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0.6" x14ac:dyDescent="0.3">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0.6" x14ac:dyDescent="0.3">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0.6" x14ac:dyDescent="0.3">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0.6" x14ac:dyDescent="0.3">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0.6" x14ac:dyDescent="0.3">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0.6" x14ac:dyDescent="0.3">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0.6" x14ac:dyDescent="0.3">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0.6" x14ac:dyDescent="0.3">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0.6" x14ac:dyDescent="0.3">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0.6" x14ac:dyDescent="0.3">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0.6" x14ac:dyDescent="0.3">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0.6" x14ac:dyDescent="0.3">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0.6" x14ac:dyDescent="0.3">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0.6" x14ac:dyDescent="0.3">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0.6" x14ac:dyDescent="0.3">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0.6" x14ac:dyDescent="0.3">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0.6" x14ac:dyDescent="0.3">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30.6" x14ac:dyDescent="0.3">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0.6" x14ac:dyDescent="0.3">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0.6" x14ac:dyDescent="0.3">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0.6" x14ac:dyDescent="0.3">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0.6" x14ac:dyDescent="0.3">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0.6" x14ac:dyDescent="0.3">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0.6" x14ac:dyDescent="0.3">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0.6" x14ac:dyDescent="0.3">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0.6" x14ac:dyDescent="0.3">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0.6" x14ac:dyDescent="0.3">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30.6" x14ac:dyDescent="0.3">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0.6" x14ac:dyDescent="0.3">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0.6" x14ac:dyDescent="0.3">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0.6" x14ac:dyDescent="0.3">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0.6" x14ac:dyDescent="0.3">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0.6" x14ac:dyDescent="0.3">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0.6" x14ac:dyDescent="0.3">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0.6" x14ac:dyDescent="0.3">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0.6" x14ac:dyDescent="0.3">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0.6" x14ac:dyDescent="0.3">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0.6" x14ac:dyDescent="0.3">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30.6" x14ac:dyDescent="0.3">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0.6" x14ac:dyDescent="0.3">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0.6" x14ac:dyDescent="0.3">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0.6" x14ac:dyDescent="0.3">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0.6" x14ac:dyDescent="0.3">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0.6" x14ac:dyDescent="0.3">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0.6" x14ac:dyDescent="0.3">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0.6" x14ac:dyDescent="0.3">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0.6" x14ac:dyDescent="0.3">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0.6" x14ac:dyDescent="0.3">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0.6" x14ac:dyDescent="0.3">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0.6" x14ac:dyDescent="0.3">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0.6" x14ac:dyDescent="0.3">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0.6" x14ac:dyDescent="0.3">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0.6" x14ac:dyDescent="0.3">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0.6" x14ac:dyDescent="0.3">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0.799999999999997" x14ac:dyDescent="0.3">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0.6" x14ac:dyDescent="0.3">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0.6" x14ac:dyDescent="0.3">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0.6" x14ac:dyDescent="0.3">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0.6" x14ac:dyDescent="0.3">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0.6" x14ac:dyDescent="0.3">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0.6" x14ac:dyDescent="0.3">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0.6" x14ac:dyDescent="0.3">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0.6" x14ac:dyDescent="0.3">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0.6" x14ac:dyDescent="0.3">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0.6" x14ac:dyDescent="0.3">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0.6" x14ac:dyDescent="0.3">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0.6" x14ac:dyDescent="0.3">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0.6" x14ac:dyDescent="0.3">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0.6" x14ac:dyDescent="0.3">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0.6" x14ac:dyDescent="0.3">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0.6" x14ac:dyDescent="0.3">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0.6" x14ac:dyDescent="0.3">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0.6" x14ac:dyDescent="0.3">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0.6" x14ac:dyDescent="0.3">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0.6" x14ac:dyDescent="0.3">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0.6" x14ac:dyDescent="0.3">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0.6" x14ac:dyDescent="0.3">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0.6" x14ac:dyDescent="0.3">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0.6" x14ac:dyDescent="0.3">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0.6" x14ac:dyDescent="0.3">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0.6" x14ac:dyDescent="0.3">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0.6" x14ac:dyDescent="0.3">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0.6" x14ac:dyDescent="0.3">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0.6" x14ac:dyDescent="0.3">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0.6" x14ac:dyDescent="0.3">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0.6" x14ac:dyDescent="0.3">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0.6" x14ac:dyDescent="0.3">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0.6" x14ac:dyDescent="0.3">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0.6" x14ac:dyDescent="0.3">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0.6" x14ac:dyDescent="0.3">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0.6" x14ac:dyDescent="0.3">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0.6" x14ac:dyDescent="0.3">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0.6" x14ac:dyDescent="0.3">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0.6" x14ac:dyDescent="0.3">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0.6" x14ac:dyDescent="0.3">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0.6" x14ac:dyDescent="0.3">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0.6" x14ac:dyDescent="0.3">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0.6" x14ac:dyDescent="0.3">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0.6" x14ac:dyDescent="0.3">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0.6" x14ac:dyDescent="0.3">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0.6" x14ac:dyDescent="0.3">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0.6" x14ac:dyDescent="0.3">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0.6" x14ac:dyDescent="0.3">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0.6" x14ac:dyDescent="0.3">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0.6" x14ac:dyDescent="0.3">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0.6" x14ac:dyDescent="0.3">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0.6" x14ac:dyDescent="0.3">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0.6" x14ac:dyDescent="0.3">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0.6" x14ac:dyDescent="0.3">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0.6" x14ac:dyDescent="0.3">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0.6" x14ac:dyDescent="0.3">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0.6" x14ac:dyDescent="0.3">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0.6" x14ac:dyDescent="0.3">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0.6" x14ac:dyDescent="0.3">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0.6" x14ac:dyDescent="0.3">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0.6" x14ac:dyDescent="0.3">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0.6" x14ac:dyDescent="0.3">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0.6" x14ac:dyDescent="0.3">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0.6" x14ac:dyDescent="0.3">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0.6" x14ac:dyDescent="0.3">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0.6" x14ac:dyDescent="0.3">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0.6" x14ac:dyDescent="0.3">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0.6" x14ac:dyDescent="0.3">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0.6" x14ac:dyDescent="0.3">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0.6" x14ac:dyDescent="0.3">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0.6" x14ac:dyDescent="0.3">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0.6" x14ac:dyDescent="0.3">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0.6" x14ac:dyDescent="0.3">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0.6" x14ac:dyDescent="0.3">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0.6" x14ac:dyDescent="0.3">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0.6" x14ac:dyDescent="0.3">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0.6" x14ac:dyDescent="0.3">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0.6" x14ac:dyDescent="0.3">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0.6" x14ac:dyDescent="0.3">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0.6" x14ac:dyDescent="0.3">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0.6" x14ac:dyDescent="0.3">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0.6" x14ac:dyDescent="0.3">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0.6" x14ac:dyDescent="0.3">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0.6" x14ac:dyDescent="0.3">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0.6" x14ac:dyDescent="0.3">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0.799999999999997" x14ac:dyDescent="0.3">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0.6" x14ac:dyDescent="0.3">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0.799999999999997" x14ac:dyDescent="0.3">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0.799999999999997" x14ac:dyDescent="0.3">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0.799999999999997" x14ac:dyDescent="0.3">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0.6" x14ac:dyDescent="0.3">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0.6" x14ac:dyDescent="0.3">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0.6" x14ac:dyDescent="0.3">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0.6" x14ac:dyDescent="0.3">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0.6" x14ac:dyDescent="0.3">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0.6" x14ac:dyDescent="0.3">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0.6" x14ac:dyDescent="0.3">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0.6" x14ac:dyDescent="0.3">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0.6" x14ac:dyDescent="0.3">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0.6" x14ac:dyDescent="0.3">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0.6" x14ac:dyDescent="0.3">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0.6" x14ac:dyDescent="0.3">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0.6" x14ac:dyDescent="0.3">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0.6" x14ac:dyDescent="0.3">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0.6" x14ac:dyDescent="0.3">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0.6" x14ac:dyDescent="0.3">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30.6" x14ac:dyDescent="0.3">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0.6" x14ac:dyDescent="0.3">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0.6" x14ac:dyDescent="0.3">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0.6" x14ac:dyDescent="0.3">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0.6" x14ac:dyDescent="0.3">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0.6" x14ac:dyDescent="0.3">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0.6" x14ac:dyDescent="0.3">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0.6" x14ac:dyDescent="0.3">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0.6" x14ac:dyDescent="0.3">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0.6" x14ac:dyDescent="0.3">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0.6" x14ac:dyDescent="0.3">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0.6" x14ac:dyDescent="0.3">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0.6" x14ac:dyDescent="0.3">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0.6" x14ac:dyDescent="0.3">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0.6" x14ac:dyDescent="0.3">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0.6" x14ac:dyDescent="0.3">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0.6" x14ac:dyDescent="0.3">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0.6" x14ac:dyDescent="0.3">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0.6" x14ac:dyDescent="0.3">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0.6" x14ac:dyDescent="0.3">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0.6" x14ac:dyDescent="0.3">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0.6" x14ac:dyDescent="0.3">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0.6" x14ac:dyDescent="0.3">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0.6" x14ac:dyDescent="0.3">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0.6" x14ac:dyDescent="0.3">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0.6" x14ac:dyDescent="0.3">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0.6" x14ac:dyDescent="0.3">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0.6" x14ac:dyDescent="0.3">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0.6" x14ac:dyDescent="0.3">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0.6" x14ac:dyDescent="0.3">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0.6" x14ac:dyDescent="0.3">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0.6" x14ac:dyDescent="0.3">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0.6" x14ac:dyDescent="0.3">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0.6" x14ac:dyDescent="0.3">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0.6" x14ac:dyDescent="0.3">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0.6" x14ac:dyDescent="0.3">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0.6" x14ac:dyDescent="0.3">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0.6" x14ac:dyDescent="0.3">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0.6" x14ac:dyDescent="0.3">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0.6" x14ac:dyDescent="0.3">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0.6" x14ac:dyDescent="0.3">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0.6" x14ac:dyDescent="0.3">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0.6" x14ac:dyDescent="0.3">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0.6" x14ac:dyDescent="0.3">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0.6" x14ac:dyDescent="0.3">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0.6" x14ac:dyDescent="0.3">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0.6" x14ac:dyDescent="0.3">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0.6" x14ac:dyDescent="0.3">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0.6" x14ac:dyDescent="0.3">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0.6" x14ac:dyDescent="0.3">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0.6" x14ac:dyDescent="0.3">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0.6" x14ac:dyDescent="0.3">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0.6" x14ac:dyDescent="0.3">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0.6" x14ac:dyDescent="0.3">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0.6" x14ac:dyDescent="0.3">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0.6" x14ac:dyDescent="0.3">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0.6" x14ac:dyDescent="0.3">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0.6" x14ac:dyDescent="0.3">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0.6" x14ac:dyDescent="0.3">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0.6" x14ac:dyDescent="0.3">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30.6" x14ac:dyDescent="0.3">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0.6" x14ac:dyDescent="0.3">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0.6" x14ac:dyDescent="0.3">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0.6" x14ac:dyDescent="0.3">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0.6" x14ac:dyDescent="0.3">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0.6" x14ac:dyDescent="0.3">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0.6" x14ac:dyDescent="0.3">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0.6" x14ac:dyDescent="0.3">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30.6" x14ac:dyDescent="0.3">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0.6" x14ac:dyDescent="0.3">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0.6" x14ac:dyDescent="0.3">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0.6" x14ac:dyDescent="0.3">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0.6" x14ac:dyDescent="0.3">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0.6" x14ac:dyDescent="0.3">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0.6" x14ac:dyDescent="0.3">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0.6" x14ac:dyDescent="0.3">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0.6" x14ac:dyDescent="0.3">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0.6" x14ac:dyDescent="0.3">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0.6" x14ac:dyDescent="0.3">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0.6" x14ac:dyDescent="0.3">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0.6" x14ac:dyDescent="0.3">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0.6" x14ac:dyDescent="0.3">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0.6" x14ac:dyDescent="0.3">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0.6" x14ac:dyDescent="0.3">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0.6" x14ac:dyDescent="0.3">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0.6" x14ac:dyDescent="0.3">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0.6" x14ac:dyDescent="0.3">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0.6" x14ac:dyDescent="0.3">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0.6" x14ac:dyDescent="0.3">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0.6" x14ac:dyDescent="0.3">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0.6" x14ac:dyDescent="0.3">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0.6" x14ac:dyDescent="0.3">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0.6" x14ac:dyDescent="0.3">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0.6" x14ac:dyDescent="0.3">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0.6" x14ac:dyDescent="0.3">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0.6" x14ac:dyDescent="0.3">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0.6" x14ac:dyDescent="0.3">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0.6" x14ac:dyDescent="0.3">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0.6" x14ac:dyDescent="0.3">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0.6" x14ac:dyDescent="0.3">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0.6" x14ac:dyDescent="0.3">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0.6" x14ac:dyDescent="0.3">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0.6" x14ac:dyDescent="0.3">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0.6" x14ac:dyDescent="0.3">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0.6" x14ac:dyDescent="0.3">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0.6" x14ac:dyDescent="0.3">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0.6" x14ac:dyDescent="0.3">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0.6" x14ac:dyDescent="0.3">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0.6" x14ac:dyDescent="0.3">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0.6" x14ac:dyDescent="0.3">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0.6" x14ac:dyDescent="0.3">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0.6" x14ac:dyDescent="0.3">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0.6" x14ac:dyDescent="0.3">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0.6" x14ac:dyDescent="0.3">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0.6" x14ac:dyDescent="0.3">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0.6" x14ac:dyDescent="0.3">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0.6" x14ac:dyDescent="0.3">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0.6" x14ac:dyDescent="0.3">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0.6" x14ac:dyDescent="0.3">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0.6" x14ac:dyDescent="0.3">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0.6" x14ac:dyDescent="0.3">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0.6" x14ac:dyDescent="0.3">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0.6" x14ac:dyDescent="0.3">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0.6" x14ac:dyDescent="0.3">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0.6" x14ac:dyDescent="0.3">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0.6" x14ac:dyDescent="0.3">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0.6" x14ac:dyDescent="0.3">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0.6" x14ac:dyDescent="0.3">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0.6" x14ac:dyDescent="0.3">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0.6" x14ac:dyDescent="0.3">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0.6" x14ac:dyDescent="0.3">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0.6" x14ac:dyDescent="0.3">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0.6" x14ac:dyDescent="0.3">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0.6" x14ac:dyDescent="0.3">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0.6" x14ac:dyDescent="0.3">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0.6" x14ac:dyDescent="0.3">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0.6" x14ac:dyDescent="0.3">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0.6" x14ac:dyDescent="0.3">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0.6" x14ac:dyDescent="0.3">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0.6" x14ac:dyDescent="0.3">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0.6" x14ac:dyDescent="0.3">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0.6" x14ac:dyDescent="0.3">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0.799999999999997" x14ac:dyDescent="0.3">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0.6" x14ac:dyDescent="0.3">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0.6" x14ac:dyDescent="0.3">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30.6" x14ac:dyDescent="0.3">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0.6" x14ac:dyDescent="0.3">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0.6" x14ac:dyDescent="0.3">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30.6" x14ac:dyDescent="0.3">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0.6" x14ac:dyDescent="0.3">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0.6" x14ac:dyDescent="0.3">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0.6" x14ac:dyDescent="0.3">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0.6" x14ac:dyDescent="0.3">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0.6" x14ac:dyDescent="0.3">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0.6" x14ac:dyDescent="0.3">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30.6" x14ac:dyDescent="0.3">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30.6" x14ac:dyDescent="0.3">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30.6" x14ac:dyDescent="0.3">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0.6" x14ac:dyDescent="0.3">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0.6" x14ac:dyDescent="0.3">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0.6" x14ac:dyDescent="0.3">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0.6" x14ac:dyDescent="0.3">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0.799999999999997" x14ac:dyDescent="0.3">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0.799999999999997" x14ac:dyDescent="0.3">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0.799999999999997" x14ac:dyDescent="0.3">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0.799999999999997" x14ac:dyDescent="0.3">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0.799999999999997" x14ac:dyDescent="0.3">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0.799999999999997" x14ac:dyDescent="0.3">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0.799999999999997" x14ac:dyDescent="0.3">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0.6" x14ac:dyDescent="0.3">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0.6" x14ac:dyDescent="0.3">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0.6" x14ac:dyDescent="0.3">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0.6" x14ac:dyDescent="0.3">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0.799999999999997" x14ac:dyDescent="0.3">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30.6" x14ac:dyDescent="0.3">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30.6" x14ac:dyDescent="0.3">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30.6" x14ac:dyDescent="0.3">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30.6" x14ac:dyDescent="0.3">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0.799999999999997" x14ac:dyDescent="0.3">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0.799999999999997" x14ac:dyDescent="0.3">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0.799999999999997" x14ac:dyDescent="0.3">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0.799999999999997" x14ac:dyDescent="0.3">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0.6" x14ac:dyDescent="0.3">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0.6" x14ac:dyDescent="0.3">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0.6" x14ac:dyDescent="0.3">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0.6" x14ac:dyDescent="0.3">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0.6" x14ac:dyDescent="0.3">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0.6" x14ac:dyDescent="0.3">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0.6" x14ac:dyDescent="0.3">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0.6" x14ac:dyDescent="0.3">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0.6" x14ac:dyDescent="0.3">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0.6" x14ac:dyDescent="0.3">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0.6" x14ac:dyDescent="0.3">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0.6" x14ac:dyDescent="0.3">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0.6" x14ac:dyDescent="0.3">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0.6" x14ac:dyDescent="0.3">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0.6" x14ac:dyDescent="0.3">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0.6" x14ac:dyDescent="0.3">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0.6" x14ac:dyDescent="0.3">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0.6" x14ac:dyDescent="0.3">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0.6" x14ac:dyDescent="0.3">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0.6" x14ac:dyDescent="0.3">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0.6" x14ac:dyDescent="0.3">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0.6" x14ac:dyDescent="0.3">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0.6" x14ac:dyDescent="0.3">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0.6" x14ac:dyDescent="0.3">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0.6" x14ac:dyDescent="0.3">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0.6" x14ac:dyDescent="0.3">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0.6" x14ac:dyDescent="0.3">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0.6" x14ac:dyDescent="0.3">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0.6" x14ac:dyDescent="0.3">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0.6" x14ac:dyDescent="0.3">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0.6" x14ac:dyDescent="0.3">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0.6" x14ac:dyDescent="0.3">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0.6" x14ac:dyDescent="0.3">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0.6" x14ac:dyDescent="0.3">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0.6" x14ac:dyDescent="0.3">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0.6" x14ac:dyDescent="0.3">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0.6" x14ac:dyDescent="0.3">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0.6" x14ac:dyDescent="0.3">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0.6" x14ac:dyDescent="0.3">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0.6" x14ac:dyDescent="0.3">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0.6" x14ac:dyDescent="0.3">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0.6" x14ac:dyDescent="0.3">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0.6" x14ac:dyDescent="0.3">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0.6" x14ac:dyDescent="0.3">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0.6" x14ac:dyDescent="0.3">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0.6" x14ac:dyDescent="0.3">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0.6" x14ac:dyDescent="0.3">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0.6" x14ac:dyDescent="0.3">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0.6" x14ac:dyDescent="0.3">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0.6" x14ac:dyDescent="0.3">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0.6" x14ac:dyDescent="0.3">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0.799999999999997" x14ac:dyDescent="0.3">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0.6" x14ac:dyDescent="0.3">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0.6" x14ac:dyDescent="0.3">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0.6" x14ac:dyDescent="0.3">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0.399999999999999" x14ac:dyDescent="0.3">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0.799999999999997" x14ac:dyDescent="0.3">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40.799999999999997" x14ac:dyDescent="0.3">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40.799999999999997" x14ac:dyDescent="0.3">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0.799999999999997" x14ac:dyDescent="0.3">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40.799999999999997" x14ac:dyDescent="0.3">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0.799999999999997" x14ac:dyDescent="0.3">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40.799999999999997" x14ac:dyDescent="0.3">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0.799999999999997" x14ac:dyDescent="0.3">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0.799999999999997" x14ac:dyDescent="0.3">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40.799999999999997" x14ac:dyDescent="0.3">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0.799999999999997" x14ac:dyDescent="0.3">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40.799999999999997" x14ac:dyDescent="0.3">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0.799999999999997" x14ac:dyDescent="0.3">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40.799999999999997" x14ac:dyDescent="0.3">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0.799999999999997" x14ac:dyDescent="0.3">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40.799999999999997" x14ac:dyDescent="0.3">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0.799999999999997" x14ac:dyDescent="0.3">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40.799999999999997" x14ac:dyDescent="0.3">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0.799999999999997" x14ac:dyDescent="0.3">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40.799999999999997" x14ac:dyDescent="0.3">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0.799999999999997" x14ac:dyDescent="0.3">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1" x14ac:dyDescent="0.3">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40.799999999999997" x14ac:dyDescent="0.3">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40.799999999999997" x14ac:dyDescent="0.3">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30.6" x14ac:dyDescent="0.3">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40.799999999999997" x14ac:dyDescent="0.3">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0.6" x14ac:dyDescent="0.3">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30.6" x14ac:dyDescent="0.3">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30.6" x14ac:dyDescent="0.3">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30.6" x14ac:dyDescent="0.3">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0.6" x14ac:dyDescent="0.3">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0.6" x14ac:dyDescent="0.3">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0.6" x14ac:dyDescent="0.3">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40.799999999999997" x14ac:dyDescent="0.3">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40.799999999999997" x14ac:dyDescent="0.3">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0.799999999999997" x14ac:dyDescent="0.3">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40.799999999999997" x14ac:dyDescent="0.3">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40.799999999999997" x14ac:dyDescent="0.3">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40.799999999999997" x14ac:dyDescent="0.3">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30.6" x14ac:dyDescent="0.3">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40.799999999999997" x14ac:dyDescent="0.3">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30.6" x14ac:dyDescent="0.3">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0.6" x14ac:dyDescent="0.3">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40.799999999999997" x14ac:dyDescent="0.3">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40.799999999999997" x14ac:dyDescent="0.3">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40.799999999999997" x14ac:dyDescent="0.3">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40.799999999999997" x14ac:dyDescent="0.3">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30.6" x14ac:dyDescent="0.3">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0.6" x14ac:dyDescent="0.3">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30.6" x14ac:dyDescent="0.3">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40.799999999999997" x14ac:dyDescent="0.3">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40.799999999999997" x14ac:dyDescent="0.3">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0.6" x14ac:dyDescent="0.3">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30.6" x14ac:dyDescent="0.3">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40.799999999999997" x14ac:dyDescent="0.3">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30.6" x14ac:dyDescent="0.3">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30.6" x14ac:dyDescent="0.3">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30.6" x14ac:dyDescent="0.3">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40.799999999999997" x14ac:dyDescent="0.3">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0.799999999999997" x14ac:dyDescent="0.3">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0.6" x14ac:dyDescent="0.3">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0.799999999999997" x14ac:dyDescent="0.3">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0.799999999999997" x14ac:dyDescent="0.3">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40.799999999999997" x14ac:dyDescent="0.3">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0.799999999999997" x14ac:dyDescent="0.3">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0.799999999999997" x14ac:dyDescent="0.3">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0.799999999999997" x14ac:dyDescent="0.3">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30.6" x14ac:dyDescent="0.3">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40.799999999999997" x14ac:dyDescent="0.3">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30.6" x14ac:dyDescent="0.3">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40.799999999999997" x14ac:dyDescent="0.3">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30.6" x14ac:dyDescent="0.3">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40.799999999999997" x14ac:dyDescent="0.3">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40.799999999999997" x14ac:dyDescent="0.3">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0.799999999999997" x14ac:dyDescent="0.3">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40.799999999999997" x14ac:dyDescent="0.3">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0.799999999999997" x14ac:dyDescent="0.3">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0.799999999999997" x14ac:dyDescent="0.3">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0.799999999999997" x14ac:dyDescent="0.3">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30.6" x14ac:dyDescent="0.3">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0.799999999999997" x14ac:dyDescent="0.3">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30.6" x14ac:dyDescent="0.3">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0.799999999999997" x14ac:dyDescent="0.3">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0.799999999999997" x14ac:dyDescent="0.3">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0.799999999999997" x14ac:dyDescent="0.3">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0.799999999999997" x14ac:dyDescent="0.3">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0.799999999999997" x14ac:dyDescent="0.3">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0.799999999999997" x14ac:dyDescent="0.3">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0.799999999999997" x14ac:dyDescent="0.3">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0.799999999999997" x14ac:dyDescent="0.3">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0.799999999999997" x14ac:dyDescent="0.3">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0.799999999999997" x14ac:dyDescent="0.3">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0.799999999999997" x14ac:dyDescent="0.3">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0.799999999999997" x14ac:dyDescent="0.3">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0.799999999999997" x14ac:dyDescent="0.3">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30.6" x14ac:dyDescent="0.3">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0.799999999999997" x14ac:dyDescent="0.3">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0.799999999999997" x14ac:dyDescent="0.3">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0.799999999999997" x14ac:dyDescent="0.3">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0.799999999999997" x14ac:dyDescent="0.3">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0.799999999999997" x14ac:dyDescent="0.3">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40.799999999999997" x14ac:dyDescent="0.3">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40.799999999999997" x14ac:dyDescent="0.3">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40.799999999999997" x14ac:dyDescent="0.3">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40.799999999999997" x14ac:dyDescent="0.3">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40.799999999999997" x14ac:dyDescent="0.3">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40.799999999999997" x14ac:dyDescent="0.3">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40.799999999999997" x14ac:dyDescent="0.3">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0.799999999999997" x14ac:dyDescent="0.3">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0.799999999999997" x14ac:dyDescent="0.3">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0.799999999999997" x14ac:dyDescent="0.3">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0.799999999999997" x14ac:dyDescent="0.3">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40.799999999999997" x14ac:dyDescent="0.3">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0.799999999999997" x14ac:dyDescent="0.3">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0.799999999999997" x14ac:dyDescent="0.3">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40.799999999999997" x14ac:dyDescent="0.3">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0.799999999999997" x14ac:dyDescent="0.3">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0.799999999999997" x14ac:dyDescent="0.3">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0.6" x14ac:dyDescent="0.3">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0.799999999999997" x14ac:dyDescent="0.3">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0.799999999999997" x14ac:dyDescent="0.3">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0.799999999999997" x14ac:dyDescent="0.3">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0.799999999999997" x14ac:dyDescent="0.3">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40.799999999999997" x14ac:dyDescent="0.3">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40.799999999999997" x14ac:dyDescent="0.3">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0.799999999999997" x14ac:dyDescent="0.3">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40.799999999999997" x14ac:dyDescent="0.3">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0.799999999999997" x14ac:dyDescent="0.3">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0.799999999999997" x14ac:dyDescent="0.3">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40.799999999999997" x14ac:dyDescent="0.3">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40.799999999999997" x14ac:dyDescent="0.3">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0.6" x14ac:dyDescent="0.3">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0.6" x14ac:dyDescent="0.3">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0.6" x14ac:dyDescent="0.3">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0.6" x14ac:dyDescent="0.3">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0.6" x14ac:dyDescent="0.3">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0.6" x14ac:dyDescent="0.3">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0.6" x14ac:dyDescent="0.3">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0.6" x14ac:dyDescent="0.3">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0.6" x14ac:dyDescent="0.3">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0.6" x14ac:dyDescent="0.3">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0.6" x14ac:dyDescent="0.3">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0.6" x14ac:dyDescent="0.3">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0.6" x14ac:dyDescent="0.3">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0.6" x14ac:dyDescent="0.3">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0.6" x14ac:dyDescent="0.3">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0.6" x14ac:dyDescent="0.3">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0.6" x14ac:dyDescent="0.3">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0.6" x14ac:dyDescent="0.3">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0.6" x14ac:dyDescent="0.3">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0.6" x14ac:dyDescent="0.3">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0.6" x14ac:dyDescent="0.3">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0.6" x14ac:dyDescent="0.3">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0.6" x14ac:dyDescent="0.3">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0.6" x14ac:dyDescent="0.3">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0.6" x14ac:dyDescent="0.3">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0.6" x14ac:dyDescent="0.3">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0.6" x14ac:dyDescent="0.3">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0.6" x14ac:dyDescent="0.3">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0.6" x14ac:dyDescent="0.3">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0.6" x14ac:dyDescent="0.3">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0.6" x14ac:dyDescent="0.3">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0.6" x14ac:dyDescent="0.3">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0.6" x14ac:dyDescent="0.3">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0.6" x14ac:dyDescent="0.3">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0.6" x14ac:dyDescent="0.3">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0.6" x14ac:dyDescent="0.3">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0.6" x14ac:dyDescent="0.3">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0.6" x14ac:dyDescent="0.3">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0.6" x14ac:dyDescent="0.3">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0.6" x14ac:dyDescent="0.3">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0.6" x14ac:dyDescent="0.3">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0.6" x14ac:dyDescent="0.3">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0.6" x14ac:dyDescent="0.3">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0.6" x14ac:dyDescent="0.3">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0.6" x14ac:dyDescent="0.3">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0.6" x14ac:dyDescent="0.3">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0.6" x14ac:dyDescent="0.3">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0.6" x14ac:dyDescent="0.3">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0.6" x14ac:dyDescent="0.3">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0.6" x14ac:dyDescent="0.3">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0.6" x14ac:dyDescent="0.3">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0.6" x14ac:dyDescent="0.3">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0.6" x14ac:dyDescent="0.3">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0.6" x14ac:dyDescent="0.3">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0.6" x14ac:dyDescent="0.3">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0.6" x14ac:dyDescent="0.3">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0.6" x14ac:dyDescent="0.3">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0.6" x14ac:dyDescent="0.3">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0.6" x14ac:dyDescent="0.3">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0.6" x14ac:dyDescent="0.3">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0.6" x14ac:dyDescent="0.3">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0.6" x14ac:dyDescent="0.3">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0.6" x14ac:dyDescent="0.3">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0.6" x14ac:dyDescent="0.3">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0.6" x14ac:dyDescent="0.3">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0.6" x14ac:dyDescent="0.3">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0.6" x14ac:dyDescent="0.3">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0.6" x14ac:dyDescent="0.3">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0.6" x14ac:dyDescent="0.3">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0.6" x14ac:dyDescent="0.3">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0.6" x14ac:dyDescent="0.3">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0.6" x14ac:dyDescent="0.3">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0.399999999999999" x14ac:dyDescent="0.3">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x14ac:dyDescent="0.3">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x14ac:dyDescent="0.3">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0.399999999999999" x14ac:dyDescent="0.3">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0.399999999999999" x14ac:dyDescent="0.3">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x14ac:dyDescent="0.3">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x14ac:dyDescent="0.3">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x14ac:dyDescent="0.3">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x14ac:dyDescent="0.3">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0.399999999999999" x14ac:dyDescent="0.3">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0.399999999999999" x14ac:dyDescent="0.3">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x14ac:dyDescent="0.3">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0.399999999999999" x14ac:dyDescent="0.3">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0.399999999999999" x14ac:dyDescent="0.3">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0.399999999999999" x14ac:dyDescent="0.3">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0.399999999999999" x14ac:dyDescent="0.3">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0.399999999999999" x14ac:dyDescent="0.3">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0.399999999999999" x14ac:dyDescent="0.3">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0.399999999999999" x14ac:dyDescent="0.3">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0.399999999999999" x14ac:dyDescent="0.3">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0.399999999999999" x14ac:dyDescent="0.3">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0.399999999999999" x14ac:dyDescent="0.3">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0.399999999999999" x14ac:dyDescent="0.3">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0.399999999999999" x14ac:dyDescent="0.3">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0.399999999999999" x14ac:dyDescent="0.3">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x14ac:dyDescent="0.3">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x14ac:dyDescent="0.3">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0.399999999999999" x14ac:dyDescent="0.3">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0.399999999999999" x14ac:dyDescent="0.3">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0.399999999999999" x14ac:dyDescent="0.3">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0.399999999999999" x14ac:dyDescent="0.3">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0.399999999999999" x14ac:dyDescent="0.3">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0.399999999999999" x14ac:dyDescent="0.3">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0.399999999999999" x14ac:dyDescent="0.3">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0.399999999999999" x14ac:dyDescent="0.3">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0.399999999999999" x14ac:dyDescent="0.3">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0.399999999999999" x14ac:dyDescent="0.3">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0.399999999999999" x14ac:dyDescent="0.3">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0.399999999999999" x14ac:dyDescent="0.3">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0.399999999999999" x14ac:dyDescent="0.3">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0.399999999999999" x14ac:dyDescent="0.3">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0.399999999999999" x14ac:dyDescent="0.3">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0.399999999999999" x14ac:dyDescent="0.3">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0.399999999999999" x14ac:dyDescent="0.3">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0.399999999999999" x14ac:dyDescent="0.3">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0.399999999999999" x14ac:dyDescent="0.3">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0.399999999999999" x14ac:dyDescent="0.3">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0.399999999999999" x14ac:dyDescent="0.3">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0.399999999999999" x14ac:dyDescent="0.3">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0.399999999999999" x14ac:dyDescent="0.3">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0.399999999999999" x14ac:dyDescent="0.3">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0.399999999999999" x14ac:dyDescent="0.3">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0.399999999999999" x14ac:dyDescent="0.3">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0.399999999999999" x14ac:dyDescent="0.3">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0.399999999999999" x14ac:dyDescent="0.3">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0.399999999999999" x14ac:dyDescent="0.3">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0.399999999999999" x14ac:dyDescent="0.3">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0.399999999999999" x14ac:dyDescent="0.3">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0.399999999999999" x14ac:dyDescent="0.3">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x14ac:dyDescent="0.3">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0.399999999999999" x14ac:dyDescent="0.3">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0.399999999999999" x14ac:dyDescent="0.3">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0.399999999999999" x14ac:dyDescent="0.3">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x14ac:dyDescent="0.3">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x14ac:dyDescent="0.3">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0.399999999999999" x14ac:dyDescent="0.3">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0.399999999999999" x14ac:dyDescent="0.3">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x14ac:dyDescent="0.3">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0.399999999999999" x14ac:dyDescent="0.3">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x14ac:dyDescent="0.3">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x14ac:dyDescent="0.3">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x14ac:dyDescent="0.3">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0.399999999999999" x14ac:dyDescent="0.3">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0.399999999999999" x14ac:dyDescent="0.3">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0.399999999999999" x14ac:dyDescent="0.3">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0.399999999999999" x14ac:dyDescent="0.3">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0.399999999999999" x14ac:dyDescent="0.3">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x14ac:dyDescent="0.3">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x14ac:dyDescent="0.3">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x14ac:dyDescent="0.3">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0.399999999999999" x14ac:dyDescent="0.3">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0.399999999999999" x14ac:dyDescent="0.3">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0.399999999999999" x14ac:dyDescent="0.3">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0.399999999999999" x14ac:dyDescent="0.3">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0.399999999999999" x14ac:dyDescent="0.3">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0.399999999999999" x14ac:dyDescent="0.3">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0.399999999999999" x14ac:dyDescent="0.3">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0.399999999999999" x14ac:dyDescent="0.3">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0.399999999999999" x14ac:dyDescent="0.3">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x14ac:dyDescent="0.3">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x14ac:dyDescent="0.3">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0.399999999999999" x14ac:dyDescent="0.3">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0.399999999999999" x14ac:dyDescent="0.3">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0.399999999999999" x14ac:dyDescent="0.3">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0.399999999999999" x14ac:dyDescent="0.3">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0.399999999999999" x14ac:dyDescent="0.3">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0.399999999999999" x14ac:dyDescent="0.3">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0.399999999999999" x14ac:dyDescent="0.3">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0.399999999999999" x14ac:dyDescent="0.3">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0.399999999999999" x14ac:dyDescent="0.3">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0.399999999999999" x14ac:dyDescent="0.3">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x14ac:dyDescent="0.3">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0.399999999999999" x14ac:dyDescent="0.3">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0.399999999999999" x14ac:dyDescent="0.3">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0.399999999999999" x14ac:dyDescent="0.3">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0.399999999999999" x14ac:dyDescent="0.3">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x14ac:dyDescent="0.3">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0.399999999999999" x14ac:dyDescent="0.3">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x14ac:dyDescent="0.3">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0.399999999999999" x14ac:dyDescent="0.3">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0.399999999999999" x14ac:dyDescent="0.3">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x14ac:dyDescent="0.3">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0.399999999999999" x14ac:dyDescent="0.3">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x14ac:dyDescent="0.3">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x14ac:dyDescent="0.3">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0.399999999999999" x14ac:dyDescent="0.3">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x14ac:dyDescent="0.3">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0.399999999999999" x14ac:dyDescent="0.3">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0.399999999999999" x14ac:dyDescent="0.3">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0.399999999999999" x14ac:dyDescent="0.3">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0.399999999999999" x14ac:dyDescent="0.3">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0.399999999999999" x14ac:dyDescent="0.3">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0.399999999999999" x14ac:dyDescent="0.3">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0.399999999999999" x14ac:dyDescent="0.3">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0.399999999999999" x14ac:dyDescent="0.3">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0.399999999999999" x14ac:dyDescent="0.3">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0.399999999999999" x14ac:dyDescent="0.3">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0.399999999999999" x14ac:dyDescent="0.3">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0.399999999999999" x14ac:dyDescent="0.3">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0.399999999999999" x14ac:dyDescent="0.3">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0.399999999999999" x14ac:dyDescent="0.3">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0.399999999999999" x14ac:dyDescent="0.3">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0.399999999999999" x14ac:dyDescent="0.3">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0.399999999999999" x14ac:dyDescent="0.3">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0.399999999999999" x14ac:dyDescent="0.3">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0.399999999999999" x14ac:dyDescent="0.3">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0.399999999999999" x14ac:dyDescent="0.3">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0.399999999999999" x14ac:dyDescent="0.3">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0.399999999999999" x14ac:dyDescent="0.3">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0.399999999999999" x14ac:dyDescent="0.3">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0.399999999999999" x14ac:dyDescent="0.3">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0.399999999999999" x14ac:dyDescent="0.3">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0.399999999999999" x14ac:dyDescent="0.3">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0.399999999999999" x14ac:dyDescent="0.3">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0.399999999999999" x14ac:dyDescent="0.3">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0.399999999999999" x14ac:dyDescent="0.3">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0.399999999999999" x14ac:dyDescent="0.3">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0.399999999999999" x14ac:dyDescent="0.3">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0.399999999999999" x14ac:dyDescent="0.3">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0.399999999999999" x14ac:dyDescent="0.3">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0.399999999999999" x14ac:dyDescent="0.3">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0.399999999999999" x14ac:dyDescent="0.3">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0.399999999999999" x14ac:dyDescent="0.3">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0.399999999999999" x14ac:dyDescent="0.3">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0.399999999999999" x14ac:dyDescent="0.3">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0.399999999999999" x14ac:dyDescent="0.3">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0.399999999999999" x14ac:dyDescent="0.3">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0.399999999999999" x14ac:dyDescent="0.3">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0.399999999999999" x14ac:dyDescent="0.3">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0.399999999999999" x14ac:dyDescent="0.3">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0.399999999999999" x14ac:dyDescent="0.3">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0.399999999999999" x14ac:dyDescent="0.3">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0.399999999999999" x14ac:dyDescent="0.3">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0.399999999999999" x14ac:dyDescent="0.3">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0.399999999999999" x14ac:dyDescent="0.3">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0.399999999999999" x14ac:dyDescent="0.3">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0.399999999999999" x14ac:dyDescent="0.3">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0.399999999999999" x14ac:dyDescent="0.3">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0.399999999999999" x14ac:dyDescent="0.3">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0.399999999999999" x14ac:dyDescent="0.3">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0.399999999999999" x14ac:dyDescent="0.3">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0.399999999999999" x14ac:dyDescent="0.3">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0.399999999999999" x14ac:dyDescent="0.3">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0.399999999999999" x14ac:dyDescent="0.3">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0.399999999999999" x14ac:dyDescent="0.3">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0.399999999999999" x14ac:dyDescent="0.3">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0.399999999999999" x14ac:dyDescent="0.3">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0.399999999999999" x14ac:dyDescent="0.3">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0.399999999999999" x14ac:dyDescent="0.3">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0.399999999999999" x14ac:dyDescent="0.3">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0.399999999999999" x14ac:dyDescent="0.3">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0.399999999999999" x14ac:dyDescent="0.3">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0.399999999999999" x14ac:dyDescent="0.3">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0.399999999999999" x14ac:dyDescent="0.3">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0.399999999999999" x14ac:dyDescent="0.3">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0.399999999999999" x14ac:dyDescent="0.3">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0.399999999999999" x14ac:dyDescent="0.3">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0.399999999999999" x14ac:dyDescent="0.3">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0.399999999999999" x14ac:dyDescent="0.3">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0.399999999999999" x14ac:dyDescent="0.3">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0.399999999999999" x14ac:dyDescent="0.3">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0.399999999999999" x14ac:dyDescent="0.3">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0.399999999999999" x14ac:dyDescent="0.3">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0.399999999999999" x14ac:dyDescent="0.3">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0.399999999999999" x14ac:dyDescent="0.3">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0.399999999999999" x14ac:dyDescent="0.3">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0.399999999999999" x14ac:dyDescent="0.3">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0.399999999999999" x14ac:dyDescent="0.3">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0.399999999999999" x14ac:dyDescent="0.3">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0.399999999999999" x14ac:dyDescent="0.3">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0.399999999999999" x14ac:dyDescent="0.3">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0.399999999999999" x14ac:dyDescent="0.3">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0.399999999999999" x14ac:dyDescent="0.3">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0.399999999999999" x14ac:dyDescent="0.3">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0.399999999999999" x14ac:dyDescent="0.3">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0.399999999999999" x14ac:dyDescent="0.3">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0.399999999999999" x14ac:dyDescent="0.3">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0.399999999999999" x14ac:dyDescent="0.3">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0.399999999999999" x14ac:dyDescent="0.3">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0.399999999999999" x14ac:dyDescent="0.3">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0.399999999999999" x14ac:dyDescent="0.3">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0.399999999999999" x14ac:dyDescent="0.3">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0.399999999999999" x14ac:dyDescent="0.3">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0.399999999999999" x14ac:dyDescent="0.3">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0.399999999999999" x14ac:dyDescent="0.3">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0.399999999999999" x14ac:dyDescent="0.3">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0.399999999999999" x14ac:dyDescent="0.3">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0.399999999999999" x14ac:dyDescent="0.3">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0.399999999999999" x14ac:dyDescent="0.3">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0.399999999999999" x14ac:dyDescent="0.3">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0.399999999999999" x14ac:dyDescent="0.3">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0.399999999999999" x14ac:dyDescent="0.3">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0.399999999999999" x14ac:dyDescent="0.3">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0.399999999999999" x14ac:dyDescent="0.3">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0.399999999999999" x14ac:dyDescent="0.3">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0.399999999999999" x14ac:dyDescent="0.3">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0.399999999999999" x14ac:dyDescent="0.3">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0.399999999999999" x14ac:dyDescent="0.3">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0.399999999999999" x14ac:dyDescent="0.3">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0.399999999999999" x14ac:dyDescent="0.3">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0.399999999999999" x14ac:dyDescent="0.3">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0.399999999999999" x14ac:dyDescent="0.3">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0.399999999999999" x14ac:dyDescent="0.3">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0.399999999999999" x14ac:dyDescent="0.3">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0.399999999999999" x14ac:dyDescent="0.3">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0.399999999999999" x14ac:dyDescent="0.3">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0.399999999999999" x14ac:dyDescent="0.3">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0.399999999999999" x14ac:dyDescent="0.3">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0.399999999999999" x14ac:dyDescent="0.3">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0.399999999999999" x14ac:dyDescent="0.3">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0.399999999999999" x14ac:dyDescent="0.3">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0.399999999999999" x14ac:dyDescent="0.3">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0.399999999999999" x14ac:dyDescent="0.3">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0.399999999999999" x14ac:dyDescent="0.3">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0.399999999999999" x14ac:dyDescent="0.3">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0.399999999999999" x14ac:dyDescent="0.3">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0.399999999999999" x14ac:dyDescent="0.3">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0.399999999999999" x14ac:dyDescent="0.3">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0.399999999999999" x14ac:dyDescent="0.3">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0.399999999999999" x14ac:dyDescent="0.3">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0.399999999999999" x14ac:dyDescent="0.3">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0.399999999999999" x14ac:dyDescent="0.3">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0.399999999999999" x14ac:dyDescent="0.3">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0.399999999999999" x14ac:dyDescent="0.3">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0.399999999999999" x14ac:dyDescent="0.3">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0.399999999999999" x14ac:dyDescent="0.3">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0.399999999999999" x14ac:dyDescent="0.3">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0.399999999999999" x14ac:dyDescent="0.3">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0.399999999999999" x14ac:dyDescent="0.3">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0.399999999999999" x14ac:dyDescent="0.3">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0.399999999999999" x14ac:dyDescent="0.3">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0.399999999999999" x14ac:dyDescent="0.3">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0.399999999999999" x14ac:dyDescent="0.3">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0.399999999999999" x14ac:dyDescent="0.3">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0.399999999999999" x14ac:dyDescent="0.3">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0.399999999999999" x14ac:dyDescent="0.3">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0.399999999999999" x14ac:dyDescent="0.3">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0.399999999999999" x14ac:dyDescent="0.3">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0.399999999999999" x14ac:dyDescent="0.3">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0.399999999999999" x14ac:dyDescent="0.3">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0.399999999999999" x14ac:dyDescent="0.3">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0.399999999999999" x14ac:dyDescent="0.3">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0.399999999999999" x14ac:dyDescent="0.3">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0.399999999999999" x14ac:dyDescent="0.3">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0.399999999999999" x14ac:dyDescent="0.3">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0.399999999999999" x14ac:dyDescent="0.3">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0.399999999999999" x14ac:dyDescent="0.3">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0.399999999999999" x14ac:dyDescent="0.3">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0.399999999999999" x14ac:dyDescent="0.3">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0.399999999999999" x14ac:dyDescent="0.3">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0.399999999999999" x14ac:dyDescent="0.3">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0.399999999999999" x14ac:dyDescent="0.3">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0.399999999999999" x14ac:dyDescent="0.3">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0.399999999999999" x14ac:dyDescent="0.3">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0.399999999999999" x14ac:dyDescent="0.3">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0.399999999999999" x14ac:dyDescent="0.3">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0.399999999999999" x14ac:dyDescent="0.3">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0.399999999999999" x14ac:dyDescent="0.3">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0.399999999999999" x14ac:dyDescent="0.3">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0.399999999999999" x14ac:dyDescent="0.3">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0.399999999999999" x14ac:dyDescent="0.3">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0.399999999999999" x14ac:dyDescent="0.3">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0.399999999999999" x14ac:dyDescent="0.3">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0.399999999999999" x14ac:dyDescent="0.3">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0.399999999999999" x14ac:dyDescent="0.3">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0.399999999999999" x14ac:dyDescent="0.3">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0.399999999999999" x14ac:dyDescent="0.3">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0.399999999999999" x14ac:dyDescent="0.3">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0.399999999999999" x14ac:dyDescent="0.3">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0.399999999999999" x14ac:dyDescent="0.3">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0.399999999999999" x14ac:dyDescent="0.3">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0.399999999999999" x14ac:dyDescent="0.3">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0.399999999999999" x14ac:dyDescent="0.3">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0.399999999999999" x14ac:dyDescent="0.3">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0.399999999999999" x14ac:dyDescent="0.3">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0.399999999999999" x14ac:dyDescent="0.3">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0.399999999999999" x14ac:dyDescent="0.3">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0.399999999999999" x14ac:dyDescent="0.3">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0.399999999999999" x14ac:dyDescent="0.3">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0.399999999999999" x14ac:dyDescent="0.3">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0.399999999999999" x14ac:dyDescent="0.3">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0.399999999999999" x14ac:dyDescent="0.3">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0.399999999999999" x14ac:dyDescent="0.3">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0.399999999999999" x14ac:dyDescent="0.3">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0.399999999999999" x14ac:dyDescent="0.3">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0.399999999999999" x14ac:dyDescent="0.3">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0.399999999999999" x14ac:dyDescent="0.3">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0.399999999999999" x14ac:dyDescent="0.3">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0.399999999999999" x14ac:dyDescent="0.3">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0.399999999999999" x14ac:dyDescent="0.3">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0.399999999999999" x14ac:dyDescent="0.3">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0.399999999999999" x14ac:dyDescent="0.3">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0.399999999999999" x14ac:dyDescent="0.3">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0.399999999999999" x14ac:dyDescent="0.3">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0.399999999999999" x14ac:dyDescent="0.3">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0.399999999999999" x14ac:dyDescent="0.3">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0.399999999999999" x14ac:dyDescent="0.3">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0.399999999999999" x14ac:dyDescent="0.3">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0.399999999999999" x14ac:dyDescent="0.3">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0.399999999999999" x14ac:dyDescent="0.3">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0.399999999999999" x14ac:dyDescent="0.3">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0.399999999999999" x14ac:dyDescent="0.3">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0.399999999999999" x14ac:dyDescent="0.3">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0.399999999999999" x14ac:dyDescent="0.3">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0.399999999999999" x14ac:dyDescent="0.3">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0.399999999999999" x14ac:dyDescent="0.3">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0.399999999999999" x14ac:dyDescent="0.3">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0.399999999999999" x14ac:dyDescent="0.3">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0.399999999999999" x14ac:dyDescent="0.3">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0.399999999999999" x14ac:dyDescent="0.3">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0.399999999999999" x14ac:dyDescent="0.3">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0.399999999999999" x14ac:dyDescent="0.3">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0.399999999999999" x14ac:dyDescent="0.3">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0.399999999999999" x14ac:dyDescent="0.3">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0.399999999999999" x14ac:dyDescent="0.3">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0.399999999999999" x14ac:dyDescent="0.3">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0.399999999999999" x14ac:dyDescent="0.3">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0.399999999999999" x14ac:dyDescent="0.3">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0.399999999999999" x14ac:dyDescent="0.3">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0.399999999999999" x14ac:dyDescent="0.3">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0.399999999999999" x14ac:dyDescent="0.3">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0.399999999999999" x14ac:dyDescent="0.3">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0.399999999999999" x14ac:dyDescent="0.3">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0.399999999999999" x14ac:dyDescent="0.3">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0.399999999999999" x14ac:dyDescent="0.3">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0.399999999999999" x14ac:dyDescent="0.3">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0.399999999999999" x14ac:dyDescent="0.3">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0.399999999999999" x14ac:dyDescent="0.3">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0.399999999999999" x14ac:dyDescent="0.3">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0.399999999999999" x14ac:dyDescent="0.3">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0.399999999999999" x14ac:dyDescent="0.3">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0.399999999999999" x14ac:dyDescent="0.3">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0.399999999999999" x14ac:dyDescent="0.3">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0.399999999999999" x14ac:dyDescent="0.3">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0.399999999999999" x14ac:dyDescent="0.3">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0.399999999999999" x14ac:dyDescent="0.3">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0.399999999999999" x14ac:dyDescent="0.3">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0.399999999999999" x14ac:dyDescent="0.3">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0.399999999999999" x14ac:dyDescent="0.3">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0.399999999999999" x14ac:dyDescent="0.3">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0.399999999999999" x14ac:dyDescent="0.3">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0.399999999999999" x14ac:dyDescent="0.3">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0.399999999999999" x14ac:dyDescent="0.3">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0.399999999999999" x14ac:dyDescent="0.3">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0.399999999999999" x14ac:dyDescent="0.3">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0.399999999999999" x14ac:dyDescent="0.3">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0.399999999999999" x14ac:dyDescent="0.3">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0.399999999999999" x14ac:dyDescent="0.3">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0.399999999999999" x14ac:dyDescent="0.3">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0.399999999999999" x14ac:dyDescent="0.3">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0.399999999999999" x14ac:dyDescent="0.3">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0.399999999999999" x14ac:dyDescent="0.3">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0.399999999999999" x14ac:dyDescent="0.3">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0.399999999999999" x14ac:dyDescent="0.3">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0.399999999999999" x14ac:dyDescent="0.3">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0.399999999999999" x14ac:dyDescent="0.3">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0.399999999999999" x14ac:dyDescent="0.3">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0.399999999999999" x14ac:dyDescent="0.3">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0.399999999999999" x14ac:dyDescent="0.3">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0.399999999999999" x14ac:dyDescent="0.3">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0.399999999999999" x14ac:dyDescent="0.3">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0.399999999999999" x14ac:dyDescent="0.3">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0.399999999999999" x14ac:dyDescent="0.3">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0.399999999999999" x14ac:dyDescent="0.3">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0.399999999999999" x14ac:dyDescent="0.3">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0.399999999999999" x14ac:dyDescent="0.3">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0.399999999999999" x14ac:dyDescent="0.3">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0.399999999999999" x14ac:dyDescent="0.3">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0.399999999999999" x14ac:dyDescent="0.3">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0.399999999999999" x14ac:dyDescent="0.3">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0.399999999999999" x14ac:dyDescent="0.3">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0.399999999999999" x14ac:dyDescent="0.3">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0.399999999999999" x14ac:dyDescent="0.3">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0.399999999999999" x14ac:dyDescent="0.3">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0.399999999999999" x14ac:dyDescent="0.3">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0.399999999999999" x14ac:dyDescent="0.3">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0.399999999999999" x14ac:dyDescent="0.3">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0.399999999999999" x14ac:dyDescent="0.3">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0.399999999999999" x14ac:dyDescent="0.3">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0.399999999999999" x14ac:dyDescent="0.3">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0.399999999999999" x14ac:dyDescent="0.3">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0.399999999999999" x14ac:dyDescent="0.3">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0.399999999999999" x14ac:dyDescent="0.3">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0.399999999999999" x14ac:dyDescent="0.3">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0.399999999999999" x14ac:dyDescent="0.3">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0.399999999999999" x14ac:dyDescent="0.3">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0.399999999999999" x14ac:dyDescent="0.3">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0.399999999999999" x14ac:dyDescent="0.3">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0.399999999999999" x14ac:dyDescent="0.3">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0.399999999999999" x14ac:dyDescent="0.3">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0.399999999999999" x14ac:dyDescent="0.3">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0.399999999999999" x14ac:dyDescent="0.3">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0.399999999999999" x14ac:dyDescent="0.3">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0.399999999999999" x14ac:dyDescent="0.3">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0.399999999999999" x14ac:dyDescent="0.3">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0.399999999999999" x14ac:dyDescent="0.3">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0.399999999999999" x14ac:dyDescent="0.3">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0.399999999999999" x14ac:dyDescent="0.3">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0.399999999999999" x14ac:dyDescent="0.3">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0.399999999999999" x14ac:dyDescent="0.3">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0.399999999999999" x14ac:dyDescent="0.3">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0.399999999999999" x14ac:dyDescent="0.3">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0.399999999999999" x14ac:dyDescent="0.3">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0.399999999999999" x14ac:dyDescent="0.3">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0.399999999999999" x14ac:dyDescent="0.3">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0.399999999999999" x14ac:dyDescent="0.3">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0.399999999999999" x14ac:dyDescent="0.3">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0.399999999999999" x14ac:dyDescent="0.3">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0.399999999999999" x14ac:dyDescent="0.3">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0.399999999999999" x14ac:dyDescent="0.3">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0.399999999999999" x14ac:dyDescent="0.3">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0.399999999999999" x14ac:dyDescent="0.3">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0.399999999999999" x14ac:dyDescent="0.3">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0.399999999999999" x14ac:dyDescent="0.3">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0.399999999999999" x14ac:dyDescent="0.3">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0.399999999999999" x14ac:dyDescent="0.3">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0.399999999999999" x14ac:dyDescent="0.3">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0.399999999999999" x14ac:dyDescent="0.3">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0.399999999999999" x14ac:dyDescent="0.3">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0.399999999999999" x14ac:dyDescent="0.3">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0.399999999999999" x14ac:dyDescent="0.3">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0.399999999999999" x14ac:dyDescent="0.3">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0.399999999999999" x14ac:dyDescent="0.3">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0.399999999999999" x14ac:dyDescent="0.3">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0.399999999999999" x14ac:dyDescent="0.3">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0.399999999999999" x14ac:dyDescent="0.3">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0.399999999999999" x14ac:dyDescent="0.3">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0.399999999999999" x14ac:dyDescent="0.3">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0.399999999999999" x14ac:dyDescent="0.3">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0.399999999999999" x14ac:dyDescent="0.3">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0.399999999999999" x14ac:dyDescent="0.3">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0.399999999999999" x14ac:dyDescent="0.3">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0.399999999999999" x14ac:dyDescent="0.3">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0.399999999999999" x14ac:dyDescent="0.3">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0.399999999999999" x14ac:dyDescent="0.3">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0.399999999999999" x14ac:dyDescent="0.3">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0.399999999999999" x14ac:dyDescent="0.3">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0.399999999999999" x14ac:dyDescent="0.3">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0.399999999999999" x14ac:dyDescent="0.3">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0.399999999999999" x14ac:dyDescent="0.3">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0.399999999999999" x14ac:dyDescent="0.3">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0.399999999999999" x14ac:dyDescent="0.3">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0.399999999999999" x14ac:dyDescent="0.3">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0.399999999999999" x14ac:dyDescent="0.3">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0.399999999999999" x14ac:dyDescent="0.3">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0.399999999999999" x14ac:dyDescent="0.3">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0.399999999999999" x14ac:dyDescent="0.3">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0.399999999999999" x14ac:dyDescent="0.3">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0.399999999999999" x14ac:dyDescent="0.3">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0.399999999999999" x14ac:dyDescent="0.3">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0.399999999999999" x14ac:dyDescent="0.3">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0.399999999999999" x14ac:dyDescent="0.3">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0.399999999999999" x14ac:dyDescent="0.3">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0.399999999999999" x14ac:dyDescent="0.3">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0.399999999999999" x14ac:dyDescent="0.3">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0.399999999999999" x14ac:dyDescent="0.3">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0.399999999999999" x14ac:dyDescent="0.3">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0.399999999999999" x14ac:dyDescent="0.3">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0.399999999999999" x14ac:dyDescent="0.3">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0.399999999999999" x14ac:dyDescent="0.3">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0.399999999999999" x14ac:dyDescent="0.3">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3">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0.399999999999999" x14ac:dyDescent="0.3">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0.399999999999999" x14ac:dyDescent="0.3">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0.399999999999999" x14ac:dyDescent="0.3">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0.399999999999999" x14ac:dyDescent="0.3">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0.399999999999999" x14ac:dyDescent="0.3">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0.399999999999999" x14ac:dyDescent="0.3">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0.399999999999999" x14ac:dyDescent="0.3">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0.399999999999999" x14ac:dyDescent="0.3">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0.399999999999999" x14ac:dyDescent="0.3">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0.399999999999999" x14ac:dyDescent="0.3">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0.399999999999999" x14ac:dyDescent="0.3">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0.399999999999999" x14ac:dyDescent="0.3">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0.399999999999999" x14ac:dyDescent="0.3">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0.399999999999999" x14ac:dyDescent="0.3">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0.399999999999999" x14ac:dyDescent="0.3">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0.399999999999999" x14ac:dyDescent="0.3">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0.399999999999999" x14ac:dyDescent="0.3">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0.399999999999999" x14ac:dyDescent="0.3">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0.399999999999999" x14ac:dyDescent="0.3">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0.399999999999999" x14ac:dyDescent="0.3">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0.399999999999999" x14ac:dyDescent="0.3">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0.399999999999999" x14ac:dyDescent="0.3">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0.399999999999999" x14ac:dyDescent="0.3">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0.399999999999999" x14ac:dyDescent="0.3">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0.399999999999999" x14ac:dyDescent="0.3">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0.399999999999999" x14ac:dyDescent="0.3">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0.399999999999999" x14ac:dyDescent="0.3">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0.399999999999999" x14ac:dyDescent="0.3">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0.399999999999999" x14ac:dyDescent="0.3">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0.399999999999999" x14ac:dyDescent="0.3">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0.399999999999999" x14ac:dyDescent="0.3">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0.399999999999999" x14ac:dyDescent="0.3">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0.399999999999999" x14ac:dyDescent="0.3">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0.399999999999999" x14ac:dyDescent="0.3">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0.399999999999999" x14ac:dyDescent="0.3">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0.399999999999999" x14ac:dyDescent="0.3">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0.399999999999999" x14ac:dyDescent="0.3">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0.399999999999999" x14ac:dyDescent="0.3">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0.399999999999999" x14ac:dyDescent="0.3">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0.399999999999999" x14ac:dyDescent="0.3">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0.399999999999999" x14ac:dyDescent="0.3">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0.399999999999999" x14ac:dyDescent="0.3">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0.399999999999999" x14ac:dyDescent="0.3">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0.399999999999999" x14ac:dyDescent="0.3">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0.399999999999999" x14ac:dyDescent="0.3">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0.399999999999999" x14ac:dyDescent="0.3">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0.399999999999999" x14ac:dyDescent="0.3">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0.399999999999999" x14ac:dyDescent="0.3">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0.399999999999999" x14ac:dyDescent="0.3">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0.399999999999999" x14ac:dyDescent="0.3">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0.399999999999999" x14ac:dyDescent="0.3">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0.399999999999999" x14ac:dyDescent="0.3">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0.399999999999999" x14ac:dyDescent="0.3">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0.399999999999999" x14ac:dyDescent="0.3">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0.399999999999999" x14ac:dyDescent="0.3">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0.399999999999999" x14ac:dyDescent="0.3">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0.399999999999999" x14ac:dyDescent="0.3">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0.399999999999999" x14ac:dyDescent="0.3">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0.399999999999999" x14ac:dyDescent="0.3">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0.399999999999999" x14ac:dyDescent="0.3">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0.399999999999999" x14ac:dyDescent="0.3">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0.399999999999999" x14ac:dyDescent="0.3">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0.399999999999999" x14ac:dyDescent="0.3">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0.399999999999999" x14ac:dyDescent="0.3">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0.399999999999999" x14ac:dyDescent="0.3">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0.399999999999999" x14ac:dyDescent="0.3">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0.399999999999999" x14ac:dyDescent="0.3">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0.399999999999999" x14ac:dyDescent="0.3">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0.399999999999999" x14ac:dyDescent="0.3">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0.399999999999999" x14ac:dyDescent="0.3">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0.399999999999999" x14ac:dyDescent="0.3">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0.399999999999999" x14ac:dyDescent="0.3">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0.399999999999999" x14ac:dyDescent="0.3">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0.399999999999999" x14ac:dyDescent="0.3">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0.399999999999999" x14ac:dyDescent="0.3">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0.399999999999999" x14ac:dyDescent="0.3">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0.399999999999999" x14ac:dyDescent="0.3">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0.399999999999999" x14ac:dyDescent="0.3">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0.399999999999999" x14ac:dyDescent="0.3">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0.399999999999999" x14ac:dyDescent="0.3">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0.399999999999999" x14ac:dyDescent="0.3">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0.399999999999999" x14ac:dyDescent="0.3">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0.399999999999999" x14ac:dyDescent="0.3">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0.399999999999999" x14ac:dyDescent="0.3">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0.399999999999999" x14ac:dyDescent="0.3">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0.399999999999999" x14ac:dyDescent="0.3">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0.399999999999999" x14ac:dyDescent="0.3">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0.399999999999999" x14ac:dyDescent="0.3">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0.399999999999999" x14ac:dyDescent="0.3">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0.399999999999999" x14ac:dyDescent="0.3">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0.399999999999999" x14ac:dyDescent="0.3">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0.399999999999999" x14ac:dyDescent="0.3">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0.399999999999999" x14ac:dyDescent="0.3">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0.399999999999999" x14ac:dyDescent="0.3">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0.399999999999999" x14ac:dyDescent="0.3">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0.399999999999999" x14ac:dyDescent="0.3">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0.399999999999999" x14ac:dyDescent="0.3">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0.399999999999999" x14ac:dyDescent="0.3">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0.399999999999999" x14ac:dyDescent="0.3">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0.399999999999999" x14ac:dyDescent="0.3">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0.399999999999999" x14ac:dyDescent="0.3">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0.399999999999999" x14ac:dyDescent="0.3">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0.399999999999999" x14ac:dyDescent="0.3">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0.399999999999999" x14ac:dyDescent="0.3">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0.399999999999999" x14ac:dyDescent="0.3">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0.399999999999999" x14ac:dyDescent="0.3">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0.399999999999999" x14ac:dyDescent="0.3">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0.399999999999999" x14ac:dyDescent="0.3">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0.399999999999999" x14ac:dyDescent="0.3">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0.399999999999999" x14ac:dyDescent="0.3">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0.399999999999999" x14ac:dyDescent="0.3">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0.399999999999999" x14ac:dyDescent="0.3">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0.399999999999999" x14ac:dyDescent="0.3">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0.399999999999999" x14ac:dyDescent="0.3">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0.399999999999999" x14ac:dyDescent="0.3">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0.399999999999999" x14ac:dyDescent="0.3">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0.399999999999999" x14ac:dyDescent="0.3">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0.399999999999999" x14ac:dyDescent="0.3">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0.399999999999999" x14ac:dyDescent="0.3">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0.399999999999999" x14ac:dyDescent="0.3">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0.399999999999999" x14ac:dyDescent="0.3">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0.399999999999999" x14ac:dyDescent="0.3">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0.399999999999999" x14ac:dyDescent="0.3">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0.399999999999999" x14ac:dyDescent="0.3">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0.399999999999999" x14ac:dyDescent="0.3">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0.399999999999999" x14ac:dyDescent="0.3">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0.399999999999999" x14ac:dyDescent="0.3">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0.399999999999999" x14ac:dyDescent="0.3">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0.399999999999999" x14ac:dyDescent="0.3">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0.399999999999999" x14ac:dyDescent="0.3">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0.399999999999999" x14ac:dyDescent="0.3">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0.399999999999999" x14ac:dyDescent="0.3">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0.399999999999999" x14ac:dyDescent="0.3">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0.399999999999999" x14ac:dyDescent="0.3">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0.399999999999999" x14ac:dyDescent="0.3">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0.399999999999999" x14ac:dyDescent="0.3">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0.399999999999999" x14ac:dyDescent="0.3">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0.399999999999999" x14ac:dyDescent="0.3">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0.399999999999999" x14ac:dyDescent="0.3">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0.399999999999999" x14ac:dyDescent="0.3">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0.399999999999999" x14ac:dyDescent="0.3">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0.399999999999999" x14ac:dyDescent="0.3">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0.399999999999999" x14ac:dyDescent="0.3">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0.399999999999999" x14ac:dyDescent="0.3">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0.399999999999999" x14ac:dyDescent="0.3">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0.399999999999999" x14ac:dyDescent="0.3">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0.399999999999999" x14ac:dyDescent="0.3">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0.399999999999999" x14ac:dyDescent="0.3">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0.399999999999999" x14ac:dyDescent="0.3">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0.399999999999999" x14ac:dyDescent="0.3">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0.399999999999999" x14ac:dyDescent="0.3">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0.399999999999999" x14ac:dyDescent="0.3">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0.399999999999999" x14ac:dyDescent="0.3">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0.399999999999999" x14ac:dyDescent="0.3">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0.399999999999999" x14ac:dyDescent="0.3">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0.399999999999999" x14ac:dyDescent="0.3">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0.399999999999999" x14ac:dyDescent="0.3">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0.399999999999999" x14ac:dyDescent="0.3">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0.399999999999999" x14ac:dyDescent="0.3">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0.399999999999999" x14ac:dyDescent="0.3">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0.399999999999999" x14ac:dyDescent="0.3">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0.399999999999999" x14ac:dyDescent="0.3">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0.399999999999999" x14ac:dyDescent="0.3">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0.399999999999999" x14ac:dyDescent="0.3">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0.399999999999999" x14ac:dyDescent="0.3">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0.399999999999999" x14ac:dyDescent="0.3">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0.399999999999999" x14ac:dyDescent="0.3">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0.399999999999999" x14ac:dyDescent="0.3">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0.399999999999999" x14ac:dyDescent="0.3">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0.399999999999999" x14ac:dyDescent="0.3">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0.399999999999999" x14ac:dyDescent="0.3">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0.399999999999999" x14ac:dyDescent="0.3">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0.399999999999999" x14ac:dyDescent="0.3">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0.399999999999999" x14ac:dyDescent="0.3">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0.399999999999999" x14ac:dyDescent="0.3">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0.399999999999999" x14ac:dyDescent="0.3">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0.399999999999999" x14ac:dyDescent="0.3">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0.399999999999999" x14ac:dyDescent="0.3">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0.399999999999999" x14ac:dyDescent="0.3">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0.399999999999999" x14ac:dyDescent="0.3">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0.399999999999999" x14ac:dyDescent="0.3">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0.399999999999999" x14ac:dyDescent="0.3">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0.399999999999999" x14ac:dyDescent="0.3">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0.399999999999999" x14ac:dyDescent="0.3">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0.399999999999999" x14ac:dyDescent="0.3">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0.399999999999999" x14ac:dyDescent="0.3">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0.399999999999999" x14ac:dyDescent="0.3">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0.399999999999999" x14ac:dyDescent="0.3">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0.399999999999999" x14ac:dyDescent="0.3">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0.399999999999999" x14ac:dyDescent="0.3">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0.399999999999999" x14ac:dyDescent="0.3">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0.399999999999999" x14ac:dyDescent="0.3">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0.399999999999999" x14ac:dyDescent="0.3">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0.399999999999999" x14ac:dyDescent="0.3">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0.399999999999999" x14ac:dyDescent="0.3">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0.399999999999999" x14ac:dyDescent="0.3">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0.399999999999999" x14ac:dyDescent="0.3">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0.399999999999999" x14ac:dyDescent="0.3">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0.399999999999999" x14ac:dyDescent="0.3">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0.399999999999999" x14ac:dyDescent="0.3">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0.399999999999999" x14ac:dyDescent="0.3">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0.399999999999999" x14ac:dyDescent="0.3">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0.399999999999999" x14ac:dyDescent="0.3">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0.399999999999999" x14ac:dyDescent="0.3">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0.399999999999999" x14ac:dyDescent="0.3">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0.399999999999999" x14ac:dyDescent="0.3">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0.399999999999999" x14ac:dyDescent="0.3">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0.399999999999999" x14ac:dyDescent="0.3">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0.399999999999999" x14ac:dyDescent="0.3">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0.399999999999999" x14ac:dyDescent="0.3">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0.399999999999999" x14ac:dyDescent="0.3">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0.399999999999999" x14ac:dyDescent="0.3">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0.399999999999999" x14ac:dyDescent="0.3">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0.399999999999999" x14ac:dyDescent="0.3">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0.399999999999999" x14ac:dyDescent="0.3">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0.399999999999999" x14ac:dyDescent="0.3">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0.399999999999999" x14ac:dyDescent="0.3">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0.399999999999999" x14ac:dyDescent="0.3">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0.399999999999999" x14ac:dyDescent="0.3">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0.399999999999999" x14ac:dyDescent="0.3">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0.399999999999999" x14ac:dyDescent="0.3">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0.399999999999999" x14ac:dyDescent="0.3">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0.399999999999999" x14ac:dyDescent="0.3">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0.399999999999999" x14ac:dyDescent="0.3">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0.399999999999999" x14ac:dyDescent="0.3">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0.399999999999999" x14ac:dyDescent="0.3">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0.399999999999999" x14ac:dyDescent="0.3">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0.399999999999999" x14ac:dyDescent="0.3">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0.399999999999999" x14ac:dyDescent="0.3">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0.399999999999999" x14ac:dyDescent="0.3">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0.399999999999999" x14ac:dyDescent="0.3">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0.399999999999999" x14ac:dyDescent="0.3">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0.399999999999999" x14ac:dyDescent="0.3">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0.399999999999999" x14ac:dyDescent="0.3">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0.399999999999999" x14ac:dyDescent="0.3">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0.399999999999999" x14ac:dyDescent="0.3">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0.399999999999999" x14ac:dyDescent="0.3">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0.399999999999999" x14ac:dyDescent="0.3">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0.399999999999999" x14ac:dyDescent="0.3">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0.399999999999999" x14ac:dyDescent="0.3">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0.399999999999999" x14ac:dyDescent="0.3">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0.399999999999999" x14ac:dyDescent="0.3">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0.399999999999999" x14ac:dyDescent="0.3">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0.399999999999999" x14ac:dyDescent="0.3">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0.399999999999999" x14ac:dyDescent="0.3">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0.399999999999999" x14ac:dyDescent="0.3">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0.399999999999999" x14ac:dyDescent="0.3">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0.399999999999999" x14ac:dyDescent="0.3">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x14ac:dyDescent="0.3">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0.399999999999999" x14ac:dyDescent="0.3">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0.399999999999999" x14ac:dyDescent="0.3">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x14ac:dyDescent="0.3">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0.399999999999999" x14ac:dyDescent="0.3">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0.399999999999999" x14ac:dyDescent="0.3">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0.399999999999999" x14ac:dyDescent="0.3">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0.399999999999999" x14ac:dyDescent="0.3">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0.399999999999999" x14ac:dyDescent="0.3">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x14ac:dyDescent="0.3">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0.399999999999999" x14ac:dyDescent="0.3">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x14ac:dyDescent="0.3">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0.399999999999999" x14ac:dyDescent="0.3">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0.399999999999999" x14ac:dyDescent="0.3">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0.399999999999999" x14ac:dyDescent="0.3">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0.399999999999999" x14ac:dyDescent="0.3">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x14ac:dyDescent="0.3">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x14ac:dyDescent="0.3">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0.399999999999999" x14ac:dyDescent="0.3">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0.399999999999999" x14ac:dyDescent="0.3">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x14ac:dyDescent="0.3">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x14ac:dyDescent="0.3">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0.399999999999999" x14ac:dyDescent="0.3">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0.399999999999999" x14ac:dyDescent="0.3">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0.399999999999999" x14ac:dyDescent="0.3">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0.399999999999999" x14ac:dyDescent="0.3">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0.399999999999999" x14ac:dyDescent="0.3">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0.399999999999999" x14ac:dyDescent="0.3">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0.399999999999999" x14ac:dyDescent="0.3">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0.399999999999999" x14ac:dyDescent="0.3">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0.399999999999999" x14ac:dyDescent="0.3">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0.399999999999999" x14ac:dyDescent="0.3">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0.399999999999999" x14ac:dyDescent="0.3">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0.399999999999999" x14ac:dyDescent="0.3">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0.399999999999999" x14ac:dyDescent="0.3">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0.399999999999999" x14ac:dyDescent="0.3">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0.399999999999999" x14ac:dyDescent="0.3">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0.399999999999999" x14ac:dyDescent="0.3">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0.399999999999999" x14ac:dyDescent="0.3">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0.399999999999999" x14ac:dyDescent="0.3">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0.399999999999999" x14ac:dyDescent="0.3">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0.399999999999999" x14ac:dyDescent="0.3">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x14ac:dyDescent="0.3">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0.399999999999999" x14ac:dyDescent="0.3">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0.399999999999999" x14ac:dyDescent="0.3">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0.399999999999999" x14ac:dyDescent="0.3">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0.399999999999999" x14ac:dyDescent="0.3">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0.399999999999999" x14ac:dyDescent="0.3">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x14ac:dyDescent="0.3">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0.399999999999999" x14ac:dyDescent="0.3">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0.399999999999999" x14ac:dyDescent="0.3">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0.399999999999999" x14ac:dyDescent="0.3">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0.399999999999999" x14ac:dyDescent="0.3">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0.399999999999999" x14ac:dyDescent="0.3">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x14ac:dyDescent="0.3">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x14ac:dyDescent="0.3">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0.399999999999999" x14ac:dyDescent="0.3">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0.399999999999999" x14ac:dyDescent="0.3">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0.399999999999999" x14ac:dyDescent="0.3">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0.399999999999999" x14ac:dyDescent="0.3">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0.399999999999999" x14ac:dyDescent="0.3">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0.399999999999999" x14ac:dyDescent="0.3">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x14ac:dyDescent="0.3">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0.399999999999999" x14ac:dyDescent="0.3">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0.399999999999999" x14ac:dyDescent="0.3">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0.399999999999999" x14ac:dyDescent="0.3">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0.399999999999999" x14ac:dyDescent="0.3">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x14ac:dyDescent="0.3">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x14ac:dyDescent="0.3">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x14ac:dyDescent="0.3">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x14ac:dyDescent="0.3">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x14ac:dyDescent="0.3">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x14ac:dyDescent="0.3">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x14ac:dyDescent="0.3">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0.399999999999999" x14ac:dyDescent="0.3">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0.399999999999999" x14ac:dyDescent="0.3">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0.399999999999999" x14ac:dyDescent="0.3">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0.399999999999999" x14ac:dyDescent="0.3">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0.399999999999999" x14ac:dyDescent="0.3">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0.399999999999999" x14ac:dyDescent="0.3">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0.399999999999999" x14ac:dyDescent="0.3">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0.399999999999999" x14ac:dyDescent="0.3">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0.399999999999999" x14ac:dyDescent="0.3">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0.399999999999999" x14ac:dyDescent="0.3">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0.399999999999999" x14ac:dyDescent="0.3">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0.399999999999999" x14ac:dyDescent="0.3">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0.399999999999999" x14ac:dyDescent="0.3">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0.399999999999999" x14ac:dyDescent="0.3">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0.399999999999999" x14ac:dyDescent="0.3">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0.399999999999999" x14ac:dyDescent="0.3">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0.399999999999999" x14ac:dyDescent="0.3">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0.399999999999999" x14ac:dyDescent="0.3">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0.399999999999999" x14ac:dyDescent="0.3">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0.399999999999999" x14ac:dyDescent="0.3">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0.399999999999999" x14ac:dyDescent="0.3">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0.399999999999999" x14ac:dyDescent="0.3">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0.399999999999999" x14ac:dyDescent="0.3">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0.399999999999999" x14ac:dyDescent="0.3">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0.399999999999999" x14ac:dyDescent="0.3">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0.399999999999999" x14ac:dyDescent="0.3">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0.399999999999999" x14ac:dyDescent="0.3">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0.399999999999999" x14ac:dyDescent="0.3">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0.399999999999999" x14ac:dyDescent="0.3">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0.399999999999999" x14ac:dyDescent="0.3">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0.399999999999999" x14ac:dyDescent="0.3">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0.399999999999999" x14ac:dyDescent="0.3">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0.399999999999999" x14ac:dyDescent="0.3">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x14ac:dyDescent="0.3">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0.399999999999999" x14ac:dyDescent="0.3">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0.399999999999999" x14ac:dyDescent="0.3">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0.399999999999999" x14ac:dyDescent="0.3">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0.399999999999999" x14ac:dyDescent="0.3">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0.399999999999999" x14ac:dyDescent="0.3">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0.399999999999999" x14ac:dyDescent="0.3">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0.399999999999999" x14ac:dyDescent="0.3">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0.399999999999999" x14ac:dyDescent="0.3">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0.399999999999999" x14ac:dyDescent="0.3">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0.399999999999999" x14ac:dyDescent="0.3">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0.399999999999999" x14ac:dyDescent="0.3">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0.399999999999999" x14ac:dyDescent="0.3">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x14ac:dyDescent="0.3">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0.399999999999999" x14ac:dyDescent="0.3">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0.399999999999999" x14ac:dyDescent="0.3">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0.399999999999999" x14ac:dyDescent="0.3">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0.399999999999999" x14ac:dyDescent="0.3">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x14ac:dyDescent="0.3">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0.399999999999999" x14ac:dyDescent="0.3">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0.399999999999999" x14ac:dyDescent="0.3">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0.399999999999999" x14ac:dyDescent="0.3">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0.399999999999999" x14ac:dyDescent="0.3">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0.399999999999999" x14ac:dyDescent="0.3">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0.399999999999999" x14ac:dyDescent="0.3">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0.399999999999999" x14ac:dyDescent="0.3">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0.399999999999999" x14ac:dyDescent="0.3">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0.399999999999999" x14ac:dyDescent="0.3">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0.399999999999999" x14ac:dyDescent="0.3">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0.399999999999999" x14ac:dyDescent="0.3">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0.399999999999999" x14ac:dyDescent="0.3">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0.399999999999999" x14ac:dyDescent="0.3">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0.399999999999999" x14ac:dyDescent="0.3">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0.399999999999999" x14ac:dyDescent="0.3">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0.399999999999999" x14ac:dyDescent="0.3">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0.399999999999999" x14ac:dyDescent="0.3">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0.399999999999999" x14ac:dyDescent="0.3">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0.399999999999999" x14ac:dyDescent="0.3">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0.399999999999999" x14ac:dyDescent="0.3">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0.399999999999999" x14ac:dyDescent="0.3">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0.399999999999999" x14ac:dyDescent="0.3">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0.399999999999999" x14ac:dyDescent="0.3">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0.399999999999999" x14ac:dyDescent="0.3">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0.399999999999999" x14ac:dyDescent="0.3">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0.399999999999999" x14ac:dyDescent="0.3">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0.399999999999999" x14ac:dyDescent="0.3">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0.399999999999999" x14ac:dyDescent="0.3">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0.399999999999999" x14ac:dyDescent="0.3">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0.399999999999999" x14ac:dyDescent="0.3">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0.399999999999999" x14ac:dyDescent="0.3">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0.399999999999999" x14ac:dyDescent="0.3">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0.399999999999999" x14ac:dyDescent="0.3">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0.399999999999999" x14ac:dyDescent="0.3">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0.399999999999999" x14ac:dyDescent="0.3">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0.399999999999999" x14ac:dyDescent="0.3">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0.399999999999999" x14ac:dyDescent="0.3">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0.399999999999999" x14ac:dyDescent="0.3">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0.399999999999999" x14ac:dyDescent="0.3">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0.399999999999999" x14ac:dyDescent="0.3">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0.399999999999999" x14ac:dyDescent="0.3">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0.399999999999999" x14ac:dyDescent="0.3">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0.399999999999999" x14ac:dyDescent="0.3">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0.399999999999999" x14ac:dyDescent="0.3">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0.399999999999999" x14ac:dyDescent="0.3">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0.399999999999999" x14ac:dyDescent="0.3">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0.399999999999999" x14ac:dyDescent="0.3">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0.399999999999999" x14ac:dyDescent="0.3">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0.399999999999999" x14ac:dyDescent="0.3">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0.399999999999999" x14ac:dyDescent="0.3">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0.399999999999999" x14ac:dyDescent="0.3">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0.399999999999999" x14ac:dyDescent="0.3">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0.399999999999999" x14ac:dyDescent="0.3">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0.399999999999999" x14ac:dyDescent="0.3">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0.399999999999999" x14ac:dyDescent="0.3">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0.399999999999999" x14ac:dyDescent="0.3">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0.399999999999999" x14ac:dyDescent="0.3">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0.399999999999999" x14ac:dyDescent="0.3">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0.399999999999999" x14ac:dyDescent="0.3">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0.399999999999999" x14ac:dyDescent="0.3">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0.399999999999999" x14ac:dyDescent="0.3">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0.399999999999999" x14ac:dyDescent="0.3">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0.399999999999999" x14ac:dyDescent="0.3">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0.399999999999999" x14ac:dyDescent="0.3">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0.399999999999999" x14ac:dyDescent="0.3">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0.399999999999999" x14ac:dyDescent="0.3">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0.399999999999999" x14ac:dyDescent="0.3">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0.399999999999999" x14ac:dyDescent="0.3">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0.399999999999999" x14ac:dyDescent="0.3">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0.399999999999999" x14ac:dyDescent="0.3">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0.399999999999999" x14ac:dyDescent="0.3">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0.399999999999999" x14ac:dyDescent="0.3">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0.399999999999999" x14ac:dyDescent="0.3">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0.399999999999999" x14ac:dyDescent="0.3">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0.399999999999999" x14ac:dyDescent="0.3">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0.399999999999999" x14ac:dyDescent="0.3">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0.399999999999999" x14ac:dyDescent="0.3">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0.399999999999999" x14ac:dyDescent="0.3">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0.399999999999999" x14ac:dyDescent="0.3">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0.399999999999999" x14ac:dyDescent="0.3">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0.399999999999999" x14ac:dyDescent="0.3">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0.399999999999999" x14ac:dyDescent="0.3">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0.399999999999999" x14ac:dyDescent="0.3">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0.399999999999999" x14ac:dyDescent="0.3">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0.399999999999999" x14ac:dyDescent="0.3">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0.399999999999999" x14ac:dyDescent="0.3">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0.399999999999999" x14ac:dyDescent="0.3">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0.399999999999999" x14ac:dyDescent="0.3">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0.399999999999999" x14ac:dyDescent="0.3">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0.399999999999999" x14ac:dyDescent="0.3">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0.399999999999999" x14ac:dyDescent="0.3">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0.399999999999999" x14ac:dyDescent="0.3">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0.399999999999999" x14ac:dyDescent="0.3">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0.399999999999999" x14ac:dyDescent="0.3">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0.399999999999999" x14ac:dyDescent="0.3">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0.399999999999999" x14ac:dyDescent="0.3">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0.399999999999999" x14ac:dyDescent="0.3">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0.399999999999999" x14ac:dyDescent="0.3">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0.399999999999999" x14ac:dyDescent="0.3">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0.399999999999999" x14ac:dyDescent="0.3">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0.399999999999999" x14ac:dyDescent="0.3">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0.399999999999999" x14ac:dyDescent="0.3">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0.399999999999999" x14ac:dyDescent="0.3">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0.399999999999999" x14ac:dyDescent="0.3">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0.399999999999999" x14ac:dyDescent="0.3">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0.399999999999999" x14ac:dyDescent="0.3">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0.399999999999999" x14ac:dyDescent="0.3">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0.399999999999999" x14ac:dyDescent="0.3">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0.399999999999999" x14ac:dyDescent="0.3">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0.399999999999999" x14ac:dyDescent="0.3">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0.399999999999999" x14ac:dyDescent="0.3">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0.399999999999999" x14ac:dyDescent="0.3">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0.399999999999999" x14ac:dyDescent="0.3">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0.399999999999999" x14ac:dyDescent="0.3">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0.399999999999999" x14ac:dyDescent="0.3">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0.399999999999999" x14ac:dyDescent="0.3">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0.399999999999999" x14ac:dyDescent="0.3">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0.399999999999999" x14ac:dyDescent="0.3">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0.399999999999999" x14ac:dyDescent="0.3">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20.399999999999999" x14ac:dyDescent="0.3">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0.399999999999999" x14ac:dyDescent="0.3">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0.399999999999999" x14ac:dyDescent="0.3">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0.399999999999999" x14ac:dyDescent="0.3">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20.399999999999999" x14ac:dyDescent="0.3">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20.399999999999999" x14ac:dyDescent="0.3">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0.399999999999999" x14ac:dyDescent="0.3">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20.399999999999999" x14ac:dyDescent="0.3">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20.399999999999999" x14ac:dyDescent="0.3">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0.399999999999999" x14ac:dyDescent="0.3">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20.399999999999999" x14ac:dyDescent="0.3">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0.399999999999999" x14ac:dyDescent="0.3">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0.399999999999999" x14ac:dyDescent="0.3">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0.399999999999999" x14ac:dyDescent="0.3">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20.399999999999999" x14ac:dyDescent="0.3">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0.399999999999999" x14ac:dyDescent="0.3">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0.399999999999999" x14ac:dyDescent="0.3">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0.399999999999999" x14ac:dyDescent="0.3">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0.399999999999999" x14ac:dyDescent="0.3">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0.399999999999999" x14ac:dyDescent="0.3">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20.399999999999999" x14ac:dyDescent="0.3">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0.399999999999999" x14ac:dyDescent="0.3">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0.399999999999999" x14ac:dyDescent="0.3">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0.399999999999999" x14ac:dyDescent="0.3">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0.399999999999999" x14ac:dyDescent="0.3">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0.399999999999999" x14ac:dyDescent="0.3">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0.399999999999999" x14ac:dyDescent="0.3">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0.399999999999999" x14ac:dyDescent="0.3">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0.399999999999999" x14ac:dyDescent="0.3">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0.399999999999999" x14ac:dyDescent="0.3">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0.399999999999999" x14ac:dyDescent="0.3">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0.399999999999999" x14ac:dyDescent="0.3">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20.399999999999999" x14ac:dyDescent="0.3">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0.399999999999999" x14ac:dyDescent="0.3">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0.399999999999999" x14ac:dyDescent="0.3">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0.399999999999999" x14ac:dyDescent="0.3">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0.399999999999999" x14ac:dyDescent="0.3">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0.399999999999999" x14ac:dyDescent="0.3">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0.399999999999999" x14ac:dyDescent="0.3">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0.399999999999999" x14ac:dyDescent="0.3">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0.399999999999999" x14ac:dyDescent="0.3">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0.399999999999999" x14ac:dyDescent="0.3">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0.399999999999999" x14ac:dyDescent="0.3">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0.399999999999999" x14ac:dyDescent="0.3">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0.399999999999999" x14ac:dyDescent="0.3">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0.399999999999999" x14ac:dyDescent="0.3">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0.399999999999999" x14ac:dyDescent="0.3">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0.399999999999999" x14ac:dyDescent="0.3">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0.399999999999999" x14ac:dyDescent="0.3">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0.399999999999999" x14ac:dyDescent="0.3">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0.399999999999999" x14ac:dyDescent="0.3">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0.399999999999999" x14ac:dyDescent="0.3">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0.399999999999999" x14ac:dyDescent="0.3">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0.399999999999999" x14ac:dyDescent="0.3">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20.399999999999999" x14ac:dyDescent="0.3">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0.399999999999999" x14ac:dyDescent="0.3">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20.399999999999999" x14ac:dyDescent="0.3">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0.399999999999999" x14ac:dyDescent="0.3">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20.399999999999999" x14ac:dyDescent="0.3">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0.399999999999999" x14ac:dyDescent="0.3">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0.399999999999999" x14ac:dyDescent="0.3">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0.399999999999999" x14ac:dyDescent="0.3">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0.399999999999999" x14ac:dyDescent="0.3">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0.399999999999999" x14ac:dyDescent="0.3">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0.399999999999999" x14ac:dyDescent="0.3">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0.399999999999999" x14ac:dyDescent="0.3">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0.399999999999999" x14ac:dyDescent="0.3">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0.399999999999999" x14ac:dyDescent="0.3">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0.399999999999999" x14ac:dyDescent="0.3">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0.399999999999999" x14ac:dyDescent="0.3">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0.399999999999999" x14ac:dyDescent="0.3">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0.399999999999999" x14ac:dyDescent="0.3">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0.399999999999999" x14ac:dyDescent="0.3">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0.399999999999999" x14ac:dyDescent="0.3">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0.399999999999999" x14ac:dyDescent="0.3">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0.399999999999999" x14ac:dyDescent="0.3">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0.399999999999999" x14ac:dyDescent="0.3">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0.399999999999999" x14ac:dyDescent="0.3">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0.399999999999999" x14ac:dyDescent="0.3">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0.399999999999999" x14ac:dyDescent="0.3">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0.399999999999999" x14ac:dyDescent="0.3">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0.399999999999999" x14ac:dyDescent="0.3">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0.399999999999999" x14ac:dyDescent="0.3">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0.399999999999999" x14ac:dyDescent="0.3">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0.399999999999999" x14ac:dyDescent="0.3">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0.399999999999999" x14ac:dyDescent="0.3">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0.399999999999999" x14ac:dyDescent="0.3">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3">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3">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0.399999999999999" x14ac:dyDescent="0.3">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3">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3">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3">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0.399999999999999" x14ac:dyDescent="0.3">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0.399999999999999" x14ac:dyDescent="0.3">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3">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0.399999999999999" x14ac:dyDescent="0.3">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3">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3">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0.399999999999999" x14ac:dyDescent="0.3">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3">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3">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3">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3">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3">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3">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3">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3">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3">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3">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3">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3">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3">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0.399999999999999" x14ac:dyDescent="0.3">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0.399999999999999" x14ac:dyDescent="0.3">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0.399999999999999" x14ac:dyDescent="0.3">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0.399999999999999" x14ac:dyDescent="0.3">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0.399999999999999" x14ac:dyDescent="0.3">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0.399999999999999" x14ac:dyDescent="0.3">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0.399999999999999" x14ac:dyDescent="0.3">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0.399999999999999" x14ac:dyDescent="0.3">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0.399999999999999" x14ac:dyDescent="0.3">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0.399999999999999" x14ac:dyDescent="0.3">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0.399999999999999" x14ac:dyDescent="0.3">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0.399999999999999" x14ac:dyDescent="0.3">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0.399999999999999" x14ac:dyDescent="0.3">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0.399999999999999" x14ac:dyDescent="0.3">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0.399999999999999" x14ac:dyDescent="0.3">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0.399999999999999" x14ac:dyDescent="0.3">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0.399999999999999" x14ac:dyDescent="0.3">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0.399999999999999" x14ac:dyDescent="0.3">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0.399999999999999" x14ac:dyDescent="0.3">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0.399999999999999" x14ac:dyDescent="0.3">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0.399999999999999" x14ac:dyDescent="0.3">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0.399999999999999" x14ac:dyDescent="0.3">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0.399999999999999" x14ac:dyDescent="0.3">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0.399999999999999" x14ac:dyDescent="0.3">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0.399999999999999" x14ac:dyDescent="0.3">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0.399999999999999" x14ac:dyDescent="0.3">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0.399999999999999" x14ac:dyDescent="0.3">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0.399999999999999" x14ac:dyDescent="0.3">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0.399999999999999" x14ac:dyDescent="0.3">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0.399999999999999" x14ac:dyDescent="0.3">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0.399999999999999" x14ac:dyDescent="0.3">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0.399999999999999" x14ac:dyDescent="0.3">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0.399999999999999" x14ac:dyDescent="0.3">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0.399999999999999" x14ac:dyDescent="0.3">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0.399999999999999" x14ac:dyDescent="0.3">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0.399999999999999" x14ac:dyDescent="0.3">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0.399999999999999" x14ac:dyDescent="0.3">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0.399999999999999" x14ac:dyDescent="0.3">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0.399999999999999" x14ac:dyDescent="0.3">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0.399999999999999" x14ac:dyDescent="0.3">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0.399999999999999" x14ac:dyDescent="0.3">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0.399999999999999" x14ac:dyDescent="0.3">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0.399999999999999" x14ac:dyDescent="0.3">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0.399999999999999" x14ac:dyDescent="0.3">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0.399999999999999" x14ac:dyDescent="0.3">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0.399999999999999" x14ac:dyDescent="0.3">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0.399999999999999" x14ac:dyDescent="0.3">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3">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0.399999999999999" x14ac:dyDescent="0.3">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3">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3">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0.399999999999999" x14ac:dyDescent="0.3">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0.399999999999999" x14ac:dyDescent="0.3">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3">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3">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3">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3">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0.399999999999999" x14ac:dyDescent="0.3">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0.399999999999999" x14ac:dyDescent="0.3">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3">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0.399999999999999" x14ac:dyDescent="0.3">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0.399999999999999" x14ac:dyDescent="0.3">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3">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3">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3">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3">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0.399999999999999" x14ac:dyDescent="0.3">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3">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3">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3">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0.399999999999999" x14ac:dyDescent="0.3">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3">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3">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3">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3">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3">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3">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3">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3">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0.399999999999999" x14ac:dyDescent="0.3">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3">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3">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0.399999999999999" x14ac:dyDescent="0.3">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0.399999999999999" x14ac:dyDescent="0.3">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0.399999999999999" x14ac:dyDescent="0.3">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0.399999999999999" x14ac:dyDescent="0.3">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3">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3">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3">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3">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3">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0.399999999999999" x14ac:dyDescent="0.3">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0.399999999999999" x14ac:dyDescent="0.3">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0.399999999999999" x14ac:dyDescent="0.3">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0.399999999999999" x14ac:dyDescent="0.3">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0.399999999999999" x14ac:dyDescent="0.3">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0.399999999999999" x14ac:dyDescent="0.3">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0.399999999999999" x14ac:dyDescent="0.3">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0.399999999999999" x14ac:dyDescent="0.3">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0.399999999999999" x14ac:dyDescent="0.3">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3">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0.399999999999999" x14ac:dyDescent="0.3">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0.399999999999999" x14ac:dyDescent="0.3">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0.399999999999999" x14ac:dyDescent="0.3">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0.399999999999999" x14ac:dyDescent="0.3">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0.399999999999999" x14ac:dyDescent="0.3">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0.399999999999999" x14ac:dyDescent="0.3">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0.399999999999999" x14ac:dyDescent="0.3">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0.399999999999999" x14ac:dyDescent="0.3">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0.399999999999999" x14ac:dyDescent="0.3">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0.399999999999999" x14ac:dyDescent="0.3">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0.399999999999999" x14ac:dyDescent="0.3">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0.399999999999999" x14ac:dyDescent="0.3">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0.399999999999999" x14ac:dyDescent="0.3">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0.399999999999999" x14ac:dyDescent="0.3">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0.399999999999999" x14ac:dyDescent="0.3">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0.399999999999999" x14ac:dyDescent="0.3">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0.399999999999999" x14ac:dyDescent="0.3">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0.399999999999999" x14ac:dyDescent="0.3">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0.399999999999999" x14ac:dyDescent="0.3">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0.399999999999999" x14ac:dyDescent="0.3">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0.399999999999999" x14ac:dyDescent="0.3">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0.399999999999999" x14ac:dyDescent="0.3">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0.399999999999999" x14ac:dyDescent="0.3">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0.399999999999999" x14ac:dyDescent="0.3">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0.399999999999999" x14ac:dyDescent="0.3">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0.399999999999999" x14ac:dyDescent="0.3">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0.399999999999999" x14ac:dyDescent="0.3">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0.399999999999999" x14ac:dyDescent="0.3">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0.399999999999999" x14ac:dyDescent="0.3">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0.399999999999999" x14ac:dyDescent="0.3">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0.399999999999999" x14ac:dyDescent="0.3">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0.399999999999999" x14ac:dyDescent="0.3">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0.399999999999999" x14ac:dyDescent="0.3">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0.399999999999999" x14ac:dyDescent="0.3">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0.399999999999999" x14ac:dyDescent="0.3">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0.399999999999999" x14ac:dyDescent="0.3">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0.399999999999999" x14ac:dyDescent="0.3">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3">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0.399999999999999" x14ac:dyDescent="0.3">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0.399999999999999" x14ac:dyDescent="0.3">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0.399999999999999" x14ac:dyDescent="0.3">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0.399999999999999" x14ac:dyDescent="0.3">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3">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3">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3">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0.399999999999999" x14ac:dyDescent="0.3">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3">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0.399999999999999" x14ac:dyDescent="0.3">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3">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0.399999999999999" x14ac:dyDescent="0.3">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0.399999999999999" x14ac:dyDescent="0.3">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3">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3">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0.399999999999999" x14ac:dyDescent="0.3">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0.399999999999999" x14ac:dyDescent="0.3">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0.399999999999999" x14ac:dyDescent="0.3">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0.399999999999999" x14ac:dyDescent="0.3">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0.399999999999999" x14ac:dyDescent="0.3">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3">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3">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0.399999999999999" x14ac:dyDescent="0.3">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0.399999999999999" x14ac:dyDescent="0.3">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0.399999999999999" x14ac:dyDescent="0.3">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0.399999999999999" x14ac:dyDescent="0.3">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0.399999999999999" x14ac:dyDescent="0.3">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0.399999999999999" x14ac:dyDescent="0.3">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0.399999999999999" x14ac:dyDescent="0.3">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0.399999999999999" x14ac:dyDescent="0.3">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0.399999999999999" x14ac:dyDescent="0.3">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0.399999999999999" x14ac:dyDescent="0.3">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0.399999999999999" x14ac:dyDescent="0.3">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0.399999999999999" x14ac:dyDescent="0.3">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0.399999999999999" x14ac:dyDescent="0.3">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0.399999999999999" x14ac:dyDescent="0.3">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0.399999999999999" x14ac:dyDescent="0.3">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0.399999999999999" x14ac:dyDescent="0.3">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0.399999999999999" x14ac:dyDescent="0.3">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0.399999999999999" x14ac:dyDescent="0.3">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0.399999999999999" x14ac:dyDescent="0.3">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0.399999999999999" x14ac:dyDescent="0.3">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0.399999999999999" x14ac:dyDescent="0.3">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0.399999999999999" x14ac:dyDescent="0.3">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0.399999999999999" x14ac:dyDescent="0.3">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0.399999999999999" x14ac:dyDescent="0.3">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0.399999999999999" x14ac:dyDescent="0.3">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0.399999999999999" x14ac:dyDescent="0.3">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0.399999999999999" x14ac:dyDescent="0.3">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0.399999999999999" x14ac:dyDescent="0.3">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0.399999999999999" x14ac:dyDescent="0.3">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0.399999999999999" x14ac:dyDescent="0.3">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0.399999999999999" x14ac:dyDescent="0.3">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0.399999999999999" x14ac:dyDescent="0.3">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0.399999999999999" x14ac:dyDescent="0.3">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0.399999999999999" x14ac:dyDescent="0.3">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0.399999999999999" x14ac:dyDescent="0.3">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0.399999999999999" x14ac:dyDescent="0.3">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0.399999999999999" x14ac:dyDescent="0.3">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0.399999999999999" x14ac:dyDescent="0.3">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0.399999999999999" x14ac:dyDescent="0.3">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0.399999999999999" x14ac:dyDescent="0.3">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0.399999999999999" x14ac:dyDescent="0.3">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0.399999999999999" x14ac:dyDescent="0.3">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0.399999999999999" x14ac:dyDescent="0.3">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0.399999999999999" x14ac:dyDescent="0.3">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0.399999999999999" x14ac:dyDescent="0.3">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0.399999999999999" x14ac:dyDescent="0.3">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0.399999999999999" x14ac:dyDescent="0.3">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0.399999999999999" x14ac:dyDescent="0.3">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0.399999999999999" x14ac:dyDescent="0.3">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0.399999999999999" x14ac:dyDescent="0.3">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0.399999999999999" x14ac:dyDescent="0.3">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0.399999999999999" x14ac:dyDescent="0.3">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0.399999999999999" x14ac:dyDescent="0.3">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0.399999999999999" x14ac:dyDescent="0.3">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0.399999999999999" x14ac:dyDescent="0.3">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0.399999999999999" x14ac:dyDescent="0.3">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0.399999999999999" x14ac:dyDescent="0.3">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0.399999999999999" x14ac:dyDescent="0.3">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0.399999999999999" x14ac:dyDescent="0.3">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0.399999999999999" x14ac:dyDescent="0.3">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0.399999999999999" x14ac:dyDescent="0.3">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0.399999999999999" x14ac:dyDescent="0.3">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0.399999999999999" x14ac:dyDescent="0.3">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0.399999999999999" x14ac:dyDescent="0.3">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0.399999999999999" x14ac:dyDescent="0.3">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0.399999999999999" x14ac:dyDescent="0.3">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0.399999999999999" x14ac:dyDescent="0.3">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0.399999999999999" x14ac:dyDescent="0.3">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0.399999999999999" x14ac:dyDescent="0.3">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0.399999999999999" x14ac:dyDescent="0.3">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0.399999999999999" x14ac:dyDescent="0.3">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0.399999999999999" x14ac:dyDescent="0.3">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0.399999999999999" x14ac:dyDescent="0.3">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0.399999999999999" x14ac:dyDescent="0.3">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0.399999999999999" x14ac:dyDescent="0.3">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0.399999999999999" x14ac:dyDescent="0.3">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0.399999999999999" x14ac:dyDescent="0.3">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0.399999999999999" x14ac:dyDescent="0.3">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0.399999999999999" x14ac:dyDescent="0.3">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0.399999999999999" x14ac:dyDescent="0.3">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0.399999999999999" x14ac:dyDescent="0.3">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3">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3">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3">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3">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3">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3">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3">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3">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3">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3">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3">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3">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3">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3">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3">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3">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3">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3">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3">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3">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3">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3">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3">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3">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0.399999999999999" x14ac:dyDescent="0.3">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3">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3">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3">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3">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3">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0.399999999999999" x14ac:dyDescent="0.3">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0.399999999999999" x14ac:dyDescent="0.3">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0.399999999999999" x14ac:dyDescent="0.3">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0.399999999999999" x14ac:dyDescent="0.3">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0.399999999999999" x14ac:dyDescent="0.3">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0.399999999999999" x14ac:dyDescent="0.3">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0.399999999999999" x14ac:dyDescent="0.3">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0.399999999999999" x14ac:dyDescent="0.3">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0.399999999999999" x14ac:dyDescent="0.3">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0.399999999999999" x14ac:dyDescent="0.3">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0.399999999999999" x14ac:dyDescent="0.3">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0.399999999999999" x14ac:dyDescent="0.3">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0.6" x14ac:dyDescent="0.3">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0.6" x14ac:dyDescent="0.3">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0.6" x14ac:dyDescent="0.3">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0.6" x14ac:dyDescent="0.3">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0.6" x14ac:dyDescent="0.3">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0.6" x14ac:dyDescent="0.3">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0.6" x14ac:dyDescent="0.3">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0.6" x14ac:dyDescent="0.3">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0.6" x14ac:dyDescent="0.3">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0.6" x14ac:dyDescent="0.3">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0.6" x14ac:dyDescent="0.3">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0.6" x14ac:dyDescent="0.3">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0.6" x14ac:dyDescent="0.3">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0.6" x14ac:dyDescent="0.3">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0.6" x14ac:dyDescent="0.3">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0.6" x14ac:dyDescent="0.3">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0.6" x14ac:dyDescent="0.3">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0.6" x14ac:dyDescent="0.3">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0.6" x14ac:dyDescent="0.3">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0.6" x14ac:dyDescent="0.3">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0.6" x14ac:dyDescent="0.3">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0.6" x14ac:dyDescent="0.3">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0.6" x14ac:dyDescent="0.3">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0.6" x14ac:dyDescent="0.3">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0.6" x14ac:dyDescent="0.3">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0.6" x14ac:dyDescent="0.3">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0.6" x14ac:dyDescent="0.3">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0.6" x14ac:dyDescent="0.3">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0.6" x14ac:dyDescent="0.3">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0.6" x14ac:dyDescent="0.3">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0.6" x14ac:dyDescent="0.3">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0.6" x14ac:dyDescent="0.3">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0.6" x14ac:dyDescent="0.3">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0.6" x14ac:dyDescent="0.3">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0.6" x14ac:dyDescent="0.3">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0.6" x14ac:dyDescent="0.3">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0.6" x14ac:dyDescent="0.3">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0.6" x14ac:dyDescent="0.3">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0.6" x14ac:dyDescent="0.3">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0.6" x14ac:dyDescent="0.3">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0.6" x14ac:dyDescent="0.3">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0.6" x14ac:dyDescent="0.3">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0.6" x14ac:dyDescent="0.3">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0.6" x14ac:dyDescent="0.3">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0.6" x14ac:dyDescent="0.3">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0.6" x14ac:dyDescent="0.3">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0.6" x14ac:dyDescent="0.3">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0.6" x14ac:dyDescent="0.3">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0.6" x14ac:dyDescent="0.3">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0.6" x14ac:dyDescent="0.3">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0.6" x14ac:dyDescent="0.3">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0.6" x14ac:dyDescent="0.3">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0.6" x14ac:dyDescent="0.3">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0.6" x14ac:dyDescent="0.3">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0.6" x14ac:dyDescent="0.3">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0.6" x14ac:dyDescent="0.3">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0.6" x14ac:dyDescent="0.3">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0.6" x14ac:dyDescent="0.3">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0.6" x14ac:dyDescent="0.3">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0.6" x14ac:dyDescent="0.3">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0.6" x14ac:dyDescent="0.3">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0.6" x14ac:dyDescent="0.3">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0.6" x14ac:dyDescent="0.3">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0.6" x14ac:dyDescent="0.3">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0.6" x14ac:dyDescent="0.3">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0.6" x14ac:dyDescent="0.3">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0.6" x14ac:dyDescent="0.3">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0.6" x14ac:dyDescent="0.3">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0.6" x14ac:dyDescent="0.3">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0.6" x14ac:dyDescent="0.3">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20.399999999999999" x14ac:dyDescent="0.3">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0.6" x14ac:dyDescent="0.3">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0.6" x14ac:dyDescent="0.3">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20.399999999999999" x14ac:dyDescent="0.3">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0.6" x14ac:dyDescent="0.3">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20.399999999999999" x14ac:dyDescent="0.3">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0.6" x14ac:dyDescent="0.3">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0.6" x14ac:dyDescent="0.3">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20.399999999999999" x14ac:dyDescent="0.3">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0.6" x14ac:dyDescent="0.3">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0.6" x14ac:dyDescent="0.3">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0.6" x14ac:dyDescent="0.3">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0.6" x14ac:dyDescent="0.3">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20.399999999999999" x14ac:dyDescent="0.3">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0.6" x14ac:dyDescent="0.3">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0.6" x14ac:dyDescent="0.3">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0.6" x14ac:dyDescent="0.3">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0.6" x14ac:dyDescent="0.3">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0.6" x14ac:dyDescent="0.3">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0.6" x14ac:dyDescent="0.3">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0.6" x14ac:dyDescent="0.3">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0.6" x14ac:dyDescent="0.3">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0.6" x14ac:dyDescent="0.3">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0.6" x14ac:dyDescent="0.3">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0.6" x14ac:dyDescent="0.3">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0.6" x14ac:dyDescent="0.3">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0.6" x14ac:dyDescent="0.3">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0.6" x14ac:dyDescent="0.3">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0.6" x14ac:dyDescent="0.3">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0.6" x14ac:dyDescent="0.3">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20.399999999999999" x14ac:dyDescent="0.3">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0.6" x14ac:dyDescent="0.3">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0.6" x14ac:dyDescent="0.3">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0.6" x14ac:dyDescent="0.3">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20.399999999999999" x14ac:dyDescent="0.3">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0.6" x14ac:dyDescent="0.3">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20.399999999999999" x14ac:dyDescent="0.3">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0.6" x14ac:dyDescent="0.3">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0.6" x14ac:dyDescent="0.3">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0.6" x14ac:dyDescent="0.3">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0.6" x14ac:dyDescent="0.3">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0.6" x14ac:dyDescent="0.3">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0.6" x14ac:dyDescent="0.3">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0.6" x14ac:dyDescent="0.3">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0.6" x14ac:dyDescent="0.3">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0.6" x14ac:dyDescent="0.3">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0.6" x14ac:dyDescent="0.3">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20.399999999999999" x14ac:dyDescent="0.3">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20.399999999999999" x14ac:dyDescent="0.3">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20.399999999999999" x14ac:dyDescent="0.3">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0.6" x14ac:dyDescent="0.3">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0.6" x14ac:dyDescent="0.3">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0.6" x14ac:dyDescent="0.3">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0.399999999999999" x14ac:dyDescent="0.3">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0.399999999999999" x14ac:dyDescent="0.3">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0.399999999999999" x14ac:dyDescent="0.3">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0.399999999999999" x14ac:dyDescent="0.3">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0.399999999999999" x14ac:dyDescent="0.3">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0.399999999999999" x14ac:dyDescent="0.3">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0.399999999999999" x14ac:dyDescent="0.3">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0.399999999999999" x14ac:dyDescent="0.3">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3">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3">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3">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3">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3">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3">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0.399999999999999" x14ac:dyDescent="0.3">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0.399999999999999" x14ac:dyDescent="0.3">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0.399999999999999" x14ac:dyDescent="0.3">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0.399999999999999" x14ac:dyDescent="0.3">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0.399999999999999" x14ac:dyDescent="0.3">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0.399999999999999" x14ac:dyDescent="0.3">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0.399999999999999" x14ac:dyDescent="0.3">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0.399999999999999" x14ac:dyDescent="0.3">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0.399999999999999" x14ac:dyDescent="0.3">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0.399999999999999" x14ac:dyDescent="0.3">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0.399999999999999" x14ac:dyDescent="0.3">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0.399999999999999" x14ac:dyDescent="0.3">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0.399999999999999" x14ac:dyDescent="0.3">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0.399999999999999" x14ac:dyDescent="0.3">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0.399999999999999" x14ac:dyDescent="0.3">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0.399999999999999" x14ac:dyDescent="0.3">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0.399999999999999" x14ac:dyDescent="0.3">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0.399999999999999" x14ac:dyDescent="0.3">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0.399999999999999" x14ac:dyDescent="0.3">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0.399999999999999" x14ac:dyDescent="0.3">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0.399999999999999" x14ac:dyDescent="0.3">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0.399999999999999" x14ac:dyDescent="0.3">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0.399999999999999" x14ac:dyDescent="0.3">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0.399999999999999" x14ac:dyDescent="0.3">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0.399999999999999" x14ac:dyDescent="0.3">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0.399999999999999" x14ac:dyDescent="0.3">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0.399999999999999" x14ac:dyDescent="0.3">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x14ac:dyDescent="0.3">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x14ac:dyDescent="0.3">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x14ac:dyDescent="0.3">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x14ac:dyDescent="0.3">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x14ac:dyDescent="0.3">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x14ac:dyDescent="0.3">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x14ac:dyDescent="0.3">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3">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x14ac:dyDescent="0.3">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3">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3">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3">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3">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x14ac:dyDescent="0.3">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x14ac:dyDescent="0.3">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x14ac:dyDescent="0.3">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x14ac:dyDescent="0.3">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x14ac:dyDescent="0.3">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3">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3">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3">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0.399999999999999" x14ac:dyDescent="0.3">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0.399999999999999" x14ac:dyDescent="0.3">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0.399999999999999" x14ac:dyDescent="0.3">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3">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3">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x14ac:dyDescent="0.3">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x14ac:dyDescent="0.3">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x14ac:dyDescent="0.3">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3">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3">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3">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3">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3">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3">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3">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x14ac:dyDescent="0.3">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x14ac:dyDescent="0.3">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0.399999999999999" x14ac:dyDescent="0.3">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20.399999999999999" x14ac:dyDescent="0.3">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0.399999999999999" x14ac:dyDescent="0.3">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20.399999999999999" x14ac:dyDescent="0.3">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20.399999999999999" x14ac:dyDescent="0.3">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20.399999999999999" x14ac:dyDescent="0.3">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0.399999999999999" x14ac:dyDescent="0.3">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0.399999999999999" x14ac:dyDescent="0.3">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0.399999999999999" x14ac:dyDescent="0.3">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40.799999999999997" x14ac:dyDescent="0.3">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0.799999999999997" x14ac:dyDescent="0.3">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0.799999999999997" x14ac:dyDescent="0.3">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51" x14ac:dyDescent="0.3">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8671875" defaultRowHeight="19.5" customHeight="1" x14ac:dyDescent="0.3"/>
  <cols>
    <col min="1" max="1" width="3.88671875" style="21" customWidth="1"/>
    <col min="2" max="2" width="57.88671875" style="19" customWidth="1"/>
    <col min="3" max="3" width="2.5546875" style="19" customWidth="1"/>
    <col min="4" max="4" width="134.44140625" style="20" customWidth="1"/>
    <col min="5" max="5" width="2.5546875" style="21" customWidth="1"/>
    <col min="6" max="6" width="22.44140625" style="21" customWidth="1"/>
    <col min="7" max="7" width="2.5546875" style="21" customWidth="1"/>
    <col min="8" max="8" width="54" style="21" customWidth="1"/>
    <col min="9" max="9" width="2.5546875" style="21" customWidth="1"/>
    <col min="10" max="10" width="59.44140625" style="21" customWidth="1"/>
    <col min="11" max="11" width="4.5546875" style="21" customWidth="1"/>
    <col min="12" max="12" width="50.88671875" style="21" customWidth="1"/>
    <col min="13" max="13" width="5.5546875" style="21" customWidth="1"/>
    <col min="14" max="14" width="51.5546875" style="21" customWidth="1"/>
    <col min="15" max="15" width="5.5546875" style="21" customWidth="1"/>
    <col min="16" max="16" width="51.44140625" style="21" customWidth="1"/>
    <col min="17" max="16384" width="8.88671875" style="21"/>
  </cols>
  <sheetData>
    <row r="1" spans="2:10" ht="37.5" customHeight="1" x14ac:dyDescent="0.3">
      <c r="B1" s="18" t="s">
        <v>10597</v>
      </c>
    </row>
    <row r="2" spans="2:10" s="22" customFormat="1" ht="31.5" customHeight="1" x14ac:dyDescent="0.3">
      <c r="B2" s="22">
        <v>1</v>
      </c>
      <c r="D2" s="22">
        <v>2</v>
      </c>
      <c r="F2" s="22">
        <v>3</v>
      </c>
    </row>
    <row r="3" spans="2:10" s="13" customFormat="1" ht="28.5" customHeight="1" x14ac:dyDescent="0.3">
      <c r="B3" s="23" t="s">
        <v>10598</v>
      </c>
      <c r="C3" s="23"/>
      <c r="D3" s="23" t="s">
        <v>10599</v>
      </c>
      <c r="E3" s="23"/>
      <c r="F3" s="23" t="s">
        <v>10600</v>
      </c>
      <c r="G3" s="23"/>
      <c r="H3" s="23"/>
    </row>
    <row r="4" spans="2:10" ht="19.5" customHeight="1" x14ac:dyDescent="0.3">
      <c r="B4" s="53" t="s">
        <v>10601</v>
      </c>
      <c r="F4" s="24" t="s">
        <v>10602</v>
      </c>
      <c r="G4" s="24" t="s">
        <v>10603</v>
      </c>
      <c r="H4" s="20" t="s">
        <v>10604</v>
      </c>
    </row>
    <row r="5" spans="2:10" ht="19.5" customHeight="1" x14ac:dyDescent="0.3">
      <c r="B5" s="53"/>
      <c r="F5" s="25" t="s">
        <v>10605</v>
      </c>
      <c r="G5" s="25"/>
      <c r="H5" s="26" t="s">
        <v>10606</v>
      </c>
    </row>
    <row r="6" spans="2:10" ht="19.5" customHeight="1" x14ac:dyDescent="0.3">
      <c r="F6" s="25" t="s">
        <v>10607</v>
      </c>
      <c r="G6" s="25"/>
      <c r="H6" s="26" t="s">
        <v>6828</v>
      </c>
    </row>
    <row r="7" spans="2:10" ht="19.5" customHeight="1" x14ac:dyDescent="0.3">
      <c r="F7" s="25" t="s">
        <v>10608</v>
      </c>
      <c r="G7" s="25"/>
      <c r="H7" s="26" t="s">
        <v>10609</v>
      </c>
    </row>
    <row r="8" spans="2:10" ht="19.5" customHeight="1" x14ac:dyDescent="0.3">
      <c r="F8" s="25" t="s">
        <v>10610</v>
      </c>
      <c r="G8" s="25"/>
      <c r="H8" s="26">
        <v>5432</v>
      </c>
    </row>
    <row r="9" spans="2:10" ht="19.5" customHeight="1" x14ac:dyDescent="0.3">
      <c r="F9" s="25" t="s">
        <v>10611</v>
      </c>
      <c r="G9" s="25"/>
      <c r="H9" s="26" t="s">
        <v>10612</v>
      </c>
    </row>
    <row r="10" spans="2:10" ht="19.5" customHeight="1" x14ac:dyDescent="0.3">
      <c r="F10" s="25" t="s">
        <v>10613</v>
      </c>
      <c r="G10" s="25"/>
      <c r="H10" s="26" t="s">
        <v>10614</v>
      </c>
      <c r="J10" s="13"/>
    </row>
    <row r="11" spans="2:10" ht="20.25" customHeight="1" x14ac:dyDescent="0.3">
      <c r="J11" s="13"/>
    </row>
    <row r="12" spans="2:10" ht="20.25" customHeight="1" x14ac:dyDescent="0.3"/>
    <row r="13" spans="2:10" ht="20.25" customHeight="1" x14ac:dyDescent="0.3"/>
    <row r="14" spans="2:10" ht="20.25" customHeight="1" x14ac:dyDescent="0.3"/>
    <row r="15" spans="2:10" ht="20.25" customHeight="1" x14ac:dyDescent="0.3"/>
    <row r="16" spans="2:10" ht="20.25" customHeight="1" x14ac:dyDescent="0.3"/>
    <row r="17" spans="2:8" ht="20.25" customHeight="1" x14ac:dyDescent="0.3"/>
    <row r="18" spans="2:8" ht="20.25" customHeight="1" x14ac:dyDescent="0.3"/>
    <row r="19" spans="2:8" ht="20.25" customHeight="1" x14ac:dyDescent="0.3"/>
    <row r="20" spans="2:8" ht="20.25" customHeight="1" x14ac:dyDescent="0.3"/>
    <row r="21" spans="2:8" ht="20.25" customHeight="1" x14ac:dyDescent="0.3"/>
    <row r="22" spans="2:8" ht="20.25" customHeight="1" x14ac:dyDescent="0.3"/>
    <row r="23" spans="2:8" ht="20.25" customHeight="1" x14ac:dyDescent="0.3"/>
    <row r="24" spans="2:8" ht="20.25" customHeight="1" x14ac:dyDescent="0.3"/>
    <row r="25" spans="2:8" ht="20.25" customHeight="1" x14ac:dyDescent="0.3"/>
    <row r="26" spans="2:8" ht="20.25" customHeight="1" x14ac:dyDescent="0.3"/>
    <row r="27" spans="2:8" ht="27.75" customHeight="1" x14ac:dyDescent="0.3">
      <c r="B27" s="18" t="s">
        <v>10615</v>
      </c>
      <c r="C27" s="21"/>
      <c r="D27" s="21"/>
    </row>
    <row r="28" spans="2:8" ht="33" customHeight="1" x14ac:dyDescent="0.3">
      <c r="B28" s="22">
        <v>4</v>
      </c>
      <c r="C28" s="22"/>
      <c r="D28" s="22"/>
      <c r="E28" s="22"/>
      <c r="F28" s="22"/>
      <c r="G28" s="22"/>
      <c r="H28" s="22"/>
    </row>
    <row r="29" spans="2:8" ht="30.6" x14ac:dyDescent="0.3">
      <c r="B29" s="13" t="s">
        <v>10616</v>
      </c>
      <c r="C29" s="13"/>
      <c r="D29" s="13"/>
      <c r="E29" s="13"/>
      <c r="F29" s="13"/>
      <c r="G29" s="13"/>
      <c r="H29" s="13"/>
    </row>
    <row r="30" spans="2:8" ht="19.5" customHeight="1" x14ac:dyDescent="0.3">
      <c r="B30" s="13"/>
      <c r="C30" s="21"/>
      <c r="D30" s="13"/>
      <c r="F30" s="13"/>
      <c r="H30" s="13"/>
    </row>
    <row r="31" spans="2:8" ht="19.5" customHeight="1" x14ac:dyDescent="0.3">
      <c r="B31" s="13"/>
      <c r="C31" s="21"/>
      <c r="D31" s="13"/>
      <c r="F31" s="13"/>
      <c r="H31" s="13"/>
    </row>
    <row r="32" spans="2:8" ht="19.5" customHeight="1" x14ac:dyDescent="0.3">
      <c r="B32" s="13"/>
      <c r="C32" s="21"/>
      <c r="D32" s="13"/>
      <c r="F32" s="13"/>
      <c r="H32" s="13"/>
    </row>
    <row r="33" spans="2:8" ht="19.5" customHeight="1" x14ac:dyDescent="0.3">
      <c r="B33" s="13"/>
      <c r="C33" s="21"/>
      <c r="D33" s="13"/>
      <c r="F33" s="13"/>
      <c r="H33" s="13"/>
    </row>
    <row r="34" spans="2:8" ht="19.5" customHeight="1" x14ac:dyDescent="0.3">
      <c r="B34" s="13"/>
      <c r="C34" s="21"/>
      <c r="D34" s="13"/>
      <c r="F34" s="13"/>
      <c r="H34" s="13"/>
    </row>
    <row r="35" spans="2:8" ht="19.5" customHeight="1" x14ac:dyDescent="0.3">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83214E-AA8E-498F-9F1F-C1138F34B079}">
  <ds:schemaRefs>
    <ds:schemaRef ds:uri="http://schemas.microsoft.com/DataMashup"/>
  </ds:schemaRefs>
</ds:datastoreItem>
</file>

<file path=customXml/itemProps2.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customXml/itemProps4.xml><?xml version="1.0" encoding="utf-8"?>
<ds:datastoreItem xmlns:ds="http://schemas.openxmlformats.org/officeDocument/2006/customXml" ds:itemID="{DB8B0FE8-E5BB-4E2C-B3B6-9166161A1D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Kelsey Yen</cp:lastModifiedBy>
  <cp:revision/>
  <dcterms:created xsi:type="dcterms:W3CDTF">2022-11-07T18:03:41Z</dcterms:created>
  <dcterms:modified xsi:type="dcterms:W3CDTF">2026-06-23T19:18:30Z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