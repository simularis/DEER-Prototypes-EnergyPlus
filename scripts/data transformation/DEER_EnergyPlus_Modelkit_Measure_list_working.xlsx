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D-EPP\scripts\data transformation\"/>
    </mc:Choice>
  </mc:AlternateContent>
  <xr:revisionPtr revIDLastSave="0" documentId="13_ncr:1_{5F3AA384-D970-463A-8821-AE5B5667211F}" xr6:coauthVersionLast="47" xr6:coauthVersionMax="47" xr10:uidLastSave="{00000000-0000-0000-0000-000000000000}"/>
  <bookViews>
    <workbookView xWindow="28665" yWindow="-135" windowWidth="29070" windowHeight="15750" firstSheet="2"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13"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49" i="1" l="1"/>
  <c r="N849" i="1" s="1"/>
  <c r="U849" i="1"/>
  <c r="T850" i="1"/>
  <c r="N850" i="1" s="1"/>
  <c r="U850" i="1"/>
  <c r="T851" i="1"/>
  <c r="N851" i="1" s="1"/>
  <c r="U851" i="1"/>
  <c r="D851" i="1"/>
  <c r="E851" i="1"/>
  <c r="H851" i="1"/>
  <c r="F851" i="1" s="1"/>
  <c r="G851" i="1" s="1"/>
  <c r="D849" i="1"/>
  <c r="E849" i="1"/>
  <c r="H849" i="1"/>
  <c r="F849" i="1" s="1"/>
  <c r="G849" i="1" s="1"/>
  <c r="D850" i="1"/>
  <c r="E850" i="1"/>
  <c r="F850" i="1"/>
  <c r="G850" i="1" s="1"/>
  <c r="H850" i="1"/>
  <c r="J844" i="1"/>
  <c r="J845" i="1"/>
  <c r="J846" i="1"/>
  <c r="J847" i="1"/>
  <c r="J848" i="1"/>
  <c r="J849" i="1"/>
  <c r="J850" i="1"/>
  <c r="J851" i="1"/>
  <c r="T848" i="1"/>
  <c r="U848" i="1"/>
  <c r="N847" i="1"/>
  <c r="N848" i="1"/>
  <c r="H848" i="1"/>
  <c r="F848" i="1" s="1"/>
  <c r="G848" i="1" s="1"/>
  <c r="D848" i="1"/>
  <c r="E848" i="1"/>
  <c r="E845" i="1"/>
  <c r="E846" i="1"/>
  <c r="E847" i="1"/>
  <c r="E844" i="1"/>
  <c r="U847" i="1"/>
  <c r="T847" i="1"/>
  <c r="U846" i="1"/>
  <c r="T846" i="1"/>
  <c r="N846" i="1" s="1"/>
  <c r="U845" i="1"/>
  <c r="T845" i="1"/>
  <c r="N845" i="1" s="1"/>
  <c r="U844" i="1"/>
  <c r="T844" i="1"/>
  <c r="N844" i="1" s="1"/>
  <c r="H844" i="1"/>
  <c r="F844" i="1" s="1"/>
  <c r="G844" i="1" s="1"/>
  <c r="H845" i="1"/>
  <c r="F845" i="1" s="1"/>
  <c r="G845" i="1" s="1"/>
  <c r="H846" i="1"/>
  <c r="F846" i="1" s="1"/>
  <c r="G846" i="1" s="1"/>
  <c r="H847" i="1"/>
  <c r="F847" i="1" s="1"/>
  <c r="G847" i="1" s="1"/>
  <c r="D844" i="1"/>
  <c r="D845" i="1"/>
  <c r="D846" i="1"/>
  <c r="D847" i="1"/>
  <c r="D843" i="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s="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U702" i="1"/>
  <c r="T702" i="1"/>
  <c r="U701" i="1"/>
  <c r="T701" i="1"/>
  <c r="U700" i="1"/>
  <c r="T700" i="1"/>
  <c r="U699" i="1"/>
  <c r="T699" i="1"/>
  <c r="U698" i="1"/>
  <c r="T698" i="1"/>
  <c r="U697" i="1"/>
  <c r="T697" i="1"/>
  <c r="U696" i="1"/>
  <c r="T696" i="1"/>
  <c r="G707" i="1"/>
  <c r="G706" i="1"/>
  <c r="G705" i="1"/>
  <c r="G704" i="1"/>
  <c r="G703" i="1"/>
  <c r="G702" i="1"/>
  <c r="G701" i="1"/>
  <c r="G700" i="1"/>
  <c r="G699" i="1"/>
  <c r="G698" i="1"/>
  <c r="G697" i="1"/>
  <c r="G696" i="1"/>
  <c r="S698" i="1" l="1"/>
  <c r="N698" i="1" s="1"/>
  <c r="S701" i="1"/>
  <c r="N701" i="1" s="1"/>
  <c r="S703" i="1"/>
  <c r="N703"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U694" i="1"/>
  <c r="T694" i="1"/>
  <c r="U693" i="1"/>
  <c r="T693" i="1"/>
  <c r="U692" i="1"/>
  <c r="T692" i="1"/>
  <c r="U691" i="1"/>
  <c r="T691" i="1"/>
  <c r="U690" i="1"/>
  <c r="T690" i="1"/>
  <c r="U689" i="1"/>
  <c r="T689" i="1"/>
  <c r="U688" i="1"/>
  <c r="T688" i="1"/>
  <c r="U687" i="1"/>
  <c r="T687" i="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7" i="1" l="1"/>
  <c r="N687" i="1" s="1"/>
  <c r="S695" i="1"/>
  <c r="N695" i="1" s="1"/>
  <c r="S683" i="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S408" i="1" s="1"/>
  <c r="N408" i="1" s="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598" i="1" l="1"/>
  <c r="N598" i="1" s="1"/>
  <c r="S399" i="1"/>
  <c r="N399"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<sst xmlns="http://schemas.openxmlformats.org/spreadsheetml/2006/main" count="78087" uniqueCount="10778">
  <si>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</si>
  <si>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</si>
  <si>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</si>
  <si>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</si>
  <si>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</si>
  <si>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</si>
  <si>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</si>
  <si>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</si>
  <si>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</si>
  <si>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</si>
  <si>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</si>
  <si>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</si>
  <si>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</si>
  <si>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</si>
  <si>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</si>
  <si>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</si>
  <si>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</si>
  <si>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</si>
  <si>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</si>
  <si>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</si>
  <si>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</si>
  <si>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</si>
  <si>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</si>
  <si>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</si>
  <si>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</si>
  <si>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</si>
  <si>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</si>
  <si>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</si>
  <si>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</si>
  <si>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</si>
  <si>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</si>
  <si>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</si>
  <si>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</si>
  <si>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</si>
  <si>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</si>
  <si>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</si>
  <si>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</si>
  <si>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</si>
  <si>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</si>
  <si>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</si>
  <si>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</si>
  <si>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</si>
  <si>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</si>
  <si>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</si>
  <si>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</si>
  <si>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</si>
  <si>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</si>
  <si>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</si>
  <si>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</si>
  <si>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</si>
  <si>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</si>
  <si>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</si>
  <si>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</si>
  <si>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</si>
  <si>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</si>
  <si>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</si>
  <si>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</si>
  <si>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</si>
  <si>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</si>
  <si>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</si>
  <si>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</si>
  <si>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</si>
  <si>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</si>
  <si>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</si>
  <si>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</si>
  <si>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</si>
  <si>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</si>
  <si>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</si>
  <si>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</si>
  <si>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</si>
  <si>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</si>
  <si>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</si>
  <si>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</si>
  <si>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</si>
  <si>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</si>
  <si>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</si>
  <si>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</si>
  <si>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</si>
  <si>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</si>
  <si>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</si>
  <si>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</si>
  <si>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</si>
  <si>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</si>
  <si>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</si>
  <si>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</si>
  <si>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</si>
  <si>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</si>
  <si>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</si>
  <si>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</si>
  <si>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</si>
  <si>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</si>
  <si>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</si>
  <si>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</si>
  <si>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</si>
  <si>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</si>
  <si>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</si>
  <si>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</si>
  <si>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</si>
  <si>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</si>
  <si>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</si>
  <si>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</si>
  <si>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</si>
  <si>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</si>
  <si>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</si>
  <si>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</si>
  <si>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</si>
  <si>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</si>
  <si>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</si>
  <si>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</si>
  <si>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</si>
  <si>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</si>
  <si>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</si>
  <si>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</si>
  <si>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</si>
  <si>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</si>
  <si>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</si>
  <si>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</si>
  <si>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</si>
  <si>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</si>
  <si>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</si>
  <si>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</si>
  <si>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</si>
  <si>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</si>
  <si>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</si>
  <si>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</si>
  <si>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</si>
  <si>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</si>
  <si>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</si>
  <si>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</si>
  <si>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</si>
  <si>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</si>
  <si>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</si>
  <si>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</si>
  <si>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</si>
  <si>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</si>
  <si>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</si>
  <si>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</si>
  <si>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</si>
  <si>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</si>
  <si>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</si>
  <si>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</si>
  <si>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</si>
  <si>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</si>
  <si>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</si>
  <si>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</si>
  <si>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</si>
  <si>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</si>
  <si>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</si>
  <si>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</si>
  <si>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</si>
  <si>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</si>
  <si>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</si>
  <si>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</si>
  <si>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</si>
  <si>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</si>
  <si>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</si>
  <si>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</si>
  <si>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</si>
  <si>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</si>
  <si>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</si>
  <si>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</si>
  <si>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</si>
  <si>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</si>
  <si>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</si>
  <si>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</si>
  <si>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</si>
  <si>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</si>
  <si>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</si>
  <si>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</si>
  <si>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</si>
  <si>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</si>
  <si>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</si>
  <si>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</si>
  <si>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</si>
  <si>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</si>
  <si>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</si>
  <si>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</si>
  <si>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</si>
  <si>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</si>
  <si>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</si>
  <si>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</si>
  <si>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</si>
  <si>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</si>
  <si>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</si>
  <si>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</si>
  <si>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</si>
  <si>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</si>
  <si>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</si>
  <si>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</si>
  <si>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</si>
  <si>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</si>
  <si>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</si>
  <si>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</si>
  <si>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</si>
  <si>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</si>
  <si>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</si>
  <si>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</si>
  <si>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</si>
  <si>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</si>
  <si>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</si>
  <si>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</si>
  <si>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</si>
  <si>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</si>
  <si>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</si>
  <si>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</si>
  <si>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</si>
  <si>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</si>
  <si>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</si>
  <si>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</si>
  <si>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</si>
  <si>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</si>
  <si>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</si>
  <si>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</si>
  <si>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</si>
  <si>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</si>
  <si>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</si>
  <si>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</si>
  <si>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</si>
  <si>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</si>
  <si>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</si>
  <si>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</si>
  <si>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</si>
  <si>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</si>
  <si>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</si>
  <si>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</si>
  <si>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</si>
  <si>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</si>
  <si>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</si>
  <si>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</si>
  <si>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</si>
  <si>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</si>
  <si>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</si>
  <si>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</si>
  <si>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</si>
  <si>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</si>
  <si>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</si>
  <si>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</si>
  <si>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</si>
  <si>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</si>
  <si>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</si>
  <si>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</si>
  <si>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</si>
  <si>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</si>
  <si>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</si>
  <si>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</si>
  <si>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</si>
  <si>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</si>
  <si>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</si>
  <si>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</si>
  <si>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</si>
  <si>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</si>
  <si>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</si>
  <si>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</si>
  <si>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</si>
  <si>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</si>
  <si>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</si>
  <si>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</si>
  <si>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</si>
  <si>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</si>
  <si>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</si>
  <si>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</si>
  <si>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</si>
  <si>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</si>
  <si>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</si>
  <si>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</si>
  <si>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</si>
  <si>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</si>
  <si>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</si>
  <si>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</si>
  <si>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</si>
  <si>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</si>
  <si>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</si>
  <si>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</si>
  <si>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</si>
  <si>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</si>
  <si>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</si>
  <si>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</si>
  <si>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</si>
  <si>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</si>
  <si>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</si>
  <si>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</si>
  <si>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</si>
  <si>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</si>
  <si>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</si>
  <si>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</si>
  <si>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</si>
  <si>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</si>
  <si>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</si>
  <si>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</si>
  <si>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</si>
  <si>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</si>
  <si>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</si>
  <si>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</si>
  <si>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</si>
  <si>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</si>
  <si>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</si>
  <si>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</si>
  <si>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</si>
  <si>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</si>
  <si>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</si>
  <si>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</si>
  <si>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</si>
  <si>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</si>
  <si>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</si>
  <si>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</si>
  <si>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</si>
  <si>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</si>
  <si>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</si>
  <si>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</si>
  <si>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</si>
  <si>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</si>
  <si>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</si>
  <si>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</si>
  <si>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</si>
  <si>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</si>
  <si>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</si>
  <si>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</si>
  <si>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</si>
  <si>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</si>
  <si>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</si>
  <si>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</si>
  <si>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</si>
  <si>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</si>
  <si>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</si>
  <si>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</si>
  <si>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</si>
  <si>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</si>
  <si>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</si>
  <si>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</si>
  <si>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</si>
  <si>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</si>
  <si>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</si>
  <si>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</si>
  <si>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</si>
  <si>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</si>
  <si>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</si>
  <si>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</si>
  <si>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</si>
  <si>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</si>
  <si>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</si>
  <si>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</si>
  <si>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</si>
  <si>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</si>
  <si>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</si>
  <si>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</si>
  <si>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</si>
  <si>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</si>
  <si>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</si>
  <si>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</si>
  <si>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</si>
  <si>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</si>
  <si>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</si>
  <si>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</si>
  <si>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</si>
  <si>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</si>
  <si>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</si>
  <si>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</si>
  <si>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</si>
  <si>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</si>
  <si>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</si>
  <si>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</si>
  <si>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</si>
  <si>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</si>
  <si>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</si>
  <si>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</si>
  <si>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</si>
  <si>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</si>
  <si>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</si>
  <si>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</si>
  <si>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</si>
  <si>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</si>
  <si>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</si>
  <si>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</si>
  <si>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</si>
  <si>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</si>
  <si>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</si>
  <si>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</si>
  <si>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</si>
  <si>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</si>
  <si>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</si>
  <si>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</si>
  <si>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</si>
  <si>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</si>
  <si>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</si>
  <si>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</si>
  <si>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</si>
  <si>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</si>
  <si>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</si>
  <si>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</si>
  <si>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</si>
  <si>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</si>
  <si>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</si>
  <si>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</si>
  <si>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</si>
  <si>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</si>
  <si>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</si>
  <si>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</si>
  <si>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</si>
  <si>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</si>
  <si>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</si>
  <si>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</si>
  <si>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</si>
  <si>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</si>
  <si>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</si>
  <si>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</si>
  <si>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</si>
  <si>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</si>
  <si>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</si>
  <si>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</si>
  <si>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</si>
  <si>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</si>
  <si>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</si>
  <si>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</si>
  <si>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</si>
  <si>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</si>
  <si>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</si>
  <si>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</si>
  <si>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</si>
  <si>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</si>
  <si>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</si>
  <si>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</si>
  <si>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</si>
  <si>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</si>
  <si>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</si>
  <si>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</si>
  <si>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</si>
  <si>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</si>
  <si>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</si>
  <si>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</si>
  <si>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</si>
  <si>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</si>
  <si>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</si>
  <si>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</si>
  <si>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</si>
  <si>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</si>
  <si>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</si>
  <si>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</si>
  <si>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</si>
  <si>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</si>
  <si>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</si>
  <si>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</si>
  <si>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</si>
  <si>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</si>
  <si>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</si>
  <si>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</si>
  <si>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</si>
  <si>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</si>
  <si>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</si>
  <si>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</si>
  <si>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</si>
  <si>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</si>
  <si>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</si>
  <si>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</si>
  <si>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</si>
  <si>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</si>
  <si>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</si>
  <si>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</si>
  <si>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</si>
  <si>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</si>
  <si>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</si>
  <si>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</si>
  <si>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</si>
  <si>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</si>
  <si>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</si>
  <si>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</si>
  <si>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</si>
  <si>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</si>
  <si>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</si>
  <si>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</si>
  <si>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</si>
  <si>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</si>
  <si>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</si>
  <si>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</si>
  <si>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</si>
  <si>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</si>
  <si>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</si>
  <si>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</si>
  <si>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</si>
  <si>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</si>
  <si>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</si>
  <si>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</si>
  <si>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</si>
  <si>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</si>
  <si>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</si>
  <si>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</si>
  <si>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</si>
  <si>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</si>
  <si>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</si>
  <si>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</si>
  <si>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</si>
  <si>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</si>
  <si>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</si>
  <si>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</si>
  <si>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</si>
  <si>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</si>
  <si>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</si>
  <si>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</si>
  <si>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</si>
  <si>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</si>
  <si>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</si>
  <si>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</si>
  <si>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</si>
  <si>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</si>
  <si>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</si>
  <si>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</si>
  <si>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</si>
  <si>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</si>
  <si>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</si>
  <si>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</si>
  <si>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</si>
  <si>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</si>
  <si>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</si>
  <si>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</si>
  <si>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</si>
  <si>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</si>
  <si>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</si>
  <si>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</si>
  <si>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</si>
  <si>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</si>
  <si>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</si>
  <si>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</si>
  <si>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</si>
  <si>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</si>
  <si>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</si>
  <si>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</si>
  <si>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</si>
  <si>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</si>
  <si>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</si>
  <si>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</si>
  <si>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</si>
  <si>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</si>
  <si>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</si>
  <si>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</si>
  <si>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</si>
  <si>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</si>
  <si>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</si>
  <si>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</si>
  <si>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</si>
  <si>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</si>
  <si>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</si>
  <si>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</si>
  <si>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</si>
  <si>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</si>
  <si>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</si>
  <si>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</si>
  <si>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</si>
  <si>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</si>
  <si>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</si>
  <si>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</si>
  <si>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</si>
  <si>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</si>
  <si>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</si>
  <si>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</si>
  <si>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</si>
  <si>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</si>
  <si>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</si>
  <si>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</si>
  <si>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</si>
  <si>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</si>
  <si>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</si>
  <si>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</si>
  <si>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</si>
  <si>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</si>
  <si>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</si>
  <si>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</si>
  <si>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</si>
  <si>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</si>
  <si>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</si>
  <si>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</si>
  <si>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</si>
  <si>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</si>
  <si>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</si>
  <si>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</si>
  <si>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</si>
  <si>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</si>
  <si>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</si>
  <si>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</si>
  <si>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</si>
  <si>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</si>
  <si>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</si>
  <si>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</si>
  <si>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</si>
  <si>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</si>
  <si>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</si>
  <si>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</si>
  <si>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</si>
  <si>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</si>
  <si>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</si>
  <si>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</si>
  <si>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</si>
  <si>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</si>
  <si>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</si>
  <si>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</si>
  <si>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</si>
  <si>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</si>
  <si>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</si>
  <si>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</si>
  <si>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</si>
  <si>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</si>
  <si>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</si>
  <si>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</si>
  <si>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</si>
  <si>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</si>
  <si>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</si>
  <si>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</si>
  <si>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</si>
  <si>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</si>
  <si>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</si>
  <si>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</si>
  <si>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</si>
  <si>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</si>
  <si>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</si>
  <si>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</si>
  <si>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</si>
  <si>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</si>
  <si>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</si>
  <si>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</si>
  <si>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</si>
  <si>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</si>
  <si>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</si>
  <si>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</si>
  <si>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</si>
  <si>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</si>
  <si>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</si>
  <si>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</si>
  <si>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</si>
  <si>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</si>
  <si>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</si>
  <si>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</si>
  <si>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</si>
  <si>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</si>
  <si>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</si>
  <si>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</si>
  <si>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</si>
  <si>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</si>
  <si>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</si>
  <si>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</si>
  <si>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</si>
  <si>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</si>
  <si>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</si>
  <si>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</si>
  <si>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</si>
  <si>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</si>
  <si>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</si>
  <si>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</si>
  <si>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</si>
  <si>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</si>
  <si>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</si>
  <si>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</si>
  <si>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</si>
  <si>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</si>
  <si>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</si>
  <si>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</si>
  <si>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</si>
  <si>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</si>
  <si>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</si>
  <si>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</si>
  <si>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</si>
  <si>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</si>
  <si>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</si>
  <si>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</si>
  <si>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</si>
  <si>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</si>
  <si>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</si>
  <si>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</si>
  <si>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</si>
  <si>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</si>
  <si>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</si>
  <si>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</si>
  <si>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</si>
  <si>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</si>
  <si>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</si>
  <si>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</si>
  <si>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</si>
  <si>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</si>
  <si>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</si>
  <si>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</si>
  <si>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</si>
  <si>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</si>
  <si>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</si>
  <si>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</si>
  <si>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</si>
  <si>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</si>
  <si>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</si>
  <si>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</si>
  <si>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</si>
  <si>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</si>
  <si>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</si>
  <si>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</si>
  <si>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</si>
  <si>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</si>
  <si>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</si>
  <si>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</si>
  <si>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</si>
  <si>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</si>
  <si>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</si>
  <si>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</si>
  <si>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</si>
  <si>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</si>
  <si>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</si>
  <si>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</si>
  <si>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</si>
  <si>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</si>
  <si>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</si>
  <si>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</si>
  <si>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</si>
  <si>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</si>
  <si>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</si>
  <si>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</si>
  <si>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</si>
  <si>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</si>
  <si>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</si>
  <si>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</si>
  <si>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</si>
  <si>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</si>
  <si>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</si>
  <si>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</si>
  <si>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</si>
  <si>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</si>
  <si>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</si>
  <si>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</si>
  <si>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</si>
  <si>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</si>
  <si>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</si>
  <si>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</si>
  <si>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</si>
  <si>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</si>
  <si>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</si>
  <si>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</si>
  <si>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</si>
  <si>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</si>
  <si>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</si>
  <si>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</si>
  <si>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</si>
  <si>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</si>
  <si>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</si>
  <si>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</si>
  <si>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</si>
  <si>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</si>
  <si>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</si>
  <si>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</si>
  <si>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</si>
  <si>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</si>
  <si>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</si>
  <si>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</si>
  <si>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</si>
  <si>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</si>
  <si>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</si>
  <si>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</si>
  <si>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</si>
  <si>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</si>
  <si>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</si>
  <si>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</si>
  <si>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</si>
  <si>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</si>
  <si>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</si>
  <si>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</si>
  <si>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</si>
  <si>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</si>
  <si>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</si>
  <si>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</si>
  <si>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</si>
  <si>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</si>
  <si>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</si>
  <si>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</si>
  <si>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</si>
  <si>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</si>
  <si>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</si>
  <si>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</si>
  <si>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</si>
  <si>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</si>
  <si>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</si>
  <si>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</si>
  <si>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</si>
  <si>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</si>
  <si>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</si>
  <si>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</si>
  <si>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</si>
  <si>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</si>
  <si>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</si>
  <si>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</si>
  <si>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</si>
  <si>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</si>
  <si>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</si>
  <si>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</si>
  <si>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</si>
  <si>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</si>
  <si>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</si>
  <si>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</si>
  <si>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</si>
  <si>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</si>
  <si>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</si>
  <si>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</si>
  <si>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</si>
  <si>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</si>
  <si>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</si>
  <si>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</si>
  <si>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</si>
  <si>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</si>
  <si>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</si>
  <si>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</si>
  <si>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</si>
  <si>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</si>
  <si>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</si>
  <si>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</si>
  <si>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</si>
  <si>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</si>
  <si>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</si>
  <si>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</si>
  <si>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</si>
  <si>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</si>
  <si>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</si>
  <si>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</si>
  <si>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</si>
  <si>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</si>
  <si>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</si>
  <si>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</si>
  <si>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</si>
  <si>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</si>
  <si>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</si>
  <si>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</si>
  <si>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</si>
  <si>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</si>
  <si>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</si>
  <si>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</si>
  <si>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</si>
  <si>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</si>
  <si>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</si>
  <si>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</si>
  <si>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</si>
  <si>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</si>
  <si>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</si>
  <si>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</si>
  <si>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</si>
  <si>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</si>
  <si>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</si>
  <si>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</si>
  <si>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</si>
  <si>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</si>
  <si>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</si>
  <si>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</si>
  <si>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</si>
  <si>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</si>
  <si>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</si>
  <si>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</si>
  <si>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</si>
  <si>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</si>
  <si>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</si>
  <si>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</si>
  <si>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</si>
  <si>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</si>
  <si>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</si>
  <si>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</si>
  <si>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</si>
  <si>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</si>
  <si>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</si>
  <si>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</si>
  <si>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</si>
  <si>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</si>
  <si>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</si>
  <si>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</si>
  <si>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</si>
  <si>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</si>
  <si>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</si>
  <si>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</si>
  <si>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</si>
  <si>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</si>
  <si>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</si>
  <si>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</si>
  <si>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</si>
  <si>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</si>
  <si>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</si>
  <si>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</si>
  <si>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</si>
  <si>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</si>
  <si>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</si>
  <si>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</si>
  <si>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</si>
  <si>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</si>
  <si>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</si>
  <si>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</si>
  <si>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</si>
  <si>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</si>
  <si>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</si>
  <si>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</si>
  <si>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</si>
  <si>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</si>
  <si>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</si>
  <si>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</si>
  <si>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</si>
  <si>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</si>
  <si>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</si>
  <si>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</si>
  <si>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</si>
  <si>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</si>
  <si>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</si>
  <si>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</si>
  <si>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</si>
  <si>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</si>
  <si>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</si>
  <si>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</si>
  <si>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</si>
  <si>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</si>
  <si>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</si>
  <si>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</si>
  <si>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</si>
  <si>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</si>
  <si>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</si>
  <si>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</si>
  <si>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</si>
  <si>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</si>
  <si>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</si>
  <si>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</si>
  <si>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</si>
  <si>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</si>
  <si>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</si>
  <si>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</si>
  <si>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</si>
  <si>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</si>
  <si>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</si>
  <si>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</si>
  <si>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</si>
  <si>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</si>
  <si>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</si>
  <si>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</si>
  <si>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</si>
  <si>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</si>
  <si>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</si>
  <si>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</si>
  <si>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</si>
  <si>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</si>
  <si>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</si>
  <si>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</si>
  <si>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</si>
  <si>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</si>
  <si>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</si>
  <si>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</si>
  <si>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</si>
  <si>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</si>
  <si>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</si>
  <si>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</si>
  <si>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</si>
  <si>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</si>
  <si>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</si>
  <si>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</si>
  <si>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</si>
  <si>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</si>
  <si>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</si>
  <si>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</si>
  <si>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</si>
  <si>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</si>
  <si>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</si>
  <si>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</si>
  <si>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</si>
  <si>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</si>
  <si>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</si>
  <si>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</si>
  <si>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</si>
  <si>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</si>
  <si>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</si>
  <si>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</si>
  <si>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</si>
  <si>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</si>
  <si>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</si>
  <si>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</si>
  <si>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</si>
  <si>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</si>
  <si>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</si>
  <si>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</si>
  <si>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</si>
  <si>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</si>
  <si>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</si>
  <si>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</si>
  <si>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</si>
  <si>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</si>
  <si>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</si>
  <si>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</si>
  <si>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</si>
  <si>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</si>
  <si>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</si>
  <si>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</si>
  <si>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</si>
  <si>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</si>
  <si>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</si>
  <si>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</si>
  <si>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</si>
  <si>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</si>
  <si>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</si>
  <si>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</si>
  <si>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</si>
  <si>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</si>
  <si>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</si>
  <si>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</si>
  <si>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</si>
  <si>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</si>
  <si>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</si>
  <si>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</si>
  <si>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</si>
  <si>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</si>
  <si>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</si>
  <si>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</si>
  <si>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</si>
  <si>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</si>
  <si>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</si>
  <si>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</si>
  <si>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</si>
  <si>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</si>
  <si>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</si>
  <si>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</si>
  <si>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</si>
  <si>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</si>
  <si>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</si>
  <si>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</si>
  <si>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</si>
  <si>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</si>
  <si>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</si>
  <si>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</si>
  <si>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</si>
  <si>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</si>
  <si>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</si>
  <si>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</si>
  <si>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</si>
  <si>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</si>
  <si>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</si>
  <si>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</si>
  <si>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</si>
  <si>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</si>
  <si>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</si>
  <si>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</si>
  <si>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</si>
  <si>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</si>
  <si>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</si>
  <si>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</si>
  <si>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</si>
  <si>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</si>
  <si>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</si>
  <si>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</si>
  <si>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</si>
  <si>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</si>
  <si>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</si>
  <si>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</si>
  <si>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</si>
  <si>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</si>
  <si>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</si>
  <si>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</si>
  <si>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</si>
  <si>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</si>
  <si>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</si>
  <si>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</si>
  <si>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</si>
  <si>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</si>
  <si>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</si>
  <si>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</si>
  <si>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</si>
  <si>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</si>
  <si>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</si>
  <si>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</si>
  <si>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</si>
  <si>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</si>
  <si>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</si>
  <si>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</si>
  <si>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</si>
  <si>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</si>
  <si>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</si>
  <si>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</si>
  <si>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</si>
  <si>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</si>
  <si>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</si>
  <si>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</si>
  <si>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</si>
  <si>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</si>
  <si>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</si>
  <si>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</si>
  <si>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</si>
  <si>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</si>
  <si>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</si>
  <si>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</si>
  <si>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</si>
  <si>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</si>
  <si>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</si>
  <si>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</si>
  <si>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</si>
  <si>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</si>
  <si>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</si>
  <si>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</si>
  <si>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</si>
  <si>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</si>
  <si>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</si>
  <si>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</si>
  <si>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</si>
  <si>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</si>
  <si>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</si>
  <si>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</si>
  <si>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</si>
  <si>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</si>
  <si>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</si>
  <si>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</si>
  <si>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</si>
  <si>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</si>
  <si>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</si>
  <si>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</si>
  <si>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</si>
  <si>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</si>
  <si>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</si>
  <si>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</si>
  <si>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</si>
  <si>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</si>
  <si>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</si>
  <si>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</si>
  <si>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</si>
  <si>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</si>
  <si>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</si>
  <si>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</si>
  <si>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</si>
  <si>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</si>
  <si>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</si>
  <si>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</si>
  <si>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</si>
  <si>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</si>
  <si>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</si>
  <si>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</si>
  <si>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</si>
  <si>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</si>
  <si>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</si>
  <si>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</si>
  <si>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</si>
  <si>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</si>
  <si>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</si>
  <si>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</si>
  <si>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</si>
  <si>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</si>
  <si>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</si>
  <si>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</si>
  <si>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</si>
  <si>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</si>
  <si>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</si>
  <si>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</si>
  <si>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</si>
  <si>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</si>
  <si>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</si>
  <si>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</si>
  <si>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</si>
  <si>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</si>
  <si>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</si>
  <si>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</si>
  <si>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</si>
  <si>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</si>
  <si>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</si>
  <si>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</si>
  <si>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</si>
  <si>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</si>
  <si>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</si>
  <si>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</si>
  <si>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</si>
  <si>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</si>
  <si>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</si>
  <si>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</si>
  <si>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</si>
  <si>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</si>
  <si>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</si>
  <si>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</si>
  <si>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</si>
  <si>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</si>
  <si>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</si>
  <si>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</si>
  <si>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</si>
  <si>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</si>
  <si>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</si>
  <si>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</si>
  <si>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</si>
  <si>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</si>
  <si>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</si>
  <si>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</si>
  <si>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</si>
  <si>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</si>
  <si>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</si>
  <si>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</si>
  <si>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</si>
  <si>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</si>
  <si>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</si>
  <si>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</si>
  <si>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</si>
  <si>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</si>
  <si>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</si>
  <si>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</si>
  <si>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</si>
  <si>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</si>
  <si>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</si>
  <si>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</si>
  <si>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</si>
  <si>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</si>
  <si>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</si>
  <si>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</si>
  <si>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</si>
  <si>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</si>
  <si>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</si>
  <si>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</si>
  <si>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</si>
  <si>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</si>
  <si>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</si>
  <si>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</si>
  <si>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</si>
  <si>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</si>
  <si>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</si>
  <si>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</si>
  <si>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</si>
  <si>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</si>
  <si>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</si>
  <si>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</si>
  <si>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</si>
  <si>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</si>
  <si>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</si>
  <si>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</si>
  <si>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</si>
  <si>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</si>
  <si>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</si>
  <si>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</si>
  <si>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</si>
  <si>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</si>
  <si>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</si>
  <si>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</si>
  <si>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</si>
  <si>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</si>
  <si>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</si>
  <si>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</si>
  <si>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</si>
  <si>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</si>
  <si>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</si>
  <si>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</si>
  <si>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</si>
  <si>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</si>
  <si>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</si>
  <si>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</si>
  <si>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</si>
  <si>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</si>
  <si>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</si>
  <si>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</si>
  <si>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</si>
  <si>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</si>
  <si>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</si>
  <si>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</si>
  <si>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</si>
  <si>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</si>
  <si>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</si>
  <si>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</si>
  <si>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</si>
  <si>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</si>
  <si>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</si>
  <si>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</si>
  <si>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</si>
  <si>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</si>
  <si>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</si>
  <si>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</si>
  <si>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</si>
  <si>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</si>
  <si>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</si>
  <si>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</si>
  <si>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</si>
  <si>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</si>
  <si>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</si>
  <si>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</si>
  <si>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</si>
  <si>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</si>
  <si>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</si>
  <si>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</si>
  <si>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</si>
  <si>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</si>
  <si>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</si>
  <si>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</si>
  <si>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</si>
  <si>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</si>
  <si>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</si>
  <si>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</si>
  <si>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</si>
  <si>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</si>
  <si>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</si>
  <si>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</si>
  <si>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</si>
  <si>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</si>
  <si>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</si>
  <si>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</si>
  <si>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</si>
  <si>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</si>
  <si>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</si>
  <si>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</si>
  <si>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</si>
  <si>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</si>
  <si>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</si>
  <si>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</si>
  <si>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</si>
  <si>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</si>
  <si>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</si>
  <si>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</si>
  <si>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</si>
  <si>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</si>
  <si>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</si>
  <si>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</si>
  <si>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</si>
  <si>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</si>
  <si>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</si>
  <si>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</si>
  <si>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</si>
  <si>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</si>
  <si>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</si>
  <si>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</si>
  <si>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</si>
  <si>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</si>
  <si>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</si>
  <si>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</si>
  <si>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</si>
  <si>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</si>
  <si>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</si>
  <si>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</si>
  <si>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</si>
  <si>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</si>
  <si>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</si>
  <si>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</si>
  <si>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</si>
  <si>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</si>
  <si>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</si>
  <si>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</si>
  <si>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</si>
  <si>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</si>
  <si>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</si>
  <si>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</si>
  <si>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</si>
  <si>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</si>
  <si>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</si>
  <si>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</si>
  <si>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</si>
  <si>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</si>
  <si>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</si>
  <si>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</si>
  <si>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</si>
  <si>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</si>
  <si>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</si>
  <si>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</si>
  <si>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</si>
  <si>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</si>
  <si>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</si>
  <si>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</si>
  <si>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</si>
  <si>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</si>
  <si>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</si>
  <si>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</si>
  <si>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</si>
  <si>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</si>
  <si>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</si>
  <si>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</si>
  <si>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</si>
  <si>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</si>
  <si>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</si>
  <si>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</si>
  <si>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</si>
  <si>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</si>
  <si>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</si>
  <si>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</si>
  <si>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</si>
  <si>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</si>
  <si>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</si>
  <si>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</si>
  <si>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</si>
  <si>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</si>
  <si>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</si>
  <si>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</si>
  <si>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</si>
  <si>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</si>
  <si>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</si>
  <si>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</si>
  <si>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</si>
  <si>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</si>
  <si>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</si>
  <si>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</si>
  <si>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</si>
  <si>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</si>
  <si>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</si>
  <si>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</si>
  <si>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</si>
  <si>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</si>
  <si>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</si>
  <si>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</si>
  <si>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</si>
  <si>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</si>
  <si>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</si>
  <si>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</si>
  <si>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</si>
  <si>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</si>
  <si>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</si>
  <si>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</si>
  <si>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</si>
  <si>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</si>
  <si>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</si>
  <si>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</si>
  <si>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</si>
  <si>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</si>
  <si>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</si>
  <si>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</si>
  <si>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</si>
  <si>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</si>
  <si>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</si>
  <si>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</si>
  <si>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</si>
  <si>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</si>
  <si>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</si>
  <si>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</si>
  <si>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</si>
  <si>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</si>
  <si>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</si>
  <si>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</si>
  <si>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</si>
  <si>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</si>
  <si>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</si>
  <si>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</si>
  <si>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</si>
  <si>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</si>
  <si>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</si>
  <si>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</si>
  <si>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</si>
  <si>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</si>
  <si>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</si>
  <si>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</si>
  <si>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</si>
  <si>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</si>
  <si>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</si>
  <si>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</si>
  <si>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</si>
  <si>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</si>
  <si>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</si>
  <si>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</si>
  <si>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</si>
  <si>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</si>
  <si>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</si>
  <si>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</si>
  <si>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</si>
  <si>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</si>
  <si>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</si>
  <si>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</si>
  <si>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</si>
  <si>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</si>
  <si>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</si>
  <si>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</si>
  <si>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</si>
  <si>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</si>
  <si>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</si>
  <si>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</si>
  <si>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</si>
  <si>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</si>
  <si>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</si>
  <si>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</si>
  <si>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</si>
  <si>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</si>
  <si>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</si>
  <si>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</si>
  <si>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</si>
  <si>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</si>
  <si>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</si>
  <si>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</si>
  <si>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</si>
  <si>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</si>
  <si>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</si>
  <si>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</si>
  <si>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</si>
  <si>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</si>
  <si>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</si>
  <si>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</si>
  <si>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</si>
  <si>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</si>
  <si>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</si>
  <si>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</si>
  <si>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</si>
  <si>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</si>
  <si>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</si>
  <si>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</si>
  <si>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</si>
  <si>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</si>
  <si>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</si>
  <si>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</si>
  <si>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</si>
  <si>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</si>
  <si>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</si>
  <si>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</si>
  <si>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</si>
  <si>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</si>
  <si>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</si>
  <si>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</si>
  <si>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</si>
  <si>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</si>
  <si>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</si>
  <si>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</si>
  <si>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</si>
  <si>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</si>
  <si>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</si>
  <si>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</si>
  <si>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</si>
  <si>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</si>
  <si>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</si>
  <si>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</si>
  <si>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</si>
  <si>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</si>
  <si>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</si>
  <si>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</si>
  <si>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</si>
  <si>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</si>
  <si>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</si>
  <si>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</si>
  <si>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</si>
  <si>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</si>
  <si>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</si>
  <si>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</si>
  <si>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</si>
  <si>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</si>
  <si>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</si>
  <si>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</si>
  <si>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</si>
  <si>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</si>
  <si>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</si>
  <si>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</si>
  <si>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</si>
  <si>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</si>
  <si>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</si>
  <si>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</si>
  <si>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</si>
  <si>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</si>
  <si>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</si>
  <si>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</si>
  <si>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</si>
  <si>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</si>
  <si>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</si>
  <si>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</si>
  <si>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</si>
  <si>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</si>
  <si>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</si>
  <si>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</si>
  <si>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</si>
  <si>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</si>
  <si>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</si>
  <si>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</si>
  <si>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</si>
  <si>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</si>
  <si>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</si>
  <si>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</si>
  <si>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</si>
  <si>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</si>
  <si>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</si>
  <si>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</si>
  <si>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</si>
  <si>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</si>
  <si>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</si>
  <si>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</si>
  <si>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</si>
  <si>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</si>
  <si>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</si>
  <si>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</si>
  <si>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</si>
  <si>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</si>
  <si>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</si>
  <si>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</si>
  <si>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</si>
  <si>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</si>
  <si>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</si>
  <si>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</si>
  <si>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</si>
  <si>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</si>
  <si>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</si>
  <si>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</si>
  <si>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</si>
  <si>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</si>
  <si>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</si>
  <si>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</si>
  <si>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</si>
  <si>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</si>
  <si>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</si>
  <si>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</si>
  <si>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</si>
  <si>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</si>
  <si>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</si>
  <si>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</si>
  <si>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</si>
  <si>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</si>
  <si>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</si>
  <si>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</si>
  <si>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</si>
  <si>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</si>
  <si>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</si>
  <si>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</si>
  <si>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</si>
  <si>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</si>
  <si>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</si>
  <si>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</si>
  <si>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</si>
  <si>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</si>
  <si>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</si>
  <si>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</si>
  <si>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</si>
  <si>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</si>
  <si>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</si>
  <si>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</si>
  <si>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</si>
  <si>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</si>
  <si>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</si>
  <si>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</si>
  <si>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</si>
  <si>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</si>
  <si>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</si>
  <si>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</si>
  <si>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</si>
  <si>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</si>
  <si>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</si>
  <si>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</si>
  <si>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</si>
  <si>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</si>
  <si>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</si>
  <si>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</si>
  <si>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</si>
  <si>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</si>
  <si>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</si>
  <si>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</si>
  <si>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</si>
  <si>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</si>
  <si>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</si>
  <si>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</si>
  <si>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</si>
  <si>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</si>
  <si>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</si>
  <si>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</si>
  <si>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</si>
  <si>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</si>
  <si>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</si>
  <si>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</si>
  <si>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</si>
  <si>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</si>
  <si>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</si>
  <si>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</si>
  <si>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</si>
  <si>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</si>
  <si>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</si>
  <si>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</si>
  <si>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</si>
  <si>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</si>
  <si>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</si>
  <si>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</si>
  <si>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</si>
  <si>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</si>
  <si>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</si>
  <si>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</si>
  <si>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</si>
  <si>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</si>
  <si>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</si>
  <si>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</si>
  <si>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</si>
  <si>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</si>
  <si>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</si>
  <si>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</si>
  <si>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</si>
  <si>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</si>
  <si>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</si>
  <si>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</si>
  <si>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</si>
  <si>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</si>
  <si>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</si>
  <si>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</si>
  <si>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</si>
  <si>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</si>
  <si>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</si>
  <si>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</si>
  <si>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</si>
  <si>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</si>
  <si>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</si>
  <si>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</si>
  <si>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</si>
  <si>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</si>
  <si>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</si>
  <si>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</si>
  <si>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</si>
  <si>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</si>
  <si>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</si>
  <si>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</si>
  <si>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</si>
  <si>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</si>
  <si>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</si>
  <si>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</si>
  <si>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</si>
  <si>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</si>
  <si>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</si>
  <si>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</si>
  <si>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</si>
  <si>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</si>
  <si>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</si>
  <si>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</si>
  <si>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</si>
  <si>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</si>
  <si>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</si>
  <si>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</si>
  <si>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</si>
  <si>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</si>
  <si>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</si>
  <si>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</si>
  <si>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</si>
  <si>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</si>
  <si>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</si>
  <si>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</si>
  <si>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</si>
  <si>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</si>
  <si>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</si>
  <si>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</si>
  <si>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</si>
  <si>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</si>
  <si>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</si>
  <si>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</si>
  <si>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</si>
  <si>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</si>
  <si>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</si>
  <si>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</si>
  <si>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</si>
  <si>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</si>
  <si>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</si>
  <si>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</si>
  <si>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</si>
  <si>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</si>
  <si>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</si>
  <si>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</si>
  <si>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</si>
  <si>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</si>
  <si>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</si>
  <si>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</si>
  <si>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</si>
  <si>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</si>
  <si>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</si>
  <si>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</si>
  <si>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</si>
  <si>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</si>
  <si>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</si>
  <si>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</si>
  <si>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</si>
  <si>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</si>
  <si>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</si>
  <si>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</si>
  <si>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</si>
  <si>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</si>
  <si>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</si>
  <si>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</si>
  <si>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</si>
  <si>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</si>
  <si>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</si>
  <si>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</si>
  <si>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</si>
  <si>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</si>
  <si>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</si>
  <si>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</si>
  <si>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</si>
  <si>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</si>
  <si>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</si>
  <si>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</si>
  <si>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</si>
  <si>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</si>
  <si>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</si>
  <si>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</si>
  <si>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</si>
  <si>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</si>
  <si>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</si>
  <si>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</si>
  <si>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</si>
  <si>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</si>
  <si>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</si>
  <si>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</si>
  <si>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</si>
  <si>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</si>
  <si>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</si>
  <si>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</si>
  <si>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</si>
  <si>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</si>
  <si>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</si>
  <si>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</si>
  <si>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</si>
  <si>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</si>
  <si>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</si>
  <si>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</si>
  <si>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</si>
  <si>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</si>
  <si>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</si>
  <si>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</si>
  <si>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</si>
  <si>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</si>
  <si>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</si>
  <si>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</si>
  <si>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</si>
  <si>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</si>
  <si>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</si>
  <si>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</si>
  <si>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</si>
  <si>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</si>
  <si>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</si>
  <si>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</si>
  <si>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</si>
  <si>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</si>
  <si>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</si>
  <si>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</si>
  <si>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</si>
  <si>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</si>
  <si>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</si>
  <si>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</si>
  <si>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</si>
  <si>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</si>
  <si>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</si>
  <si>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</si>
  <si>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</si>
  <si>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</si>
  <si>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</si>
  <si>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</si>
  <si>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</si>
  <si>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</si>
  <si>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</si>
  <si>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</si>
  <si>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</si>
  <si>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</si>
  <si>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</si>
  <si>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</si>
  <si>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</si>
  <si>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</si>
  <si>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</si>
  <si>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</si>
  <si>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</si>
  <si>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</si>
  <si>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</si>
  <si>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</si>
  <si>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</si>
  <si>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</si>
  <si>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</si>
  <si>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</si>
  <si>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</si>
  <si>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</si>
  <si>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</si>
  <si>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</si>
  <si>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</si>
  <si>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</si>
  <si>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</si>
  <si>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</si>
  <si>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</si>
  <si>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</si>
  <si>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</si>
  <si>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</si>
  <si>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</si>
  <si>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</si>
  <si>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</si>
  <si>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</si>
  <si>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</si>
  <si>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</si>
  <si>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</si>
  <si>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</si>
  <si>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</si>
  <si>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</si>
  <si>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</si>
  <si>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</si>
  <si>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</si>
  <si>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</si>
  <si>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</si>
  <si>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</si>
  <si>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</si>
  <si>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</si>
  <si>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</si>
  <si>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</si>
  <si>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</si>
  <si>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</si>
  <si>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</si>
  <si>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</si>
  <si>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</si>
  <si>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</si>
  <si>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</si>
  <si>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</si>
  <si>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</si>
  <si>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</si>
  <si>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</si>
  <si>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</si>
  <si>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</si>
  <si>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</si>
  <si>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</si>
  <si>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</si>
  <si>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</si>
  <si>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</si>
  <si>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</si>
  <si>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</si>
  <si>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</si>
  <si>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</si>
  <si>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</si>
  <si>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</si>
  <si>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</si>
  <si>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</si>
  <si>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</si>
  <si>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</si>
  <si>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</si>
  <si>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</si>
  <si>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</si>
  <si>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</si>
  <si>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</si>
  <si>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</si>
  <si>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</si>
  <si>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</si>
  <si>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</si>
  <si>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</si>
  <si>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</si>
  <si>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</si>
  <si>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</si>
  <si>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</si>
  <si>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</si>
  <si>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</si>
  <si>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</si>
  <si>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</si>
  <si>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</si>
  <si>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</si>
  <si>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</si>
  <si>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</si>
  <si>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</si>
  <si>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</si>
  <si>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</si>
  <si>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</si>
  <si>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</si>
  <si>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</si>
  <si>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</si>
  <si>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</si>
  <si>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</si>
  <si>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</si>
  <si>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</si>
  <si>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</si>
  <si>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</si>
  <si>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</si>
  <si>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</si>
  <si>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</si>
  <si>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</si>
  <si>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</si>
  <si>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</si>
  <si>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</si>
  <si>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</si>
  <si>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</si>
  <si>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</si>
  <si>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</si>
  <si>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</si>
  <si>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</si>
  <si>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</si>
  <si>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</si>
  <si>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</si>
  <si>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</si>
  <si>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</si>
  <si>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</si>
  <si>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</si>
  <si>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</si>
  <si>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</si>
  <si>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</si>
  <si>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</si>
  <si>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</si>
  <si>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</si>
  <si>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</si>
  <si>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</si>
  <si>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</si>
  <si>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</si>
  <si>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</si>
  <si>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</si>
  <si>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</si>
  <si>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</si>
  <si>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</si>
  <si>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</si>
  <si>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</si>
  <si>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</si>
  <si>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</si>
  <si>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</si>
  <si>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</si>
  <si>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</si>
  <si>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</si>
  <si>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</si>
  <si>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</si>
  <si>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</si>
  <si>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</si>
  <si>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</si>
  <si>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</si>
  <si>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</si>
  <si>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</si>
  <si>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</si>
  <si>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</si>
  <si>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</si>
  <si>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</si>
  <si>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</si>
  <si>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</si>
  <si>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</si>
  <si>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</si>
  <si>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</si>
  <si>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</si>
  <si>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</si>
  <si>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</si>
  <si>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</si>
  <si>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</si>
  <si>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</si>
  <si>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</si>
  <si>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</si>
  <si>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</si>
  <si>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</si>
  <si>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</si>
  <si>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</si>
  <si>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</si>
  <si>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</si>
  <si>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</si>
  <si>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</si>
  <si>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</si>
  <si>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</si>
  <si>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</si>
  <si>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</si>
  <si>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</si>
  <si>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</si>
  <si>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</si>
  <si>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</si>
  <si>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</si>
  <si>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</si>
  <si>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</si>
  <si>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</si>
  <si>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</si>
  <si>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</si>
  <si>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</si>
  <si>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</si>
  <si>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</si>
  <si>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</si>
  <si>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</si>
  <si>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</si>
  <si>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</si>
  <si>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</si>
  <si>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</si>
  <si>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</si>
  <si>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</si>
  <si>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</si>
  <si>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</si>
  <si>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</si>
  <si>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</si>
  <si>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</si>
  <si>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</si>
  <si>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</si>
  <si>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</si>
  <si>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</si>
  <si>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</si>
  <si>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</si>
  <si>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</si>
  <si>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</si>
  <si>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</si>
  <si>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</si>
  <si>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</si>
  <si>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</si>
  <si>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</si>
  <si>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</si>
  <si>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</si>
  <si>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</si>
  <si>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</si>
  <si>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</si>
  <si>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</si>
  <si>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</si>
  <si>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</si>
  <si>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</si>
  <si>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</si>
  <si>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</si>
  <si>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</si>
  <si>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</si>
  <si>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</si>
  <si>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</si>
  <si>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</si>
  <si>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</si>
  <si>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</si>
  <si>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</si>
  <si>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</si>
  <si>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</si>
  <si>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</si>
  <si>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</si>
  <si>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</si>
  <si>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</si>
  <si>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</si>
  <si>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</si>
  <si>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</si>
  <si>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</si>
  <si>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</si>
  <si>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</si>
  <si>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</si>
  <si>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</si>
  <si>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</si>
  <si>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</si>
  <si>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</si>
  <si>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</si>
  <si>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</si>
  <si>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</si>
  <si>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</si>
  <si>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</si>
  <si>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</si>
  <si>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</si>
  <si>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</si>
  <si>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</si>
  <si>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</si>
  <si>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</si>
  <si>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</si>
  <si>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</si>
  <si>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</si>
  <si>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</si>
  <si>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</si>
  <si>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</si>
  <si>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</si>
  <si>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</si>
  <si>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</si>
  <si>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</si>
  <si>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</si>
  <si>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</si>
  <si>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</si>
  <si>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</si>
  <si>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</si>
  <si>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</si>
  <si>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</si>
  <si>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</si>
  <si>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</si>
  <si>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</si>
  <si>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</si>
  <si>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</si>
  <si>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</si>
  <si>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</si>
  <si>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</si>
  <si>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</si>
  <si>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</si>
  <si>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</si>
  <si>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</si>
  <si>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</si>
  <si>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</si>
  <si>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</si>
  <si>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</si>
  <si>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</si>
  <si>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</si>
  <si>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</si>
  <si>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</si>
  <si>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</si>
  <si>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</si>
  <si>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</si>
  <si>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</si>
  <si>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</si>
  <si>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</si>
  <si>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</si>
  <si>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</si>
  <si>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</si>
  <si>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</si>
  <si>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</si>
  <si>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</si>
  <si>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</si>
  <si>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</si>
  <si>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</si>
  <si>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</si>
  <si>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</si>
  <si>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</si>
  <si>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</si>
  <si>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</si>
  <si>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</si>
  <si>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</si>
  <si>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</si>
  <si>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</si>
  <si>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</si>
  <si>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</si>
  <si>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</si>
  <si>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</si>
  <si>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</si>
  <si>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</si>
  <si>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</si>
  <si>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</si>
  <si>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</si>
  <si>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</si>
  <si>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</si>
  <si>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</si>
  <si>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</si>
  <si>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</si>
  <si>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</si>
  <si>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</si>
  <si>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</si>
  <si>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</si>
  <si>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</si>
  <si>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</si>
  <si>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</si>
  <si>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</si>
  <si>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</si>
  <si>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</si>
  <si>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</si>
  <si>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</si>
  <si>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</si>
  <si>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</si>
  <si>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</si>
  <si>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</si>
  <si>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</si>
  <si>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</si>
  <si>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</si>
  <si>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</si>
  <si>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</si>
  <si>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</si>
  <si>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</si>
  <si>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</si>
  <si>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</si>
  <si>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</si>
  <si>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</si>
  <si>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</si>
  <si>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</si>
  <si>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</si>
  <si>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</si>
  <si>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</si>
  <si>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</si>
  <si>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</si>
  <si>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</si>
  <si>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</si>
  <si>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</si>
  <si>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</si>
  <si>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</si>
  <si>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</si>
  <si>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</si>
  <si>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</si>
  <si>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</si>
  <si>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</si>
  <si>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</si>
  <si>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</si>
  <si>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</si>
  <si>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</si>
  <si>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</si>
  <si>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</si>
  <si>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</si>
  <si>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</si>
  <si>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</si>
  <si>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</si>
  <si>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</si>
  <si>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</si>
  <si>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</si>
  <si>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</si>
  <si>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</si>
  <si>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</si>
  <si>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</si>
  <si>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</si>
  <si>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</si>
  <si>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</si>
  <si>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</si>
  <si>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</si>
  <si>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</si>
  <si>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</si>
  <si>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</si>
  <si>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</si>
  <si>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</si>
  <si>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</si>
  <si>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</si>
  <si>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</si>
  <si>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</si>
  <si>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</si>
  <si>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</si>
  <si>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</si>
  <si>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</si>
  <si>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</si>
  <si>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</si>
  <si>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</si>
  <si>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</si>
  <si>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</si>
  <si>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</si>
  <si>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</si>
  <si>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</si>
  <si>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</si>
  <si>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</si>
  <si>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</si>
  <si>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</si>
  <si>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</si>
  <si>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</si>
  <si>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</si>
  <si>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</si>
  <si>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</si>
  <si>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</si>
  <si>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</si>
  <si>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</si>
  <si>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</si>
  <si>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</si>
  <si>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</si>
  <si>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</si>
  <si>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</si>
  <si>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</si>
  <si>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</si>
  <si>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</si>
  <si>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</si>
  <si>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</si>
  <si>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</si>
  <si>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</si>
  <si>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</si>
  <si>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</si>
  <si>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</si>
  <si>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</si>
  <si>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</si>
  <si>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</si>
  <si>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</si>
  <si>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</si>
  <si>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</si>
  <si>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</si>
  <si>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</si>
  <si>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</si>
  <si>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</si>
  <si>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</si>
  <si>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</si>
  <si>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</si>
  <si>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</si>
  <si>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</si>
  <si>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</si>
  <si>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</si>
  <si>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</si>
  <si>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</si>
  <si>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</si>
  <si>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</si>
  <si>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</si>
  <si>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</si>
  <si>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</si>
  <si>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</si>
  <si>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</si>
  <si>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</si>
  <si>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</si>
  <si>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</si>
  <si>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</si>
  <si>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</si>
  <si>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</si>
  <si>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</si>
  <si>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</si>
  <si>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</si>
  <si>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</si>
  <si>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</si>
  <si>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</si>
  <si>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</si>
  <si>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</si>
  <si>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</si>
  <si>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</si>
  <si>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</si>
  <si>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</si>
  <si>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</si>
  <si>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</si>
  <si>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</si>
  <si>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</si>
  <si>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</si>
  <si>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</si>
  <si>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</si>
  <si>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</si>
  <si>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</si>
  <si>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</si>
  <si>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</si>
  <si>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</si>
  <si>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</si>
  <si>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</si>
  <si>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</si>
  <si>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</si>
  <si>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</si>
  <si>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</si>
  <si>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</si>
  <si>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</si>
  <si>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</si>
  <si>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</si>
  <si>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</si>
  <si>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</si>
  <si>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</si>
  <si>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</si>
  <si>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</si>
  <si>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</si>
  <si>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</si>
  <si>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</si>
  <si>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</si>
  <si>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</si>
  <si>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</si>
  <si>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</si>
  <si>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</si>
  <si>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</si>
  <si>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</si>
  <si>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</si>
  <si>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</si>
  <si>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</si>
  <si>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</si>
  <si>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</si>
  <si>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</si>
  <si>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</si>
  <si>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</si>
  <si>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</si>
  <si>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</si>
  <si>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</si>
  <si>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</si>
  <si>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</si>
  <si>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</si>
  <si>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</si>
  <si>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</si>
  <si>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</si>
  <si>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</si>
  <si>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</si>
  <si>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</si>
  <si>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</si>
  <si>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</si>
  <si>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</si>
  <si>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</si>
  <si>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</si>
  <si>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</si>
  <si>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</si>
  <si>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</si>
  <si>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</si>
  <si>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</si>
  <si>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</si>
  <si>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</si>
  <si>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</si>
  <si>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</si>
  <si>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</si>
  <si>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</si>
  <si>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</si>
  <si>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</si>
  <si>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</si>
  <si>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</si>
  <si>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</si>
  <si>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</si>
  <si>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</si>
  <si>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</si>
  <si>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</si>
  <si>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</si>
  <si>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</si>
  <si>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</si>
  <si>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</si>
  <si>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</si>
  <si>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</si>
  <si>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</si>
  <si>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</si>
  <si>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</si>
  <si>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</si>
  <si>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</si>
  <si>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</si>
  <si>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</si>
  <si>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</si>
  <si>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</si>
  <si>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</si>
  <si>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</si>
  <si>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</si>
  <si>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</si>
  <si>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</si>
  <si>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</si>
  <si>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</si>
  <si>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</si>
  <si>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</si>
  <si>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</si>
  <si>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</si>
  <si>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</si>
  <si>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</si>
  <si>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</si>
  <si>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</si>
  <si>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</si>
  <si>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</si>
  <si>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</si>
  <si>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</si>
  <si>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</si>
  <si>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</si>
  <si>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</si>
  <si>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</si>
  <si>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</si>
  <si>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</si>
  <si>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</si>
  <si>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</si>
  <si>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</si>
  <si>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</si>
  <si>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</si>
  <si>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</si>
  <si>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</si>
  <si>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</si>
  <si>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</si>
  <si>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</si>
  <si>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</si>
  <si>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</si>
  <si>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</si>
  <si>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</si>
  <si>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</si>
  <si>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</si>
  <si>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</si>
  <si>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</si>
  <si>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</si>
  <si>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</si>
  <si>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</si>
  <si>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</si>
  <si>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</si>
  <si>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</si>
  <si>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</si>
  <si>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</si>
  <si>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</si>
  <si>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</si>
  <si>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</si>
  <si>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</si>
  <si>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</si>
  <si>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</si>
  <si>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</si>
  <si>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</si>
  <si>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</si>
  <si>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</si>
  <si>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</si>
  <si>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</si>
  <si>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</si>
  <si>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</si>
  <si>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</si>
  <si>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</si>
  <si>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</si>
  <si>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</si>
  <si>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</si>
  <si>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</si>
  <si>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</si>
  <si>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</si>
  <si>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</si>
  <si>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</si>
  <si>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</si>
  <si>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</si>
  <si>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</si>
  <si>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</si>
  <si>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</si>
  <si>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</si>
  <si>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</si>
  <si>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</si>
  <si>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</si>
  <si>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</si>
  <si>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</si>
  <si>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</si>
  <si>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</si>
  <si>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</si>
  <si>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</si>
  <si>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</si>
  <si>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</si>
  <si>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</si>
  <si>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</si>
  <si>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</si>
  <si>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</si>
  <si>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</si>
  <si>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</si>
  <si>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</si>
  <si>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</si>
  <si>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</si>
  <si>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</si>
  <si>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</si>
  <si>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</si>
  <si>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</si>
  <si>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</si>
  <si>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</si>
  <si>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</si>
  <si>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</si>
  <si>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</si>
  <si>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</si>
  <si>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</si>
  <si>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</si>
  <si>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</si>
  <si>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</si>
  <si>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</si>
  <si>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</si>
  <si>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</si>
  <si>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</si>
  <si>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</si>
  <si>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</si>
  <si>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</si>
  <si>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</si>
  <si>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</si>
  <si>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</si>
  <si>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</si>
  <si>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</si>
  <si>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</si>
  <si>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</si>
  <si>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</si>
  <si>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</si>
  <si>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</si>
  <si>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</si>
  <si>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</si>
  <si>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</si>
  <si>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</si>
  <si>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</si>
  <si>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</si>
  <si>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</si>
  <si>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</si>
  <si>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</si>
  <si>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</si>
  <si>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</si>
  <si>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</si>
  <si>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</si>
  <si>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</si>
  <si>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</si>
  <si>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</si>
  <si>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</si>
  <si>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</si>
  <si>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</si>
  <si>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</si>
  <si>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</si>
  <si>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</si>
  <si>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</si>
  <si>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</si>
  <si>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</si>
  <si>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</si>
  <si>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</si>
  <si>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</si>
  <si>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</si>
  <si>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</si>
  <si>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</si>
  <si>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</si>
  <si>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</si>
  <si>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</si>
  <si>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</si>
  <si>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</si>
  <si>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</si>
  <si>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</si>
  <si>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</si>
  <si>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</si>
  <si>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</si>
  <si>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</si>
  <si>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</si>
  <si>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</si>
  <si>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</si>
  <si>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</si>
  <si>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</si>
  <si>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</si>
  <si>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</si>
  <si>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</si>
  <si>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</si>
  <si>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</si>
  <si>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</si>
  <si>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</si>
  <si>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</si>
  <si>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</si>
  <si>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</si>
  <si>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</si>
  <si>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</si>
  <si>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</si>
  <si>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</si>
  <si>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</si>
  <si>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</si>
  <si>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</si>
  <si>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</si>
  <si>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</si>
  <si>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</si>
  <si>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</si>
  <si>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</si>
  <si>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</si>
  <si>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</si>
  <si>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</si>
  <si>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</si>
  <si>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</si>
  <si>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</si>
  <si>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</si>
  <si>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</si>
  <si>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</si>
  <si>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</si>
  <si>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</si>
  <si>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</si>
  <si>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</si>
  <si>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</si>
  <si>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</si>
  <si>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</si>
  <si>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</si>
  <si>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</si>
  <si>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</si>
  <si>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</si>
  <si>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</si>
  <si>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</si>
  <si>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</si>
  <si>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</si>
  <si>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</si>
  <si>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</si>
  <si>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</si>
  <si>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</si>
  <si>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</si>
  <si>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</si>
  <si>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</si>
  <si>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</si>
  <si>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</si>
  <si>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</si>
  <si>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</si>
  <si>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</si>
  <si>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</si>
  <si>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</si>
  <si>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</si>
  <si>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</si>
  <si>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</si>
  <si>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</si>
  <si>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</si>
  <si>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</si>
  <si>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</si>
  <si>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</si>
  <si>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</si>
  <si>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</si>
  <si>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</si>
  <si>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</si>
  <si>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</si>
  <si>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</si>
  <si>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</si>
  <si>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</si>
  <si>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</si>
  <si>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</si>
  <si>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</si>
  <si>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</si>
  <si>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</si>
  <si>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</si>
  <si>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</si>
  <si>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</si>
  <si>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</si>
  <si>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</si>
  <si>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</si>
  <si>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</si>
  <si>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</si>
  <si>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</si>
  <si>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</si>
  <si>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</si>
  <si>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</si>
  <si>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</si>
  <si>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</si>
  <si>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</si>
  <si>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</si>
  <si>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</si>
  <si>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</si>
  <si>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</si>
  <si>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</si>
  <si>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</si>
  <si>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</si>
  <si>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</si>
  <si>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</si>
  <si>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</si>
  <si>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</si>
  <si>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</si>
  <si>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</si>
  <si>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</si>
  <si>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</si>
  <si>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</si>
  <si>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</si>
  <si>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</si>
  <si>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</si>
  <si>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</si>
  <si>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</si>
  <si>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</si>
  <si>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</si>
  <si>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</si>
  <si>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</si>
  <si>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</si>
  <si>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</si>
  <si>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</si>
  <si>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</si>
  <si>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</si>
  <si>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</si>
  <si>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</si>
  <si>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</si>
  <si>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</si>
  <si>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</si>
  <si>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</si>
  <si>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</si>
  <si>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</si>
  <si>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</si>
  <si>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</si>
  <si>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</si>
  <si>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</si>
  <si>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</si>
  <si>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</si>
  <si>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</si>
  <si>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</si>
  <si>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</si>
  <si>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</si>
  <si>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</si>
  <si>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</si>
  <si>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</si>
  <si>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</si>
  <si>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</si>
  <si>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</si>
  <si>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</si>
  <si>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</si>
  <si>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</si>
  <si>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</si>
  <si>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</si>
  <si>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</si>
  <si>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</si>
  <si>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</si>
  <si>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</si>
  <si>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</si>
  <si>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</si>
  <si>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</si>
  <si>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</si>
  <si>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</si>
  <si>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</si>
  <si>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</si>
  <si>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</si>
  <si>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</si>
  <si>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</si>
  <si>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</si>
  <si>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</si>
  <si>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</si>
  <si>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</si>
  <si>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</si>
  <si>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</si>
  <si>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</si>
  <si>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</si>
  <si>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</si>
  <si>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</si>
  <si>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</si>
  <si>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</si>
  <si>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</si>
  <si>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</si>
  <si>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</si>
  <si>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</si>
  <si>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</si>
  <si>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</si>
  <si>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</si>
  <si>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</si>
  <si>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</si>
  <si>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</si>
  <si>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</si>
  <si>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</si>
  <si>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</si>
  <si>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</si>
  <si>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</si>
  <si>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</si>
  <si>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</si>
  <si>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</si>
  <si>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</si>
  <si>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</si>
  <si>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</si>
  <si>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</si>
  <si>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</si>
  <si>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</si>
  <si>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</si>
  <si>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</si>
  <si>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</si>
  <si>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</si>
  <si>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</si>
  <si>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</si>
  <si>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</si>
  <si>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</si>
  <si>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</si>
  <si>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</si>
  <si>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</si>
  <si>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</si>
  <si>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</si>
  <si>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</si>
  <si>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</si>
  <si>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</si>
  <si>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</si>
  <si>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</si>
  <si>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</si>
  <si>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</si>
  <si>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</si>
  <si>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</si>
  <si>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</si>
  <si>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</si>
  <si>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</si>
  <si>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</si>
  <si>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</si>
  <si>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</si>
  <si>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</si>
  <si>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</si>
  <si>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</si>
  <si>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</si>
  <si>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</si>
  <si>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</si>
  <si>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</si>
  <si>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</si>
  <si>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</si>
  <si>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</si>
  <si>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</si>
  <si>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</si>
  <si>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</si>
  <si>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</si>
  <si>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</si>
  <si>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</si>
  <si>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</si>
  <si>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</si>
  <si>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</si>
  <si>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</si>
  <si>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</si>
  <si>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</si>
  <si>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</si>
  <si>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</si>
  <si>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</si>
  <si>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</si>
  <si>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</si>
  <si>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</si>
  <si>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</si>
  <si>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</si>
  <si>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</si>
  <si>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</si>
  <si>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</si>
  <si>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</si>
  <si>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</si>
  <si>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</si>
  <si>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</si>
  <si>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</si>
  <si>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</si>
  <si>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</si>
  <si>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</si>
  <si>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</si>
  <si>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</si>
  <si>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</si>
  <si>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</si>
  <si>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</si>
  <si>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</si>
  <si>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</si>
  <si>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</si>
  <si>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</si>
  <si>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</si>
  <si>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</si>
  <si>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</si>
  <si>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</si>
  <si>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</si>
  <si>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</si>
  <si>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</si>
  <si>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</si>
  <si>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</si>
  <si>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</si>
  <si>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</si>
  <si>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</si>
  <si>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</si>
  <si>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</si>
  <si>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</si>
  <si>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</si>
  <si>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</si>
  <si>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</si>
  <si>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</si>
  <si>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</si>
  <si>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</si>
  <si>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</si>
  <si>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</si>
  <si>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</si>
  <si>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</si>
  <si>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</si>
  <si>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</si>
  <si>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</si>
  <si>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</si>
  <si>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</si>
  <si>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</si>
  <si>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</si>
  <si>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</si>
  <si>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</si>
  <si>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</si>
  <si>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</si>
  <si>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</si>
  <si>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</si>
  <si>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</si>
  <si>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</si>
  <si>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</si>
  <si>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</si>
  <si>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</si>
  <si>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</si>
  <si>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</si>
  <si>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</si>
  <si>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</si>
  <si>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</si>
  <si>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</si>
  <si>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</si>
  <si>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</si>
  <si>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</si>
  <si>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</si>
  <si>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</si>
  <si>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</si>
  <si>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</si>
  <si>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</si>
  <si>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</si>
  <si>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</si>
  <si>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</si>
  <si>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</si>
  <si>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</si>
  <si>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</si>
  <si>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</si>
  <si>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</si>
  <si>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</si>
  <si>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</si>
  <si>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</si>
  <si>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</si>
  <si>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</si>
  <si>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</si>
  <si>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</si>
  <si>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</si>
  <si>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</si>
  <si>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</si>
  <si>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</si>
  <si>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</si>
  <si>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</si>
  <si>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</si>
  <si>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</si>
  <si>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</si>
  <si>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</si>
  <si>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</si>
  <si>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</si>
  <si>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</si>
  <si>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</si>
  <si>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</si>
  <si>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</si>
  <si>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</si>
  <si>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</si>
  <si>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</si>
  <si>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</si>
  <si>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</si>
  <si>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</si>
  <si>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</si>
  <si>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</si>
  <si>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</si>
  <si>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</si>
  <si>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</si>
  <si>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</si>
  <si>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</si>
  <si>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</si>
  <si>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</si>
  <si>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</si>
  <si>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</si>
  <si>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</si>
  <si>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</si>
  <si>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</si>
  <si>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</si>
  <si>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</si>
  <si>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</si>
  <si>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</si>
  <si>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</si>
  <si>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</si>
  <si>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</si>
  <si>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</si>
  <si>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</si>
  <si>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</si>
  <si>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</si>
  <si>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</si>
  <si>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</si>
  <si>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</si>
  <si>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</si>
  <si>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</si>
  <si>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</si>
  <si>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</si>
  <si>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</si>
  <si>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</si>
  <si>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</si>
  <si>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</si>
  <si>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</si>
  <si>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</si>
  <si>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</si>
  <si>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</si>
  <si>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</si>
  <si>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</si>
  <si>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</si>
  <si>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</si>
  <si>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</si>
  <si>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</si>
  <si>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</si>
  <si>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</si>
  <si>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</si>
  <si>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</si>
  <si>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</si>
  <si>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</si>
  <si>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</si>
  <si>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</si>
  <si>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</si>
  <si>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</si>
  <si>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</si>
  <si>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</si>
  <si>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</si>
  <si>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</si>
  <si>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</si>
  <si>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</si>
  <si>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</si>
  <si>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</si>
  <si>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</si>
  <si>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</si>
  <si>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</si>
  <si>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</si>
  <si>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</si>
  <si>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</si>
  <si>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</si>
  <si>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</si>
  <si>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</si>
  <si>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</si>
  <si>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</si>
  <si>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</si>
  <si>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</si>
  <si>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</si>
  <si>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</si>
  <si>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</si>
  <si>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</si>
  <si>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</si>
  <si>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</si>
  <si>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</si>
  <si>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</si>
  <si>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</si>
  <si>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</si>
  <si>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</si>
  <si>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</si>
  <si>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</si>
  <si>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</si>
  <si>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</si>
  <si>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</si>
  <si>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</si>
  <si>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</si>
  <si>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</si>
  <si>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</si>
  <si>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</si>
  <si>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</si>
  <si>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</si>
  <si>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</si>
  <si>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</si>
  <si>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</si>
  <si>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</si>
  <si>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</si>
  <si>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</si>
  <si>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</si>
  <si>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</si>
  <si>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</si>
  <si>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</si>
  <si>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</si>
  <si>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</si>
  <si>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</si>
  <si>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</si>
  <si>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</si>
  <si>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</si>
  <si>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</si>
  <si>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</si>
  <si>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</si>
  <si>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</si>
  <si>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</si>
  <si>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</si>
  <si>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</si>
  <si>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</si>
  <si>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</si>
  <si>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</si>
  <si>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</si>
  <si>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</si>
  <si>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</si>
  <si>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</si>
  <si>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</si>
  <si>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</si>
  <si>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</si>
  <si>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</si>
  <si>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</si>
  <si>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</si>
  <si>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</si>
  <si>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</si>
  <si>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</si>
  <si>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</si>
  <si>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</si>
  <si>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</si>
  <si>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</si>
  <si>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</si>
  <si>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</si>
  <si>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</si>
  <si>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</si>
  <si>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</si>
  <si>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</si>
  <si>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</si>
  <si>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</si>
  <si>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</si>
  <si>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</si>
  <si>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</si>
  <si>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</si>
  <si>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</si>
  <si>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</si>
  <si>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</si>
  <si>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</si>
  <si>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</si>
  <si>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</si>
  <si>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</si>
  <si>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</si>
  <si>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</si>
  <si>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</si>
  <si>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</si>
  <si>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</si>
  <si>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</si>
  <si>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</si>
  <si>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</si>
  <si>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</si>
  <si>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</si>
  <si>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</si>
  <si>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</si>
  <si>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</si>
  <si>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</si>
  <si>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</si>
  <si>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</si>
  <si>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</si>
  <si>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</si>
  <si>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</si>
  <si>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</si>
  <si>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</si>
  <si>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</si>
  <si>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</si>
  <si>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</si>
  <si>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</si>
  <si>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</si>
  <si>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</si>
  <si>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</si>
  <si>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</si>
  <si>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</si>
  <si>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</si>
  <si>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</si>
  <si>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</si>
  <si>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</si>
  <si>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</si>
  <si>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</si>
  <si>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</si>
  <si>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</si>
  <si>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</si>
  <si>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</si>
  <si>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</si>
  <si>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</si>
  <si>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</si>
  <si>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</si>
  <si>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</si>
  <si>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</si>
  <si>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</si>
  <si>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</si>
  <si>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</si>
  <si>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</si>
  <si>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</si>
  <si>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</si>
  <si>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</si>
  <si>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</si>
  <si>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</si>
  <si>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</si>
  <si>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</si>
  <si>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</si>
  <si>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</si>
  <si>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</si>
  <si>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</si>
  <si>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</si>
  <si>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</si>
  <si>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</si>
  <si>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</si>
  <si>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</si>
  <si>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</si>
  <si>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</si>
  <si>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</si>
  <si>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</si>
  <si>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</si>
  <si>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</si>
  <si>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</si>
  <si>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</si>
  <si>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</si>
  <si>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</si>
  <si>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</si>
  <si>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</si>
  <si>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</si>
  <si>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</si>
  <si>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</si>
  <si>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</si>
  <si>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</si>
  <si>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</si>
  <si>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</si>
  <si>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</si>
  <si>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</si>
  <si>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</si>
  <si>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</si>
  <si>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</si>
  <si>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</si>
  <si>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</si>
  <si>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</si>
  <si>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</si>
  <si>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</si>
  <si>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</si>
  <si>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</si>
  <si>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</si>
  <si>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</si>
  <si>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</si>
  <si>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</si>
  <si>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</si>
  <si>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</si>
  <si>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</si>
  <si>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</si>
  <si>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</si>
  <si>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</si>
  <si>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</si>
  <si>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</si>
  <si>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</si>
  <si>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</si>
  <si>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</si>
  <si>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</si>
  <si>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</si>
  <si>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</si>
  <si>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</si>
  <si>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</si>
  <si>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</si>
  <si>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</si>
  <si>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</si>
  <si>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</si>
  <si>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</si>
  <si>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</si>
  <si>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</si>
  <si>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</si>
  <si>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</si>
  <si>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</si>
  <si>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</si>
  <si>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</si>
  <si>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</si>
  <si>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</si>
  <si>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</si>
  <si>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</si>
  <si>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</si>
  <si>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</si>
  <si>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</si>
  <si>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</si>
  <si>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</si>
  <si>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</si>
  <si>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</si>
  <si>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</si>
  <si>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</si>
  <si>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</si>
  <si>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</si>
  <si>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</si>
  <si>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</si>
  <si>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</si>
  <si>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</si>
  <si>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</si>
  <si>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</si>
  <si>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</si>
  <si>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</si>
  <si>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</si>
  <si>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</si>
  <si>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</si>
  <si>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</si>
  <si>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</si>
  <si>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</si>
  <si>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</si>
  <si>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</si>
  <si>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</si>
  <si>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</si>
  <si>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</si>
  <si>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</si>
  <si>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</si>
  <si>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</si>
  <si>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</si>
  <si>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</si>
  <si>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</si>
  <si>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</si>
  <si>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</si>
  <si>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</si>
  <si>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</si>
  <si>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</si>
  <si>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</si>
  <si>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</si>
  <si>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</si>
  <si>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</si>
  <si>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</si>
  <si>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</si>
  <si>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</si>
  <si>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</si>
  <si>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</si>
  <si>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</si>
  <si>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</si>
  <si>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</si>
  <si>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</si>
  <si>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</si>
  <si>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</si>
  <si>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</si>
  <si>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</si>
  <si>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</si>
  <si>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</si>
  <si>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</si>
  <si>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</si>
  <si>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</si>
  <si>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</si>
  <si>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</si>
  <si>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</si>
  <si>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</si>
  <si>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</si>
  <si>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</si>
  <si>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</si>
  <si>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</si>
  <si>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</si>
  <si>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</si>
  <si>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</si>
  <si>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</si>
  <si>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</si>
  <si>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</si>
  <si>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</si>
  <si>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</si>
  <si>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</si>
  <si>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</si>
  <si>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</si>
  <si>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</si>
  <si>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</si>
  <si>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</si>
  <si>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</si>
  <si>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</si>
  <si>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</si>
  <si>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</si>
  <si>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</si>
  <si>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</si>
  <si>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</si>
  <si>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</si>
  <si>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</si>
  <si>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</si>
  <si>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</si>
  <si>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</si>
  <si>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</si>
  <si>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</si>
  <si>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</si>
  <si>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</si>
  <si>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</si>
  <si>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</si>
  <si>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</si>
  <si>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</si>
  <si>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</si>
  <si>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</si>
  <si>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</si>
  <si>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</si>
  <si>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</si>
  <si>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</si>
  <si>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</si>
  <si>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</si>
  <si>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</si>
  <si>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</si>
  <si>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</si>
  <si>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</si>
  <si>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</si>
  <si>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</si>
  <si>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</si>
  <si>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</si>
  <si>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</si>
  <si>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</si>
  <si>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</si>
  <si>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</si>
  <si>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</si>
  <si>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</si>
  <si>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</si>
  <si>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</si>
  <si>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</si>
  <si>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</si>
  <si>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</si>
  <si>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</si>
  <si>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</si>
  <si>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</si>
  <si>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</si>
  <si>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</si>
  <si>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</si>
  <si>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</si>
  <si>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</si>
  <si>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</si>
  <si>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</si>
  <si>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</si>
  <si>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</si>
  <si>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</si>
  <si>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</si>
  <si>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</si>
  <si>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</si>
  <si>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</si>
  <si>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</si>
  <si>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</si>
  <si>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</si>
  <si>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</si>
  <si>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</si>
  <si>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</si>
  <si>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</si>
  <si>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</si>
  <si>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</si>
  <si>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</si>
  <si>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</si>
  <si>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</si>
  <si>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</si>
  <si>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</si>
  <si>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</si>
  <si>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</si>
  <si>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</si>
  <si>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</si>
  <si>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</si>
  <si>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</si>
  <si>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</si>
  <si>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</si>
  <si>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</si>
  <si>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</si>
  <si>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</si>
  <si>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</si>
  <si>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</si>
  <si>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</si>
  <si>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</si>
  <si>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</si>
  <si>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</si>
  <si>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</si>
  <si>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</si>
  <si>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</si>
  <si>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</si>
  <si>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</si>
  <si>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</si>
  <si>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</si>
  <si>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</si>
  <si>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</si>
  <si>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</si>
  <si>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</si>
  <si>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</si>
  <si>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</si>
  <si>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</si>
  <si>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</si>
  <si>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</si>
  <si>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</si>
  <si>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</si>
  <si>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</si>
  <si>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</si>
  <si>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</si>
  <si>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</si>
  <si>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</si>
  <si>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</si>
  <si>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</si>
  <si>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</si>
  <si>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</si>
  <si>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</si>
  <si>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</si>
  <si>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</si>
  <si>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</si>
  <si>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</si>
  <si>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</si>
  <si>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</si>
  <si>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</si>
  <si>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</si>
  <si>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</si>
  <si>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</si>
  <si>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</si>
  <si>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</si>
  <si>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</si>
  <si>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</si>
  <si>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</si>
  <si>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</si>
  <si>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</si>
  <si>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</si>
  <si>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</si>
  <si>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</si>
  <si>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</si>
  <si>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</si>
  <si>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</si>
  <si>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</si>
  <si>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</si>
  <si>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</si>
  <si>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</si>
  <si>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</si>
  <si>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</si>
  <si>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</si>
  <si>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</si>
  <si>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</si>
  <si>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</si>
  <si>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</si>
  <si>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</si>
  <si>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</si>
  <si>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</si>
  <si>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</si>
  <si>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</si>
  <si>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</si>
  <si>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</si>
  <si>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</si>
  <si>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</si>
  <si>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</si>
  <si>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</si>
  <si>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</si>
  <si>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</si>
  <si>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</si>
  <si>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</si>
  <si>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</si>
  <si>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</si>
  <si>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</si>
  <si>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</si>
  <si>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</si>
  <si>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</si>
  <si>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</si>
  <si>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</si>
  <si>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</si>
  <si>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</si>
  <si>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</si>
  <si>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</si>
  <si>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</si>
  <si>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</si>
  <si>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</si>
  <si>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</si>
  <si>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</si>
  <si>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</si>
  <si>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</si>
  <si>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</si>
  <si>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</si>
  <si>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</si>
  <si>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</si>
  <si>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</si>
  <si>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</si>
  <si>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</si>
  <si>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</si>
  <si>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</si>
  <si>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</si>
  <si>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</si>
  <si>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</si>
  <si>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</si>
  <si>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</si>
  <si>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</si>
  <si>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</si>
  <si>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</si>
  <si>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</si>
  <si>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</si>
  <si>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</si>
  <si>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</si>
  <si>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</si>
  <si>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</si>
  <si>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</si>
  <si>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</si>
  <si>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</si>
  <si>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</si>
  <si>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</si>
  <si>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</si>
  <si>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</si>
  <si>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</si>
  <si>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</si>
  <si>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</si>
  <si>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</si>
  <si>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</si>
  <si>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</si>
  <si>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</si>
  <si>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</si>
  <si>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</si>
  <si>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</si>
  <si>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</si>
  <si>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</si>
  <si>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</si>
  <si>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</si>
  <si>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</si>
  <si>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</si>
  <si>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</si>
  <si>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</si>
  <si>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</si>
  <si>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</si>
  <si>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</si>
  <si>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</si>
  <si>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</si>
  <si>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</si>
  <si>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</si>
  <si>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</si>
  <si>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</si>
  <si>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</si>
  <si>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</si>
  <si>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</si>
  <si>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</si>
  <si>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</si>
  <si>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</si>
  <si>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</si>
  <si>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</si>
  <si>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</si>
  <si>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</si>
  <si>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</si>
  <si>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</si>
  <si>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</si>
  <si>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</si>
  <si>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</si>
  <si>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</si>
  <si>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</si>
  <si>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</si>
  <si>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</si>
  <si>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</si>
  <si>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</si>
  <si>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</si>
  <si>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</si>
  <si>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</si>
  <si>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</si>
  <si>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</si>
  <si>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</si>
  <si>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</si>
  <si>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</si>
  <si>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</si>
  <si>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</si>
  <si>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</si>
  <si>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</si>
  <si>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</si>
  <si>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</si>
  <si>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</si>
  <si>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</si>
  <si>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</si>
  <si>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</si>
  <si>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</si>
  <si>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</si>
  <si>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</si>
  <si>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</si>
  <si>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</si>
  <si>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</si>
  <si>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</si>
  <si>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</si>
  <si>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</si>
  <si>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</si>
  <si>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</si>
  <si>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</si>
  <si>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</si>
  <si>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</si>
  <si>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</si>
  <si>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</si>
  <si>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</si>
  <si>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</si>
  <si>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</si>
  <si>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</si>
  <si>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</si>
  <si>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</si>
  <si>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</si>
  <si>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</si>
  <si>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</si>
  <si>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</si>
  <si>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</si>
  <si>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</si>
  <si>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</si>
  <si>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</si>
  <si>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</si>
  <si>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</si>
  <si>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</si>
  <si>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</si>
  <si>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</si>
  <si>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</si>
  <si>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</si>
  <si>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</si>
  <si>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</si>
  <si>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</si>
  <si>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</si>
  <si>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</si>
  <si>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</si>
  <si>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</si>
  <si>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</si>
  <si>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</si>
  <si>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</si>
  <si>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</si>
  <si>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</si>
  <si>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</si>
  <si>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</si>
  <si>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</si>
  <si>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</si>
  <si>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</si>
  <si>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</si>
  <si>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</si>
  <si>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</si>
  <si>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</si>
  <si>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</si>
  <si>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</si>
  <si>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</si>
  <si>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</si>
  <si>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</si>
  <si>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</si>
  <si>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</si>
  <si>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</si>
  <si>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</si>
  <si>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</si>
  <si>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</si>
  <si>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</si>
  <si>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</si>
  <si>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</si>
  <si>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</si>
  <si>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</si>
  <si>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</si>
  <si>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</si>
  <si>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</si>
  <si>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</si>
  <si>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</si>
  <si>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</si>
  <si>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</si>
  <si>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</si>
  <si>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</si>
  <si>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</si>
  <si>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</si>
  <si>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</si>
  <si>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</si>
  <si>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</si>
  <si>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</si>
  <si>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</si>
  <si>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</si>
  <si>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</si>
  <si>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</si>
  <si>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</si>
  <si>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</si>
  <si>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</si>
  <si>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</si>
  <si>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</si>
  <si>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</si>
  <si>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</si>
  <si>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</si>
  <si>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</si>
  <si>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</si>
  <si>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</si>
  <si>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</si>
  <si>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</si>
  <si>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</si>
  <si>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</si>
  <si>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</si>
  <si>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</si>
  <si>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</si>
  <si>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</si>
  <si>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</si>
  <si>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</si>
  <si>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</si>
  <si>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</si>
  <si>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</si>
  <si>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</si>
  <si>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</si>
  <si>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</si>
  <si>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</si>
  <si>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</si>
  <si>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</si>
  <si>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</si>
  <si>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</si>
  <si>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</si>
  <si>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</si>
  <si>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</si>
  <si>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</si>
  <si>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</si>
  <si>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</si>
  <si>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</si>
  <si>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</si>
  <si>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</si>
  <si>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</si>
  <si>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</si>
  <si>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</si>
  <si>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</si>
  <si>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</si>
  <si>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</si>
  <si>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</si>
  <si>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</si>
  <si>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</si>
  <si>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</si>
  <si>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</si>
  <si>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</si>
  <si>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</si>
  <si>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</si>
  <si>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</si>
  <si>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</si>
  <si>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</si>
  <si>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</si>
  <si>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</si>
  <si>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</si>
  <si>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</si>
  <si>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</si>
  <si>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</si>
  <si>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</si>
  <si>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</si>
  <si>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</si>
  <si>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</si>
  <si>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</si>
  <si>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</si>
  <si>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</si>
  <si>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</si>
  <si>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</si>
  <si>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</si>
  <si>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</si>
  <si>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</si>
  <si>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</si>
  <si>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</si>
  <si>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</si>
  <si>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</si>
  <si>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</si>
  <si>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</si>
  <si>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</si>
  <si>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</si>
  <si>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</si>
  <si>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</si>
  <si>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</si>
  <si>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</si>
  <si>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</si>
  <si>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</si>
  <si>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</si>
  <si>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</si>
  <si>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</si>
  <si>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</si>
  <si>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</si>
  <si>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</si>
  <si>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</si>
  <si>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</si>
  <si>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</si>
  <si>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</si>
  <si>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</si>
  <si>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</si>
  <si>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</si>
  <si>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</si>
  <si>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</si>
  <si>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</si>
  <si>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</si>
  <si>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</si>
  <si>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</si>
  <si>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</si>
  <si>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</si>
  <si>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</si>
  <si>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</si>
  <si>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</si>
  <si>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</si>
  <si>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</si>
  <si>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</si>
  <si>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</si>
  <si>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</si>
  <si>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</si>
  <si>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</si>
  <si>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</si>
  <si>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</si>
  <si>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</si>
  <si>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</si>
  <si>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</si>
  <si>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</si>
  <si>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</si>
  <si>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</si>
  <si>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</si>
  <si>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</si>
  <si>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</si>
  <si>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</si>
  <si>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</si>
  <si>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</si>
  <si>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</si>
  <si>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</si>
  <si>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</si>
  <si>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</si>
  <si>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</si>
  <si>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</si>
  <si>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</si>
  <si>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</si>
  <si>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</si>
  <si>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</si>
  <si>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</si>
  <si>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</si>
  <si>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</si>
  <si>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</si>
  <si>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</si>
  <si>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</si>
  <si>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</si>
  <si>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</si>
  <si>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</si>
  <si>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</si>
  <si>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</si>
  <si>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</si>
  <si>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</si>
  <si>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</si>
  <si>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</si>
  <si>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</si>
  <si>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</si>
  <si>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</si>
  <si>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</si>
  <si>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</si>
  <si>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</si>
  <si>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</si>
  <si>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</si>
  <si>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</si>
  <si>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</si>
  <si>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</si>
  <si>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</si>
  <si>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</si>
  <si>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</si>
  <si>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</si>
  <si>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</si>
  <si>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</si>
  <si>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</si>
  <si>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</si>
  <si>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</si>
  <si>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</si>
  <si>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</si>
  <si>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</si>
  <si>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</si>
  <si>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</si>
  <si>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</si>
  <si>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</si>
  <si>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</si>
  <si>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</si>
  <si>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</si>
  <si>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</si>
  <si>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</si>
  <si>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</si>
  <si>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</si>
  <si>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</si>
  <si>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</si>
  <si>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</si>
  <si>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</si>
  <si>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</si>
  <si>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</si>
  <si>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</si>
  <si>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</si>
  <si>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</si>
  <si>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</si>
  <si>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</si>
  <si>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</si>
  <si>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</si>
  <si>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</si>
  <si>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</si>
  <si>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</si>
  <si>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</si>
  <si>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</si>
  <si>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</si>
  <si>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</si>
  <si>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</si>
  <si>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</si>
  <si>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</si>
  <si>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</si>
  <si>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</si>
  <si>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</si>
  <si>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</si>
  <si>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</si>
  <si>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</si>
  <si>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</si>
  <si>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</si>
  <si>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</si>
  <si>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</si>
  <si>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</si>
  <si>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</si>
  <si>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</si>
  <si>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</si>
  <si>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</si>
  <si>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</si>
  <si>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</si>
  <si>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</si>
  <si>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</si>
  <si>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</si>
  <si>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</si>
  <si>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</si>
  <si>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</si>
  <si>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</si>
  <si>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</si>
  <si>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</si>
  <si>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</si>
  <si>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</si>
  <si>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</si>
  <si>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</si>
  <si>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</si>
  <si>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</si>
  <si>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</si>
  <si>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</si>
  <si>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</si>
  <si>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</si>
  <si>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</si>
  <si>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</si>
  <si>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</si>
  <si>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</si>
  <si>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</si>
  <si>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</si>
  <si>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</si>
  <si>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</si>
  <si>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</si>
  <si>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</si>
  <si>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</si>
  <si>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</si>
  <si>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</si>
  <si>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</si>
  <si>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</si>
  <si>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</si>
  <si>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</si>
  <si>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</si>
  <si>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</si>
  <si>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</si>
  <si>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</si>
  <si>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</si>
  <si>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</si>
  <si>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</si>
  <si>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</si>
  <si>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</si>
  <si>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</si>
  <si>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</si>
  <si>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</si>
  <si>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</si>
  <si>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</si>
  <si>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</si>
  <si>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</si>
  <si>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</si>
  <si>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</si>
  <si>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</si>
  <si>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</si>
  <si>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</si>
  <si>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</si>
  <si>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</si>
  <si>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</si>
  <si>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</si>
  <si>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</si>
  <si>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</si>
  <si>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</si>
  <si>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</si>
  <si>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</si>
  <si>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</si>
  <si>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</si>
  <si>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</si>
  <si>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</si>
  <si>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</si>
  <si>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</si>
  <si>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</si>
  <si>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</si>
  <si>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</si>
  <si>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</si>
  <si>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</si>
  <si>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</si>
  <si>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</si>
  <si>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</si>
  <si>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</si>
  <si>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</si>
  <si>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</si>
  <si>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</si>
  <si>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</si>
  <si>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</si>
  <si>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</si>
  <si>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</si>
  <si>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</si>
  <si>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</si>
  <si>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</si>
  <si>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</si>
  <si>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</si>
  <si>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</si>
  <si>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</si>
  <si>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</si>
  <si>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</si>
  <si>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</si>
  <si>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</si>
  <si>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</si>
  <si>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</si>
  <si>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</si>
  <si>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</si>
  <si>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</si>
  <si>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</si>
  <si>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</si>
  <si>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</si>
  <si>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</si>
  <si>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</si>
  <si>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</si>
  <si>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</si>
  <si>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</si>
  <si>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</si>
  <si>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</si>
  <si>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</si>
  <si>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</si>
  <si>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</si>
  <si>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</si>
  <si>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</si>
  <si>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</si>
  <si>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</si>
  <si>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</si>
  <si>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</si>
  <si>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</si>
  <si>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</si>
  <si>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</si>
  <si>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</si>
  <si>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</si>
  <si>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</si>
  <si>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</si>
  <si>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</si>
  <si>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</si>
  <si>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</si>
  <si>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</si>
  <si>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</si>
  <si>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</si>
  <si>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</si>
  <si>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</si>
  <si>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</si>
  <si>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</si>
  <si>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</si>
  <si>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</si>
  <si>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</si>
  <si>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</si>
  <si>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</si>
  <si>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</si>
  <si>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</si>
  <si>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</si>
  <si>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</si>
  <si>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</si>
  <si>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</si>
  <si>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</si>
  <si>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</si>
  <si>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</si>
  <si>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</si>
  <si>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</si>
  <si>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</si>
  <si>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</si>
  <si>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</si>
  <si>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</si>
  <si>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</si>
  <si>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</si>
  <si>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</si>
  <si>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</si>
  <si>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</si>
  <si>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</si>
  <si>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</si>
  <si>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</si>
  <si>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</si>
  <si>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</si>
  <si>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</si>
  <si>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</si>
  <si>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</si>
  <si>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</si>
  <si>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</si>
  <si>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</si>
  <si>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</si>
  <si>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</si>
  <si>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</si>
  <si>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</si>
  <si>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</si>
  <si>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</si>
  <si>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</si>
  <si>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</si>
  <si>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</si>
  <si>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</si>
  <si>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</si>
  <si>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</si>
  <si>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</si>
  <si>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</si>
  <si>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</si>
  <si>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</si>
  <si>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</si>
  <si>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</si>
  <si>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</si>
  <si>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</si>
  <si>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</si>
  <si>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</si>
  <si>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</si>
  <si>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</si>
  <si>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</si>
  <si>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</si>
  <si>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</si>
  <si>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</si>
  <si>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</si>
  <si>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</si>
  <si>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</si>
  <si>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</si>
  <si>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</si>
  <si>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</si>
  <si>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</si>
  <si>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</si>
  <si>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</si>
  <si>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</si>
  <si>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</si>
  <si>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</si>
  <si>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</si>
  <si>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</si>
  <si>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</si>
  <si>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</si>
  <si>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</si>
  <si>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</si>
  <si>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</si>
  <si>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</si>
  <si>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</si>
  <si>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</si>
  <si>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</si>
  <si>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</si>
  <si>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</si>
  <si>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</si>
  <si>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</si>
  <si>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</si>
  <si>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</si>
  <si>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</si>
  <si>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</si>
  <si>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</si>
  <si>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</si>
  <si>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</si>
  <si>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</si>
  <si>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</si>
  <si>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</si>
  <si>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</si>
  <si>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</si>
  <si>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</si>
  <si>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</si>
  <si>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</si>
  <si>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</si>
  <si>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</si>
  <si>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</si>
  <si>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</si>
  <si>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</si>
  <si>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</si>
  <si>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</si>
  <si>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</si>
  <si>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</si>
  <si>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</si>
  <si>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</si>
  <si>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</si>
  <si>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</si>
  <si>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</si>
  <si>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</si>
  <si>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</si>
  <si>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</si>
  <si>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</si>
  <si>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</si>
  <si>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</si>
  <si>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</si>
  <si>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</si>
  <si>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</si>
  <si>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</si>
  <si>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</si>
  <si>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</si>
  <si>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</si>
  <si>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</si>
  <si>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</si>
  <si>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</si>
  <si>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</si>
  <si>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</si>
  <si>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</si>
  <si>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</si>
  <si>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</si>
  <si>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</si>
  <si>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</si>
  <si>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</si>
  <si>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</si>
  <si>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</si>
  <si>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</si>
  <si>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</si>
  <si>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</si>
  <si>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</si>
  <si>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</si>
  <si>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</si>
  <si>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</si>
  <si>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</si>
  <si>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</si>
  <si>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</si>
  <si>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</si>
  <si>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</si>
  <si>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</si>
  <si>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</si>
  <si>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</si>
  <si>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</si>
  <si>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</si>
  <si>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</si>
  <si>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</si>
  <si>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</si>
  <si>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</si>
  <si>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</si>
  <si>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</si>
  <si>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</si>
  <si>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</si>
  <si>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</si>
  <si>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</si>
  <si>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</si>
  <si>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</si>
  <si>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</si>
  <si>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</si>
  <si>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</si>
  <si>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</si>
  <si>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</si>
  <si>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</si>
  <si>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</si>
  <si>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</si>
  <si>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</si>
  <si>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</si>
  <si>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</si>
  <si>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</si>
  <si>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</si>
  <si>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</si>
  <si>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</si>
  <si>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</si>
  <si>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</si>
  <si>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</si>
  <si>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</si>
  <si>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</si>
  <si>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</si>
  <si>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</si>
  <si>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</si>
  <si>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</si>
  <si>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</si>
  <si>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</si>
  <si>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</si>
  <si>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</si>
  <si>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</si>
  <si>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</si>
  <si>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</si>
  <si>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</si>
  <si>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</si>
  <si>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</si>
  <si>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</si>
  <si>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</si>
  <si>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</si>
  <si>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</si>
  <si>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</si>
  <si>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</si>
  <si>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</si>
  <si>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</si>
  <si>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</si>
  <si>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</si>
  <si>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</si>
  <si>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</si>
  <si>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</si>
  <si>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</si>
  <si>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</si>
  <si>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</si>
  <si>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</si>
  <si>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</si>
  <si>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</si>
  <si>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</si>
  <si>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</si>
  <si>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</si>
  <si>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</si>
  <si>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</si>
  <si>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</si>
  <si>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</si>
  <si>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</si>
  <si>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</si>
  <si>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</si>
  <si>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</si>
  <si>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</si>
  <si>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</si>
  <si>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</si>
  <si>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</si>
  <si>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</si>
  <si>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</si>
  <si>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</si>
  <si>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</si>
  <si>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</si>
  <si>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</si>
  <si>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</si>
  <si>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</si>
  <si>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</si>
  <si>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</si>
  <si>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</si>
  <si>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</si>
  <si>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</si>
  <si>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</si>
  <si>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</si>
  <si>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</si>
  <si>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</si>
  <si>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</si>
  <si>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</si>
  <si>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</si>
  <si>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</si>
  <si>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</si>
  <si>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</si>
  <si>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</si>
  <si>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</si>
  <si>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</si>
  <si>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</si>
  <si>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</si>
  <si>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</si>
  <si>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</si>
  <si>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</si>
  <si>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</si>
  <si>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</si>
  <si>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</si>
  <si>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</si>
  <si>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</si>
  <si>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</si>
  <si>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</si>
  <si>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</si>
  <si>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</si>
  <si>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</si>
  <si>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</si>
  <si>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</si>
  <si>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</si>
  <si>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</si>
  <si>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</si>
  <si>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</si>
  <si>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</si>
  <si>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</si>
  <si>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</si>
  <si>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</si>
  <si>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</si>
  <si>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</si>
  <si>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</si>
  <si>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</si>
  <si>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</si>
  <si>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</si>
  <si>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</si>
  <si>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</si>
  <si>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</si>
  <si>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</si>
  <si>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</si>
  <si>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</si>
  <si>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</si>
  <si>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</si>
  <si>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</si>
  <si>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</si>
  <si>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</si>
  <si>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</si>
  <si>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</si>
  <si>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</si>
  <si>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</si>
  <si>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</si>
  <si>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</si>
  <si>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</si>
  <si>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</si>
  <si>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</si>
  <si>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</si>
  <si>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</si>
  <si>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</si>
  <si>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</si>
  <si>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</si>
  <si>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</si>
  <si>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</si>
  <si>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</si>
  <si>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</si>
  <si>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</si>
  <si>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</si>
  <si>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</si>
  <si>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</si>
  <si>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</si>
  <si>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</si>
  <si>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</si>
  <si>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</si>
  <si>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</si>
  <si>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</si>
  <si>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</si>
  <si>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</si>
  <si>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</si>
  <si>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</si>
  <si>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</si>
  <si>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</si>
  <si>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</si>
  <si>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</si>
  <si>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</si>
  <si>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</si>
  <si>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</si>
  <si>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</si>
  <si>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</si>
  <si>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</si>
  <si>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</si>
  <si>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</si>
  <si>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</si>
  <si>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</si>
  <si>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</si>
  <si>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</si>
  <si>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</si>
  <si>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</si>
  <si>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</si>
  <si>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</si>
  <si>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</si>
  <si>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</si>
  <si>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</si>
  <si>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</si>
  <si>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</si>
  <si>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</si>
  <si>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</si>
  <si>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</si>
  <si>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</si>
  <si>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</si>
  <si>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</si>
  <si>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</si>
  <si>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</si>
  <si>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</si>
  <si>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</si>
  <si>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</si>
  <si>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</si>
  <si>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</si>
  <si>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</si>
  <si>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</si>
  <si>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</si>
  <si>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</si>
  <si>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</si>
  <si>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</si>
  <si>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</si>
  <si>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</si>
  <si>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</si>
  <si>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</si>
  <si>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</si>
  <si>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</si>
  <si>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</si>
  <si>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</si>
  <si>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</si>
  <si>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</si>
  <si>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</si>
  <si>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</si>
  <si>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</si>
  <si>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</si>
  <si>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</si>
  <si>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</si>
  <si>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</si>
  <si>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</si>
  <si>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</si>
  <si>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</si>
  <si>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</si>
  <si>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</si>
  <si>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</si>
  <si>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</si>
  <si>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</si>
  <si>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</si>
  <si>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</si>
  <si>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</si>
  <si>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</si>
  <si>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</si>
  <si>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</si>
  <si>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</si>
  <si>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</si>
  <si>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</si>
  <si>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</si>
  <si>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</si>
  <si>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</si>
  <si>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</si>
  <si>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</si>
  <si>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</si>
  <si>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</si>
  <si>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</si>
  <si>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</si>
  <si>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</si>
  <si>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</si>
  <si>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</si>
  <si>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</si>
  <si>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</si>
  <si>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</si>
  <si>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</si>
  <si>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</si>
  <si>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</si>
  <si>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</si>
  <si>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</si>
  <si>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</si>
  <si>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</si>
  <si>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</si>
  <si>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</si>
  <si>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</si>
  <si>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</si>
  <si>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</si>
  <si>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</si>
  <si>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</si>
  <si>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</si>
  <si>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</si>
  <si>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</si>
  <si>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</si>
  <si>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</si>
  <si>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</si>
  <si>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</si>
  <si>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</si>
  <si>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</si>
  <si>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</si>
  <si>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</si>
  <si>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</si>
  <si>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</si>
  <si>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</si>
  <si>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</si>
  <si>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</si>
  <si>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</si>
  <si>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</si>
  <si>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</si>
  <si>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</si>
  <si>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</si>
  <si>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</si>
  <si>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</si>
  <si>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</si>
  <si>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</si>
  <si>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</si>
  <si>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</si>
  <si>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</si>
  <si>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</si>
  <si>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</si>
  <si>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</si>
  <si>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</si>
  <si>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</si>
  <si>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</si>
  <si>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</si>
  <si>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</si>
  <si>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</si>
  <si>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</si>
  <si>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</si>
  <si>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</si>
  <si>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</si>
  <si>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</si>
  <si>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</si>
  <si>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</si>
  <si>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</si>
  <si>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</si>
  <si>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</si>
  <si>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</si>
  <si>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</si>
  <si>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</si>
  <si>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</si>
  <si>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</si>
  <si>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</si>
  <si>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</si>
  <si>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</si>
  <si>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</si>
  <si>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</si>
  <si>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</si>
  <si>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</si>
  <si>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</si>
  <si>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</si>
  <si>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</si>
  <si>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</si>
  <si>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</si>
  <si>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</si>
  <si>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</si>
  <si>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</si>
  <si>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</si>
  <si>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</si>
  <si>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</si>
  <si>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</si>
  <si>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</si>
  <si>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</si>
  <si>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</si>
  <si>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</si>
  <si>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</si>
  <si>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</si>
  <si>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</si>
  <si>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</si>
  <si>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</si>
  <si>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</si>
  <si>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</si>
  <si>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</si>
  <si>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</si>
  <si>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</si>
  <si>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</si>
  <si>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</si>
  <si>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</si>
  <si>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</si>
  <si>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</si>
  <si>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</si>
  <si>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</si>
  <si>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</si>
  <si>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</si>
  <si>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</si>
  <si>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</si>
  <si>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</si>
  <si>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</si>
  <si>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</si>
  <si>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</si>
  <si>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</si>
  <si>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</si>
  <si>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</si>
  <si>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</si>
  <si>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</si>
  <si>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</si>
  <si>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</si>
  <si>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</si>
  <si>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</si>
  <si>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</si>
  <si>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</si>
  <si>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</si>
  <si>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</si>
  <si>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</si>
  <si>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</si>
  <si>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</si>
  <si>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</si>
  <si>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</si>
  <si>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</si>
  <si>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</si>
  <si>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</si>
  <si>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</si>
  <si>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</si>
  <si>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</si>
  <si>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</si>
  <si>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</si>
  <si>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</si>
  <si>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</si>
  <si>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</si>
  <si>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</si>
  <si>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</si>
  <si>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</si>
  <si>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</si>
  <si>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</si>
  <si>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</si>
  <si>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</si>
  <si>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</si>
  <si>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</si>
  <si>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</si>
  <si>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</si>
  <si>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</si>
  <si>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</si>
  <si>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</si>
  <si>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</si>
  <si>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</si>
  <si>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</si>
  <si>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</si>
  <si>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</si>
  <si>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</si>
  <si>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</si>
  <si>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</si>
  <si>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</si>
  <si>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</si>
  <si>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</si>
  <si>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</si>
  <si>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</si>
  <si>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</si>
  <si>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</si>
  <si>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</si>
  <si>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</si>
  <si>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</si>
  <si>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</si>
  <si>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</si>
  <si>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</si>
  <si>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</si>
  <si>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</si>
  <si>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</si>
  <si>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</si>
  <si>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</si>
  <si>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</si>
  <si>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</si>
  <si>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</si>
  <si>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</si>
  <si>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</si>
  <si>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</si>
  <si>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</si>
  <si>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</si>
  <si>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</si>
  <si>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</si>
  <si>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</si>
  <si>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</si>
  <si>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</si>
  <si>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</si>
  <si>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</si>
  <si>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</si>
  <si>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</si>
  <si>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</si>
  <si>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</si>
  <si>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</si>
  <si>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</si>
  <si>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</si>
  <si>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</si>
  <si>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</si>
  <si>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</si>
  <si>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</si>
  <si>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</si>
  <si>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</si>
  <si>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</si>
  <si>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</si>
  <si>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</si>
  <si>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</si>
  <si>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</si>
  <si>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</si>
  <si>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</si>
  <si>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</si>
  <si>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</si>
  <si>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</si>
  <si>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</si>
  <si>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</si>
  <si>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</si>
  <si>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</si>
  <si>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</si>
  <si>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</si>
  <si>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</si>
  <si>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</si>
  <si>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</si>
  <si>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</si>
  <si>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</si>
  <si>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</si>
  <si>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</si>
  <si>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</si>
  <si>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</si>
  <si>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</si>
  <si>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</si>
  <si>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</si>
  <si>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</si>
  <si>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</si>
  <si>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</si>
  <si>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</si>
  <si>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</si>
  <si>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</si>
  <si>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</si>
  <si>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</si>
  <si>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</si>
  <si>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</si>
  <si>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</si>
  <si>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</si>
  <si>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</si>
  <si>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</si>
  <si>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</si>
  <si>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</si>
  <si>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</si>
  <si>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</si>
  <si>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</si>
  <si>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</si>
  <si>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</si>
  <si>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</si>
  <si>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</si>
  <si>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</si>
  <si>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</si>
  <si>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</si>
  <si>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</si>
  <si>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</si>
  <si>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</si>
  <si>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</si>
  <si>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</si>
  <si>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</si>
  <si>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</si>
  <si>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</si>
  <si>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</si>
  <si>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</si>
  <si>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</si>
  <si>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</si>
  <si>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</si>
  <si>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</si>
  <si>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</si>
  <si>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</si>
  <si>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</si>
  <si>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</si>
  <si>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</si>
  <si>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</si>
  <si>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</si>
  <si>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</si>
  <si>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</si>
  <si>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</si>
  <si>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</si>
  <si>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</si>
  <si>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</si>
  <si>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</si>
  <si>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</si>
  <si>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</si>
  <si>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</si>
  <si>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</si>
  <si>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</si>
  <si>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</si>
  <si>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</si>
  <si>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</si>
  <si>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</si>
  <si>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</si>
  <si>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</si>
  <si>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</si>
  <si>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</si>
  <si>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</si>
  <si>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</si>
  <si>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</si>
  <si>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</si>
  <si>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</si>
  <si>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</si>
  <si>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</si>
  <si>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</si>
  <si>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</si>
  <si>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</si>
  <si>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</si>
  <si>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</si>
  <si>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</si>
  <si>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</si>
  <si>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</si>
  <si>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</si>
  <si>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</si>
  <si>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</si>
  <si>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</si>
  <si>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</si>
  <si>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</si>
  <si>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</si>
  <si>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</si>
  <si>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</si>
  <si>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</si>
  <si>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</si>
  <si>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</si>
  <si>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</si>
  <si>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</si>
  <si>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</si>
  <si>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</si>
  <si>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</si>
  <si>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</si>
  <si>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</si>
  <si>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</si>
  <si>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</si>
  <si>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</si>
  <si>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</si>
  <si>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</si>
  <si>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</si>
  <si>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</si>
  <si>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</si>
  <si>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</si>
  <si>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</si>
  <si>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</si>
  <si>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</si>
  <si>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</si>
  <si>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</si>
  <si>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</si>
  <si>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</si>
  <si>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</si>
  <si>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</si>
  <si>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</si>
  <si>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</si>
  <si>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</si>
  <si>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</si>
  <si>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</si>
  <si>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</si>
  <si>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</si>
  <si>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</si>
  <si>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</si>
  <si>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</si>
  <si>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</si>
  <si>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</si>
  <si>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</si>
  <si>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</si>
  <si>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</si>
  <si>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</si>
  <si>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</si>
  <si>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</si>
  <si>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</si>
  <si>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</si>
  <si>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</si>
  <si>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</si>
  <si>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</si>
  <si>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</si>
  <si>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</si>
  <si>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</si>
  <si>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</si>
  <si>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</si>
  <si>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</si>
  <si>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</si>
  <si>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</si>
  <si>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</si>
  <si>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</si>
  <si>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</si>
  <si>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</si>
  <si>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</si>
  <si>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</si>
  <si>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</si>
  <si>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</si>
  <si>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</si>
  <si>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</si>
  <si>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</si>
  <si>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</si>
  <si>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</si>
  <si>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</si>
  <si>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</si>
  <si>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</si>
  <si>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</si>
  <si>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</si>
  <si>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</si>
  <si>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</si>
  <si>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</si>
  <si>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</si>
  <si>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</si>
  <si>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</si>
  <si>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</si>
  <si>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</si>
  <si>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</si>
  <si>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</si>
  <si>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</si>
  <si>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</si>
  <si>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</si>
  <si>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</si>
  <si>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</si>
  <si>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</si>
  <si>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</si>
  <si>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</si>
  <si>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</si>
  <si>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</si>
  <si>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</si>
  <si>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</si>
  <si>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</si>
  <si>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</si>
  <si>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</si>
  <si>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</si>
  <si>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</si>
  <si>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</si>
  <si>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</si>
  <si>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</si>
  <si>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</si>
  <si>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</si>
  <si>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</si>
  <si>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</si>
  <si>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</si>
  <si>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</si>
  <si>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</si>
  <si>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</si>
  <si>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</si>
  <si>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</si>
  <si>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</si>
  <si>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</si>
  <si>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</si>
  <si>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</si>
  <si>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</si>
  <si>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</si>
  <si>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</si>
  <si>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</si>
  <si>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</si>
  <si>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</si>
  <si>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</si>
  <si>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</si>
  <si>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</si>
  <si>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</si>
  <si>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</si>
  <si>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</si>
  <si>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</si>
  <si>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</si>
  <si>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</si>
  <si>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</si>
  <si>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</si>
  <si>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</si>
  <si>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</si>
  <si>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</si>
  <si>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</si>
  <si>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</si>
  <si>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</si>
  <si>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</si>
  <si>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</si>
  <si>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</si>
  <si>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</si>
  <si>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</si>
  <si>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</si>
  <si>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</si>
  <si>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</si>
  <si>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</si>
  <si>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</si>
  <si>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</si>
  <si>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</si>
  <si>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</si>
  <si>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</si>
  <si>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</si>
  <si>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</si>
  <si>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</si>
  <si>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</si>
  <si>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</si>
  <si>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</si>
  <si>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</si>
  <si>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</si>
  <si>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</si>
  <si>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</si>
  <si>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</si>
  <si>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</si>
  <si>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</si>
  <si>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</si>
  <si>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</si>
  <si>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</si>
  <si>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</si>
  <si>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</si>
  <si>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</si>
  <si>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</si>
  <si>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</si>
  <si>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</si>
  <si>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</si>
  <si>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</si>
  <si>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</si>
  <si>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</si>
  <si>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</si>
  <si>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</si>
  <si>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</si>
  <si>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</si>
  <si>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</si>
  <si>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</si>
  <si>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</si>
  <si>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</si>
  <si>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</si>
  <si>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</si>
  <si>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</si>
  <si>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</si>
  <si>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</si>
  <si>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</si>
  <si>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</si>
  <si>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</si>
  <si>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</si>
  <si>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</si>
  <si>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</si>
  <si>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</si>
  <si>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</si>
  <si>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</si>
  <si>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</si>
  <si>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</si>
  <si>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</si>
  <si>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</si>
  <si>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</si>
  <si>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</si>
  <si>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</si>
  <si>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</si>
  <si>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</si>
  <si>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</si>
  <si>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</si>
  <si>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</si>
  <si>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</si>
  <si>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</si>
  <si>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</si>
  <si>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</si>
  <si>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</si>
  <si>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</si>
  <si>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</si>
  <si>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</si>
  <si>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</si>
  <si>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</si>
  <si>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</si>
  <si>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</si>
  <si>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</si>
  <si>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</si>
  <si>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</si>
  <si>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</si>
  <si>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</si>
  <si>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</si>
  <si>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</si>
  <si>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</si>
  <si>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</si>
  <si>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</si>
  <si>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</si>
  <si>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</si>
  <si>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</si>
  <si>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</si>
  <si>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</si>
  <si>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</si>
  <si>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</si>
  <si>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</si>
  <si>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</si>
  <si>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</si>
  <si>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</si>
  <si>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</si>
  <si>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</si>
  <si>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</si>
  <si>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</si>
  <si>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</si>
  <si>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</si>
  <si>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</si>
  <si>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</si>
  <si>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</si>
  <si>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</si>
  <si>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</si>
  <si>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</si>
  <si>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</si>
  <si>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</si>
  <si>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</si>
  <si>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</si>
  <si>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</si>
  <si>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</si>
  <si>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</si>
  <si>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</si>
  <si>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</si>
  <si>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</si>
  <si>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</si>
  <si>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</si>
  <si>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</si>
  <si>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</si>
  <si>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</si>
  <si>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</si>
  <si>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</si>
  <si>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</si>
  <si>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</si>
  <si>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</si>
  <si>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</si>
  <si>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</si>
  <si>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</si>
  <si>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</si>
  <si>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</si>
  <si>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</si>
  <si>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</si>
  <si>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</si>
  <si>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</si>
  <si>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</si>
  <si>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</si>
  <si>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</si>
  <si>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</si>
  <si>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</si>
  <si>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</si>
  <si>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</si>
  <si>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</si>
  <si>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</si>
  <si>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</si>
  <si>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</si>
  <si>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</si>
  <si>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</si>
  <si>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</si>
  <si>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</si>
  <si>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</si>
  <si>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</si>
  <si>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</si>
  <si>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</si>
  <si>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</si>
  <si>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</si>
  <si>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</si>
  <si>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</si>
  <si>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</si>
  <si>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</si>
  <si>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</si>
  <si>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</si>
  <si>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</si>
  <si>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</si>
  <si>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</si>
  <si>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</si>
  <si>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</si>
  <si>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</si>
  <si>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</si>
  <si>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</si>
  <si>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</si>
  <si>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</si>
  <si>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</si>
  <si>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</si>
  <si>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</si>
  <si>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</si>
  <si>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</si>
  <si>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</si>
  <si>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</si>
  <si>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</si>
  <si>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</si>
  <si>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</si>
  <si>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</si>
  <si>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</si>
  <si>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</si>
  <si>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</si>
  <si>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</si>
  <si>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</si>
  <si>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</si>
  <si>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</si>
  <si>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</si>
  <si>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</si>
  <si>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</si>
  <si>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</si>
  <si>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</si>
  <si>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</si>
  <si>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</si>
  <si>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</si>
  <si>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</si>
  <si>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</si>
  <si>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</si>
  <si>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</si>
  <si>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</si>
  <si>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</si>
  <si>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</si>
  <si>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</si>
  <si>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</si>
  <si>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</si>
  <si>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</si>
  <si>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</si>
  <si>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</si>
  <si>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</si>
  <si>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</si>
  <si>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</si>
  <si>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</si>
  <si>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</si>
  <si>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</si>
  <si>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</si>
  <si>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</si>
  <si>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</si>
  <si>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</si>
  <si>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</si>
  <si>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</si>
  <si>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</si>
  <si>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</si>
  <si>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</si>
  <si>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</si>
  <si>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</si>
  <si>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</si>
  <si>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</si>
  <si>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</si>
  <si>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</si>
  <si>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</si>
  <si>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</si>
  <si>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</si>
  <si>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</si>
  <si>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</si>
  <si>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</si>
  <si>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</si>
  <si>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</si>
  <si>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</si>
  <si>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</si>
  <si>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</si>
  <si>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</si>
  <si>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</si>
  <si>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</si>
  <si>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</si>
  <si>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</si>
  <si>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</si>
  <si>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</si>
  <si>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</si>
  <si>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</si>
  <si>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</si>
  <si>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</si>
  <si>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</si>
  <si>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</si>
  <si>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</si>
  <si>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</si>
  <si>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</si>
  <si>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</si>
  <si>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</si>
  <si>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</si>
  <si>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</si>
  <si>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</si>
  <si>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</si>
  <si>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</si>
  <si>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</si>
  <si>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</si>
  <si>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</si>
  <si>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</si>
  <si>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</si>
  <si>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</si>
  <si>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</si>
  <si>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</si>
  <si>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</si>
  <si>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</si>
  <si>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</si>
  <si>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</si>
  <si>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</si>
  <si>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</si>
  <si>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</si>
  <si>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</si>
  <si>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</si>
  <si>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</si>
  <si>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</si>
  <si>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</si>
  <si>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</si>
  <si>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</si>
  <si>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</si>
  <si>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</si>
  <si>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</si>
  <si>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</si>
  <si>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</si>
  <si>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</si>
  <si>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</si>
  <si>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</si>
  <si>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</si>
  <si>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</si>
  <si>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</si>
  <si>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</si>
  <si>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</si>
  <si>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</si>
  <si>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</si>
  <si>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</si>
  <si>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</si>
  <si>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</si>
  <si>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</si>
  <si>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</si>
  <si>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</si>
  <si>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</si>
  <si>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</si>
  <si>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</si>
  <si>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</si>
  <si>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</si>
  <si>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</si>
  <si>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</si>
  <si>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</si>
  <si>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</si>
  <si>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</si>
  <si>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</si>
  <si>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</si>
  <si>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</si>
  <si>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</si>
  <si>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</si>
  <si>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</si>
  <si>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</si>
  <si>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</si>
  <si>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</si>
  <si>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</si>
  <si>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</si>
  <si>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</si>
  <si>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</si>
  <si>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</si>
  <si>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</si>
  <si>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</si>
  <si>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</si>
  <si>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</si>
  <si>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</si>
  <si>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</si>
  <si>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</si>
  <si>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</si>
  <si>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</si>
  <si>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</si>
  <si>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</si>
  <si>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</si>
  <si>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</si>
  <si>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</si>
  <si>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</si>
  <si>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</si>
  <si>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</si>
  <si>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</si>
  <si>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</si>
  <si>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</si>
  <si>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</si>
  <si>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</si>
  <si>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</si>
  <si>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</si>
  <si>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</si>
  <si>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</si>
  <si>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</si>
  <si>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</si>
  <si>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</si>
  <si>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</si>
  <si>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</si>
  <si>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</si>
  <si>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</si>
  <si>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</si>
  <si>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</si>
  <si>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</si>
  <si>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</si>
  <si>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</si>
  <si>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</si>
  <si>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</si>
  <si>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</si>
  <si>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</si>
  <si>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</si>
  <si>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</si>
  <si>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</si>
  <si>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</si>
  <si>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</si>
  <si>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</si>
  <si>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</si>
  <si>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</si>
  <si>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</si>
  <si>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</si>
  <si>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</si>
  <si>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</si>
  <si>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</si>
  <si>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</si>
  <si>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</si>
  <si>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</si>
  <si>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</si>
  <si>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</si>
  <si>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</si>
  <si>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</si>
  <si>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</si>
  <si>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</si>
  <si>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</si>
  <si>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</si>
  <si>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</si>
  <si>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</si>
  <si>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</si>
  <si>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</si>
  <si>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</si>
  <si>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</si>
  <si>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</si>
  <si>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</si>
  <si>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</si>
  <si>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</si>
  <si>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</si>
  <si>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</si>
  <si>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</si>
  <si>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</si>
  <si>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</si>
  <si>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</si>
  <si>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</si>
  <si>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</si>
  <si>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</si>
  <si>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</si>
  <si>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</si>
  <si>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</si>
  <si>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</si>
  <si>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</si>
  <si>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</si>
  <si>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</si>
  <si>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</si>
  <si>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</si>
  <si>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</si>
  <si>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</si>
  <si>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</si>
  <si>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</si>
  <si>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</si>
  <si>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</si>
  <si>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</si>
  <si>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</si>
  <si>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</si>
  <si>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</si>
  <si>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</si>
  <si>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</si>
  <si>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</si>
  <si>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</si>
  <si>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</si>
  <si>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</si>
  <si>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</si>
  <si>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</si>
  <si>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</si>
  <si>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</si>
  <si>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</si>
  <si>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</si>
  <si>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</si>
  <si>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</si>
  <si>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</si>
  <si>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</si>
  <si>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</si>
  <si>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</si>
  <si>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</si>
  <si>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</si>
  <si>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</si>
  <si>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</si>
  <si>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</si>
  <si>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</si>
  <si>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</si>
  <si>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</si>
  <si>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</si>
  <si>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</si>
  <si>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</si>
  <si>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</si>
  <si>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</si>
  <si>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</si>
  <si>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</si>
  <si>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</si>
  <si>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</si>
  <si>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</si>
  <si>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</si>
  <si>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</si>
  <si>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</si>
  <si>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</si>
  <si>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</si>
  <si>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</si>
  <si>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</si>
  <si>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</si>
  <si>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</si>
  <si>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</si>
  <si>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</si>
  <si>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</si>
  <si>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</si>
  <si>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</si>
  <si>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</si>
  <si>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</si>
  <si>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</si>
  <si>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</si>
  <si>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</si>
  <si>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</si>
  <si>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</si>
  <si>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</si>
  <si>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</si>
  <si>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</si>
  <si>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</si>
  <si>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</si>
  <si>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</si>
  <si>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</si>
  <si>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</si>
  <si>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</si>
  <si>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</si>
  <si>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</si>
  <si>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</si>
  <si>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</si>
  <si>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</si>
  <si>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</si>
  <si>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</si>
  <si>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</si>
  <si>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</si>
  <si>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</si>
  <si>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</si>
  <si>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</si>
  <si>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</si>
  <si>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</si>
  <si>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</si>
  <si>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</si>
  <si>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</si>
  <si>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</si>
  <si>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</si>
  <si>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</si>
  <si>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</si>
  <si>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</si>
  <si>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</si>
  <si>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</si>
  <si>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</si>
  <si>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</si>
  <si>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</si>
  <si>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</si>
  <si>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</si>
  <si>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</si>
  <si>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</si>
  <si>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</si>
  <si>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</si>
  <si>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</si>
  <si>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</si>
  <si>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</si>
  <si>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</si>
  <si>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</si>
  <si>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</si>
  <si>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</si>
  <si>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</si>
  <si>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</si>
  <si>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</si>
  <si>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</si>
  <si>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</si>
  <si>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</si>
  <si>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</si>
  <si>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</si>
  <si>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</si>
  <si>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</si>
  <si>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</si>
  <si>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</si>
  <si>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</si>
  <si>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</si>
  <si>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</si>
  <si>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</si>
  <si>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</si>
  <si>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</si>
  <si>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</si>
  <si>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</si>
  <si>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</si>
  <si>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</si>
  <si>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</si>
  <si>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</si>
  <si>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</si>
  <si>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</si>
  <si>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</si>
  <si>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</si>
  <si>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</si>
  <si>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</si>
  <si>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</si>
  <si>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</si>
  <si>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</si>
  <si>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</si>
  <si>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</si>
  <si>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</si>
  <si>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</si>
  <si>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</si>
  <si>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</si>
  <si>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</si>
  <si>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</si>
  <si>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</si>
  <si>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</si>
  <si>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</si>
  <si>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</si>
  <si>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</si>
  <si>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</si>
  <si>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</si>
  <si>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</si>
  <si>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</si>
  <si>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</si>
  <si>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</si>
  <si>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</si>
  <si>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</si>
  <si>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</si>
  <si>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</si>
  <si>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</si>
  <si>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</si>
  <si>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</si>
  <si>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</si>
  <si>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</si>
  <si>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</si>
  <si>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</si>
  <si>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</si>
  <si>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</si>
  <si>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</si>
  <si>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</si>
  <si>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</si>
  <si>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</si>
  <si>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</si>
  <si>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</si>
  <si>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</si>
  <si>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</si>
  <si>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</si>
  <si>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</si>
  <si>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</si>
  <si>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</si>
  <si>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</si>
  <si>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</si>
  <si>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</si>
  <si>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</si>
  <si>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</si>
  <si>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</si>
  <si>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</si>
  <si>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</si>
  <si>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</si>
  <si>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</si>
  <si>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</si>
  <si>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</si>
  <si>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</si>
  <si>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</si>
  <si>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</si>
  <si>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</si>
  <si>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</si>
  <si>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</si>
  <si>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</si>
  <si>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</si>
  <si>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</si>
  <si>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</si>
  <si>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</si>
  <si>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</si>
  <si>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</si>
  <si>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</si>
  <si>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</si>
  <si>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</si>
  <si>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</si>
  <si>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</si>
  <si>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</si>
  <si>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</si>
  <si>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</si>
  <si>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</si>
  <si>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</si>
  <si>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</si>
  <si>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</si>
  <si>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</si>
  <si>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</si>
  <si>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</si>
  <si>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</si>
  <si>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</si>
  <si>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</si>
  <si>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</si>
  <si>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</si>
  <si>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</si>
  <si>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</si>
  <si>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</si>
  <si>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</si>
  <si>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</si>
  <si>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</si>
  <si>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</si>
  <si>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</si>
  <si>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</si>
  <si>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</si>
  <si>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</si>
  <si>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</si>
  <si>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</si>
  <si>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</si>
  <si>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</si>
  <si>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</si>
  <si>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</si>
  <si>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</si>
  <si>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</si>
  <si>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</si>
  <si>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</si>
  <si>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</si>
  <si>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</si>
  <si>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</si>
  <si>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</si>
  <si>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</si>
  <si>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</si>
  <si>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</si>
  <si>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</si>
  <si>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</si>
  <si>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</si>
  <si>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</si>
  <si>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</si>
  <si>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</si>
  <si>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</si>
  <si>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</si>
  <si>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</si>
  <si>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</si>
  <si>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</si>
  <si>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</si>
  <si>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</si>
  <si>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</si>
  <si>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</si>
  <si>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</si>
  <si>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</si>
  <si>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</si>
  <si>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</si>
  <si>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</si>
  <si>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</si>
  <si>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</si>
  <si>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</si>
  <si>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</si>
  <si>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</si>
  <si>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</si>
  <si>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</si>
  <si>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</si>
  <si>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</si>
  <si>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</si>
  <si>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</si>
  <si>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</si>
  <si>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</si>
  <si>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</si>
  <si>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</si>
  <si>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</si>
  <si>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</si>
  <si>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</si>
  <si>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</si>
  <si>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</si>
  <si>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</si>
  <si>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</si>
  <si>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</si>
  <si>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</si>
  <si>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</si>
  <si>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</si>
  <si>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</si>
  <si>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</si>
  <si>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</si>
  <si>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</si>
  <si>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</si>
  <si>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</si>
  <si>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</si>
  <si>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</si>
  <si>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</si>
  <si>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</si>
  <si>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</si>
  <si>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</si>
  <si>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</si>
  <si>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</si>
  <si>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</si>
  <si>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</si>
  <si>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</si>
  <si>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</si>
  <si>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</si>
  <si>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</si>
  <si>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</si>
  <si>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</si>
  <si>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</si>
  <si>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</si>
  <si>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</si>
  <si>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</si>
  <si>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</si>
  <si>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</si>
  <si>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</si>
  <si>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</si>
  <si>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</si>
  <si>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</si>
  <si>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</si>
  <si>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</si>
  <si>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</si>
  <si>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</si>
  <si>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</si>
  <si>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</si>
  <si>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</si>
  <si>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</si>
  <si>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</si>
  <si>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</si>
  <si>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</si>
  <si>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</si>
  <si>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</si>
  <si>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</si>
  <si>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</si>
  <si>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</si>
  <si>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</si>
  <si>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</si>
  <si>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</si>
  <si>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</si>
  <si>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</si>
  <si>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</si>
  <si>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</si>
  <si>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</si>
  <si>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</si>
  <si>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</si>
  <si>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</si>
  <si>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</si>
  <si>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</si>
  <si>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</si>
  <si>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</si>
  <si>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</si>
  <si>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</si>
  <si>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</si>
  <si>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</si>
  <si>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</si>
  <si>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</si>
  <si>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</si>
  <si>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</si>
  <si>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</si>
  <si>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</si>
  <si>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</si>
  <si>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</si>
  <si>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</si>
  <si>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</si>
  <si>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</si>
  <si>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</si>
  <si>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</si>
  <si>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</si>
  <si>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</si>
  <si>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</si>
  <si>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</si>
  <si>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</si>
  <si>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</si>
  <si>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</si>
  <si>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</si>
  <si>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</si>
  <si>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</si>
  <si>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</si>
  <si>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</si>
  <si>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</si>
  <si>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</si>
  <si>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</si>
  <si>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</si>
  <si>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</si>
  <si>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</si>
  <si>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</si>
  <si>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</si>
  <si>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</si>
  <si>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</si>
  <si>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</si>
  <si>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</si>
  <si>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</si>
  <si>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</si>
  <si>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</si>
  <si>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</si>
  <si>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</si>
  <si>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</si>
  <si>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</si>
  <si>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</si>
  <si>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</si>
  <si>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</si>
  <si>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</si>
  <si>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</si>
  <si>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</si>
  <si>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</si>
  <si>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</si>
  <si>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</si>
  <si>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</si>
  <si>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</si>
  <si>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</si>
  <si>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</si>
  <si>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</si>
  <si>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</si>
  <si>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</si>
  <si>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</si>
  <si>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</si>
  <si>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</si>
  <si>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</si>
  <si>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</si>
  <si>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</si>
  <si>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</si>
  <si>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</si>
  <si>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</si>
  <si>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</si>
  <si>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</si>
  <si>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</si>
  <si>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</si>
  <si>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</si>
  <si>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</si>
  <si>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</si>
  <si>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</si>
  <si>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</si>
  <si>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</si>
  <si>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</si>
  <si>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</si>
  <si>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</si>
  <si>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</si>
  <si>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</si>
  <si>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</si>
  <si>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</si>
  <si>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</si>
  <si>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</si>
  <si>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</si>
  <si>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</si>
  <si>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</si>
  <si>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</si>
  <si>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</si>
  <si>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</si>
  <si>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</si>
  <si>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</si>
  <si>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</si>
  <si>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</si>
  <si>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</si>
  <si>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</si>
  <si>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</si>
  <si>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</si>
  <si>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</si>
  <si>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</si>
  <si>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</si>
  <si>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</si>
  <si>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</si>
  <si>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</si>
  <si>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</si>
  <si>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</si>
  <si>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</si>
  <si>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</si>
  <si>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</si>
  <si>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</si>
  <si>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</si>
  <si>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</si>
  <si>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</si>
  <si>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</si>
  <si>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</si>
  <si>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</si>
  <si>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</si>
  <si>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</si>
  <si>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</si>
  <si>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</si>
  <si>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</si>
  <si>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</si>
  <si>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</si>
  <si>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</si>
  <si>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</si>
  <si>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</si>
  <si>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</si>
  <si>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</si>
  <si>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</si>
  <si>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</si>
  <si>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</si>
  <si>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</si>
  <si>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</si>
  <si>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</si>
  <si>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</si>
  <si>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</si>
  <si>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</si>
  <si>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</si>
  <si>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</si>
  <si>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</si>
  <si>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</si>
  <si>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</si>
  <si>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</si>
  <si>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</si>
  <si>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</si>
  <si>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</si>
  <si>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</si>
  <si>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</si>
  <si>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</si>
  <si>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</si>
  <si>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</si>
  <si>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</si>
  <si>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</si>
  <si>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</si>
  <si>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</si>
  <si>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</si>
  <si>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</si>
  <si>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</si>
  <si>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</si>
  <si>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</si>
  <si>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</si>
  <si>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</si>
  <si>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</si>
  <si>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</si>
  <si>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</si>
  <si>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</si>
  <si>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</si>
  <si>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</si>
  <si>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</si>
  <si>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</si>
  <si>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</si>
  <si>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</si>
  <si>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</si>
  <si>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</si>
  <si>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</si>
  <si>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</si>
  <si>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</si>
  <si>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</si>
  <si>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</si>
  <si>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</si>
  <si>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</si>
  <si>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</si>
  <si>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</si>
  <si>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</si>
  <si>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</si>
  <si>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</si>
  <si>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</si>
  <si>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</si>
  <si>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</si>
  <si>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</si>
  <si>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</si>
  <si>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</si>
  <si>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</si>
  <si>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</si>
  <si>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</si>
  <si>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</si>
  <si>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</si>
  <si>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</si>
  <si>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</si>
  <si>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</si>
  <si>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</si>
  <si>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</si>
  <si>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</si>
  <si>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</si>
  <si>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</si>
  <si>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</si>
  <si>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</si>
  <si>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</si>
  <si>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</si>
  <si>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</si>
  <si>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</si>
  <si>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</si>
  <si>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</si>
  <si>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</si>
  <si>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</si>
  <si>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</si>
  <si>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</si>
  <si>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</si>
  <si>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</si>
  <si>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</si>
  <si>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</si>
  <si>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</si>
  <si>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</si>
  <si>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</si>
  <si>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</si>
  <si>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</si>
  <si>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</si>
  <si>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</si>
  <si>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</si>
  <si>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</si>
  <si>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</si>
  <si>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</si>
  <si>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</si>
  <si>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</si>
  <si>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</si>
  <si>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</si>
  <si>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</si>
  <si>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</si>
  <si>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</si>
  <si>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</si>
  <si>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</si>
  <si>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</si>
  <si>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</si>
  <si>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</si>
  <si>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</si>
  <si>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</si>
  <si>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</si>
  <si>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</si>
  <si>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</si>
  <si>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</si>
  <si>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</si>
  <si>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</si>
  <si>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</si>
  <si>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</si>
  <si>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</si>
  <si>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</si>
  <si>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</si>
  <si>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</si>
  <si>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</si>
  <si>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</si>
  <si>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</si>
  <si>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</si>
  <si>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</si>
  <si>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</si>
  <si>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</si>
  <si>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</si>
  <si>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</si>
  <si>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</si>
  <si>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</si>
  <si>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</si>
  <si>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</si>
  <si>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</si>
  <si>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</si>
  <si>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</si>
  <si>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</si>
  <si>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</si>
  <si>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</si>
  <si>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</si>
  <si>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</si>
  <si>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</si>
  <si>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</si>
  <si>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</si>
  <si>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</si>
  <si>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</si>
  <si>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</si>
  <si>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</si>
  <si>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</si>
  <si>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</si>
  <si>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</si>
  <si>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</si>
  <si>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</si>
  <si>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</si>
  <si>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</si>
  <si>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</si>
  <si>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</si>
  <si>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</si>
  <si>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</si>
  <si>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</si>
  <si>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</si>
  <si>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</si>
  <si>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</si>
  <si>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</si>
  <si>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</si>
  <si>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</si>
  <si>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</si>
  <si>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</si>
  <si>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</si>
  <si>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</si>
  <si>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</si>
  <si>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</si>
  <si>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</si>
  <si>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</si>
  <si>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</si>
  <si>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</si>
  <si>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</si>
  <si>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</si>
  <si>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</si>
  <si>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</si>
  <si>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</si>
  <si>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</si>
  <si>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</si>
  <si>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</si>
  <si>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</si>
  <si>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</si>
  <si>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</si>
  <si>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</si>
  <si>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</si>
  <si>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</si>
  <si>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</si>
  <si>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</si>
  <si>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</si>
  <si>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</si>
  <si>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</si>
  <si>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</si>
  <si>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</si>
  <si>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</si>
  <si>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</si>
  <si>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</si>
  <si>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</si>
  <si>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</si>
  <si>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</si>
  <si>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</si>
  <si>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</si>
  <si>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</si>
  <si>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</si>
  <si>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</si>
  <si>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</si>
  <si>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</si>
  <si>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</si>
  <si>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</si>
  <si>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</si>
  <si>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</si>
  <si>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</si>
  <si>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</si>
  <si>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</si>
  <si>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</si>
  <si>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</si>
  <si>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</si>
  <si>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</si>
  <si>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</si>
  <si>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</si>
  <si>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</si>
  <si>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</si>
  <si>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</si>
  <si>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</si>
  <si>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</si>
  <si>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</si>
  <si>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</si>
  <si>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</si>
  <si>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</si>
  <si>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</si>
  <si>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</si>
  <si>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</si>
  <si>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</si>
  <si>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</si>
  <si>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</si>
  <si>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</si>
  <si>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</si>
  <si>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</si>
  <si>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</si>
  <si>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</si>
  <si>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</si>
  <si>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</si>
  <si>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</si>
  <si>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</si>
  <si>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</si>
  <si>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</si>
  <si>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</si>
  <si>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</si>
  <si>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</si>
  <si>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</si>
  <si>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</si>
  <si>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</si>
  <si>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</si>
  <si>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</si>
  <si>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</si>
  <si>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</si>
  <si>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</si>
  <si>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</si>
  <si>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</si>
  <si>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</si>
  <si>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</si>
  <si>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</si>
  <si>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</si>
  <si>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</si>
  <si>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</si>
  <si>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</si>
  <si>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</si>
  <si>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</si>
  <si>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</si>
  <si>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</si>
  <si>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</si>
  <si>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</si>
  <si>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</si>
  <si>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</si>
  <si>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</si>
  <si>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</si>
  <si>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</si>
  <si>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</si>
  <si>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</si>
  <si>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</si>
  <si>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</si>
  <si>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</si>
  <si>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</si>
  <si>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</si>
  <si>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</si>
  <si>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</si>
  <si>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</si>
  <si>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</si>
  <si>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</si>
  <si>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</si>
  <si>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</si>
  <si>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</si>
  <si>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</si>
  <si>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</si>
  <si>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</si>
  <si>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</si>
  <si>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</si>
  <si>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</si>
  <si>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</si>
  <si>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</si>
  <si>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</si>
  <si>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</si>
  <si>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</si>
  <si>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</si>
  <si>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</si>
  <si>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</si>
  <si>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</si>
  <si>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</si>
  <si>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</si>
  <si>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</si>
  <si>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</si>
  <si>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</si>
  <si>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</si>
  <si>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</si>
  <si>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</si>
  <si>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</si>
  <si>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</si>
  <si>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</si>
  <si>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</si>
  <si>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</si>
  <si>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</si>
  <si>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</si>
  <si>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</si>
  <si>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</si>
  <si>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</si>
  <si>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</si>
  <si>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</si>
  <si>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</si>
  <si>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</si>
  <si>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</si>
  <si>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</si>
  <si>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</si>
  <si>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</si>
  <si>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</si>
  <si>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</si>
  <si>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</si>
  <si>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</si>
  <si>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</si>
  <si>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</si>
  <si>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</si>
  <si>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</si>
  <si>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</si>
  <si>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</si>
  <si>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</si>
  <si>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</si>
  <si>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</si>
  <si>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</si>
  <si>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</si>
  <si>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</si>
  <si>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</si>
  <si>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</si>
  <si>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</si>
  <si>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</si>
  <si>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</si>
  <si>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</si>
  <si>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</si>
  <si>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</si>
  <si>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</si>
  <si>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</si>
  <si>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</si>
  <si>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</si>
  <si>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</si>
  <si>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</si>
  <si>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</si>
  <si>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</si>
  <si>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</si>
  <si>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</si>
  <si>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</si>
  <si>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</si>
  <si>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</si>
  <si>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</si>
  <si>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</si>
  <si>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</si>
  <si>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</si>
  <si>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</si>
  <si>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</si>
  <si>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</si>
  <si>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</si>
  <si>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</si>
  <si>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</si>
  <si>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</si>
  <si>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</si>
  <si>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</si>
  <si>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</si>
  <si>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</si>
  <si>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</si>
  <si>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</si>
  <si>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</si>
  <si>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</si>
  <si>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</si>
  <si>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</si>
  <si>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</si>
  <si>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</si>
  <si>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</si>
  <si>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</si>
  <si>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</si>
  <si>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</si>
  <si>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</si>
  <si>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</si>
  <si>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</si>
  <si>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</si>
  <si>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</si>
  <si>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</si>
  <si>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</si>
  <si>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</si>
  <si>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</si>
  <si>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</si>
  <si>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</si>
  <si>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</si>
  <si>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</si>
  <si>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</si>
  <si>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</si>
  <si>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</si>
  <si>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</si>
  <si>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</si>
  <si>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</si>
  <si>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</si>
  <si>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</si>
  <si>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</si>
  <si>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</si>
  <si>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</si>
  <si>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</si>
  <si>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</si>
  <si>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</si>
  <si>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</si>
  <si>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</si>
  <si>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</si>
  <si>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</si>
  <si>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</si>
  <si>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</si>
  <si>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</si>
  <si>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</si>
  <si>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</si>
  <si>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</si>
  <si>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</si>
  <si>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</si>
  <si>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</si>
  <si>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</si>
  <si>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</si>
  <si>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</si>
  <si>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</si>
  <si>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</si>
  <si>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</si>
  <si>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</si>
  <si>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</si>
  <si>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</si>
  <si>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</si>
  <si>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</si>
  <si>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</si>
  <si>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</si>
  <si>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</si>
  <si>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</si>
  <si>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</si>
  <si>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</si>
  <si>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</si>
  <si>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</si>
  <si>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</si>
  <si>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</si>
  <si>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</si>
  <si>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</si>
  <si>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</si>
  <si>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</si>
  <si>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</si>
  <si>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</si>
  <si>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</si>
  <si>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</si>
  <si>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</si>
  <si>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</si>
  <si>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</si>
  <si>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</si>
  <si>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</si>
  <si>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</si>
  <si>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</si>
  <si>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</si>
  <si>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</si>
  <si>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</si>
  <si>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</si>
  <si>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</si>
  <si>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</si>
  <si>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</si>
  <si>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</si>
  <si>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</si>
  <si>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</si>
  <si>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</si>
  <si>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</si>
  <si>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</si>
  <si>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</si>
  <si>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</si>
  <si>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</si>
  <si>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</si>
  <si>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</si>
  <si>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</si>
  <si>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</si>
  <si>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</si>
  <si>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</si>
  <si>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</si>
  <si>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</si>
  <si>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</si>
  <si>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</si>
  <si>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</si>
  <si>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</si>
  <si>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</si>
  <si>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</si>
  <si>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</si>
  <si>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</si>
  <si>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</si>
  <si>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</si>
  <si>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</si>
  <si>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</si>
  <si>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</si>
  <si>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</si>
  <si>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</si>
  <si>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</si>
  <si>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</si>
  <si>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</si>
  <si>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</si>
  <si>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</si>
  <si>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</si>
  <si>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</si>
  <si>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</si>
  <si>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</si>
  <si>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</si>
  <si>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</si>
  <si>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</si>
  <si>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</si>
  <si>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</si>
  <si>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</si>
  <si>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</si>
  <si>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</si>
  <si>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</si>
  <si>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</si>
  <si>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</si>
  <si>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</si>
  <si>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</si>
  <si>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</si>
  <si>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</si>
  <si>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</si>
  <si>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</si>
  <si>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</si>
  <si>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</si>
  <si>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</si>
  <si>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</si>
  <si>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</si>
  <si>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</si>
  <si>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</si>
  <si>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</si>
  <si>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</si>
  <si>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</si>
  <si>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</si>
  <si>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</si>
  <si>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</si>
  <si>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</si>
  <si>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</si>
  <si>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</si>
  <si>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</si>
  <si>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</si>
  <si>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</si>
  <si>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</si>
  <si>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</si>
  <si>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</si>
  <si>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</si>
  <si>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</si>
  <si>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</si>
  <si>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</si>
  <si>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</si>
  <si>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</si>
  <si>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</si>
  <si>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</si>
  <si>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</si>
  <si>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</si>
  <si>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</si>
  <si>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</si>
  <si>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</si>
  <si>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</si>
  <si>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</si>
  <si>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</si>
  <si>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</si>
  <si>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</si>
  <si>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</si>
  <si>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</si>
  <si>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</si>
  <si>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</si>
  <si>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</si>
  <si>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</si>
  <si>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</si>
  <si>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</si>
  <si>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</si>
  <si>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</si>
  <si>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</si>
  <si>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</si>
  <si>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</si>
  <si>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</si>
  <si>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</si>
  <si>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</si>
  <si>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</si>
  <si>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</si>
  <si>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</si>
  <si>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</si>
  <si>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</si>
  <si>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</si>
  <si>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</si>
  <si>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</si>
  <si>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</si>
  <si>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</si>
  <si>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</si>
  <si>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</si>
  <si>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</si>
  <si>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</si>
  <si>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</si>
  <si>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</si>
  <si>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</si>
  <si>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</si>
  <si>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</si>
  <si>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</si>
  <si>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</si>
  <si>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</si>
  <si>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</si>
  <si>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</si>
  <si>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</si>
  <si>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</si>
  <si>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</si>
  <si>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</si>
  <si>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</si>
  <si>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</si>
  <si>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</si>
  <si>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</si>
  <si>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</si>
  <si>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</si>
  <si>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</si>
  <si>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</si>
  <si>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</si>
  <si>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</si>
  <si>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</si>
  <si>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</si>
  <si>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</si>
  <si>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</si>
  <si>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</si>
  <si>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</si>
  <si>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</si>
  <si>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</si>
  <si>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</si>
  <si>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</si>
  <si>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</si>
  <si>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</si>
  <si>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</si>
  <si>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</si>
  <si>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</si>
  <si>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</si>
  <si>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</si>
  <si>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</si>
  <si>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</si>
  <si>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</si>
  <si>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</si>
  <si>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</si>
  <si>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</si>
  <si>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</si>
  <si>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</si>
  <si>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</si>
  <si>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</si>
  <si>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</si>
  <si>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</si>
  <si>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</si>
  <si>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</si>
  <si>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</si>
  <si>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</si>
  <si>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</si>
  <si>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</si>
  <si>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</si>
  <si>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</si>
  <si>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</si>
  <si>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</si>
  <si>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</si>
  <si>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</si>
  <si>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</si>
  <si>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</si>
  <si>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</si>
  <si>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</si>
  <si>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</si>
  <si>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</si>
  <si>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</si>
  <si>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</si>
  <si>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</si>
  <si>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</si>
  <si>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</si>
  <si>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</si>
  <si>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</si>
  <si>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</si>
  <si>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</si>
  <si>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</si>
  <si>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</si>
  <si>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</si>
  <si>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</si>
  <si>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</si>
  <si>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</si>
  <si>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</si>
  <si>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</si>
  <si>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</si>
  <si>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</si>
  <si>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</si>
  <si>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</si>
  <si>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</si>
  <si>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</si>
  <si>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</si>
  <si>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</si>
  <si>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</si>
  <si>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</si>
  <si>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</si>
  <si>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</si>
  <si>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</si>
  <si>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</si>
  <si>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</si>
  <si>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</si>
  <si>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</si>
  <si>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</si>
  <si>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</si>
  <si>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</si>
  <si>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</si>
  <si>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</si>
  <si>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</si>
  <si>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</si>
  <si>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</si>
  <si>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</si>
  <si>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</si>
  <si>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</si>
  <si>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</si>
  <si>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</si>
  <si>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</si>
  <si>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</si>
  <si>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</si>
  <si>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</si>
  <si>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</si>
  <si>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</si>
  <si>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</si>
  <si>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</si>
  <si>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</si>
  <si>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</si>
  <si>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</si>
  <si>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</si>
  <si>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</si>
  <si>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</si>
  <si>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</si>
  <si>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</si>
  <si>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</si>
  <si>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</si>
  <si>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</si>
  <si>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</si>
  <si>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</si>
  <si>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</si>
  <si>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</si>
  <si>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</si>
  <si>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</si>
  <si>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</si>
  <si>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</si>
  <si>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</si>
  <si>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</si>
  <si>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</si>
  <si>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</si>
  <si>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</si>
  <si>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</si>
  <si>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</si>
  <si>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</si>
  <si>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</si>
  <si>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</si>
  <si>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</si>
  <si>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</si>
  <si>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</si>
  <si>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</si>
  <si>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</si>
  <si>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</si>
  <si>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</si>
  <si>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</si>
  <si>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</si>
  <si>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</si>
  <si>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</si>
  <si>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</si>
  <si>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</si>
  <si>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</si>
  <si>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</si>
  <si>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</si>
  <si>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</si>
  <si>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</si>
  <si>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</si>
  <si>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</si>
  <si>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</si>
  <si>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</si>
  <si>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</si>
  <si>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</si>
  <si>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</si>
  <si>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</si>
  <si>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</si>
  <si>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</si>
  <si>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</si>
  <si>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</si>
  <si>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</si>
  <si>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</si>
  <si>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</si>
  <si>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</si>
  <si>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</si>
  <si>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</si>
  <si>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</si>
  <si>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</si>
  <si>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</si>
  <si>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</si>
  <si>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</si>
  <si>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</si>
  <si>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</si>
  <si>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</si>
  <si>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</si>
  <si>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</si>
  <si>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</si>
  <si>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</si>
  <si>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</si>
  <si>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</si>
  <si>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</si>
  <si>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</si>
  <si>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</si>
  <si>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</si>
  <si>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</si>
  <si>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</si>
  <si>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</si>
  <si>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</si>
  <si>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</si>
  <si>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</si>
  <si>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</si>
  <si>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</si>
  <si>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</si>
  <si>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</si>
  <si>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</si>
  <si>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</si>
  <si>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</si>
  <si>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</si>
  <si>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</si>
  <si>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</si>
  <si>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</si>
  <si>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</si>
  <si>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</si>
  <si>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</si>
  <si>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</si>
  <si>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</si>
  <si>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</si>
  <si>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</si>
  <si>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</si>
  <si>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</si>
  <si>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</si>
  <si>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</si>
  <si>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</si>
  <si>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</si>
  <si>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</si>
  <si>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</si>
  <si>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</si>
  <si>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</si>
  <si>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</si>
  <si>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</si>
  <si>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</si>
  <si>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</si>
  <si>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</si>
  <si>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</si>
  <si>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</si>
  <si>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</si>
  <si>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</si>
  <si>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</si>
  <si>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</si>
  <si>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</si>
  <si>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</si>
  <si>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</si>
  <si>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</si>
  <si>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</si>
  <si>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</si>
  <si>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</si>
  <si>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</si>
  <si>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</si>
  <si>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</si>
  <si>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</si>
  <si>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</si>
  <si>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</si>
  <si>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</si>
  <si>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</si>
  <si>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</si>
  <si>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</si>
  <si>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</si>
  <si>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</si>
  <si>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</si>
  <si>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</si>
  <si>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</si>
  <si>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</si>
  <si>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</si>
  <si>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</si>
  <si>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</si>
  <si>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</si>
  <si>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</si>
  <si>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</si>
  <si>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</si>
  <si>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</si>
  <si>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</si>
  <si>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</si>
  <si>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</si>
  <si>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</si>
  <si>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</si>
  <si>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</si>
  <si>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</si>
  <si>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</si>
  <si>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</si>
  <si>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</si>
  <si>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</si>
  <si>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</si>
  <si>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</si>
  <si>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</si>
  <si>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</si>
  <si>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</si>
  <si>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</si>
  <si>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</si>
  <si>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</si>
  <si>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</si>
  <si>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</si>
  <si>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</si>
  <si>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</si>
  <si>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</si>
  <si>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</si>
  <si>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</si>
  <si>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</si>
  <si>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</si>
  <si>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</si>
  <si>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</si>
  <si>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</si>
  <si>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</si>
  <si>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</si>
  <si>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</si>
  <si>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</si>
  <si>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</si>
  <si>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</si>
  <si>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</si>
  <si>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</si>
  <si>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</si>
  <si>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</si>
  <si>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</si>
  <si>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</si>
  <si>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</si>
  <si>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</si>
  <si>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</si>
  <si>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</si>
  <si>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</si>
  <si>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</si>
  <si>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</si>
  <si>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</si>
  <si>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</si>
  <si>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</si>
  <si>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</si>
  <si>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</si>
  <si>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</si>
  <si>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</si>
  <si>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</si>
  <si>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</si>
  <si>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</si>
  <si>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</si>
  <si>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</si>
  <si>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</si>
  <si>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</si>
  <si>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</si>
  <si>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</si>
  <si>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</si>
  <si>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</si>
  <si>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</si>
  <si>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</si>
  <si>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</si>
  <si>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</si>
  <si>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</si>
  <si>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</si>
  <si>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</si>
  <si>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</si>
  <si>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</si>
  <si>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</si>
  <si>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</si>
  <si>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</si>
  <si>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</si>
  <si>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</si>
  <si>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</si>
  <si>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</si>
  <si>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</si>
  <si>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</si>
  <si>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</si>
  <si>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</si>
  <si>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</si>
  <si>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</si>
  <si>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</si>
  <si>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</si>
  <si>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</si>
  <si>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</si>
  <si>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</si>
  <si>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</si>
  <si>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</si>
  <si>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</si>
  <si>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</si>
  <si>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</si>
  <si>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</si>
  <si>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</si>
  <si>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</si>
  <si>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</si>
  <si>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</si>
  <si>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</si>
  <si>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</si>
  <si>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</si>
  <si>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</si>
  <si>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</si>
  <si>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</si>
  <si>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</si>
  <si>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</si>
  <si>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</si>
  <si>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</si>
  <si>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</si>
  <si>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</si>
  <si>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</si>
  <si>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</si>
  <si>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</si>
  <si>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</si>
  <si>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</si>
  <si>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</si>
  <si>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</si>
  <si>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</si>
  <si>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</si>
  <si>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</si>
  <si>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</si>
  <si>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</si>
  <si>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</si>
  <si>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</si>
  <si>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</si>
  <si>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</si>
  <si>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</si>
  <si>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</si>
  <si>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</si>
  <si>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</si>
  <si>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</si>
  <si>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</si>
  <si>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</si>
  <si>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</si>
  <si>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</si>
  <si>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</si>
  <si>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</si>
  <si>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</si>
  <si>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</si>
  <si>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</si>
  <si>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</si>
  <si>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</si>
  <si>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</si>
  <si>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</si>
  <si>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</si>
  <si>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</si>
  <si>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</si>
  <si>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</si>
  <si>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</si>
  <si>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</si>
  <si>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</si>
  <si>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</si>
  <si>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</si>
  <si>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</si>
  <si>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</si>
  <si>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</si>
  <si>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</si>
  <si>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</si>
  <si>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</si>
  <si>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</si>
  <si>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</si>
  <si>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</si>
  <si>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</si>
  <si>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</si>
  <si>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</si>
  <si>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</si>
  <si>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</si>
  <si>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</si>
  <si>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</si>
  <si>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</si>
  <si>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</si>
  <si>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</si>
  <si>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</si>
  <si>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</si>
  <si>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</si>
  <si>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</si>
  <si>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</si>
  <si>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</si>
  <si>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</si>
  <si>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</si>
  <si>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</si>
  <si>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</si>
  <si>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</si>
  <si>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</si>
  <si>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</si>
  <si>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</si>
  <si>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</si>
  <si>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</si>
  <si>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</si>
  <si>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</si>
  <si>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</si>
  <si>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</si>
  <si>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</si>
  <si>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</si>
  <si>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</si>
  <si>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</si>
  <si>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</si>
  <si>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</si>
  <si>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</si>
  <si>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</si>
  <si>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</si>
  <si>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</si>
  <si>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</si>
  <si>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</si>
  <si>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</si>
  <si>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</si>
  <si>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</si>
  <si>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</si>
  <si>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</si>
  <si>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</si>
  <si>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</si>
  <si>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</si>
  <si>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</si>
  <si>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</si>
  <si>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</si>
  <si>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</si>
  <si>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</si>
  <si>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</si>
  <si>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</si>
  <si>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</si>
  <si>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</si>
  <si>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</si>
  <si>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</si>
  <si>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</si>
  <si>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</si>
  <si>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</si>
  <si>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</si>
  <si>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</si>
  <si>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</si>
  <si>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</si>
  <si>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</si>
  <si>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</si>
  <si>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</si>
  <si>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</si>
  <si>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</si>
  <si>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</si>
  <si>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</si>
  <si>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</si>
  <si>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</si>
  <si>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</si>
  <si>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</si>
  <si>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</si>
  <si>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</si>
  <si>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</si>
  <si>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</si>
  <si>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</si>
  <si>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</si>
  <si>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</si>
  <si>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</si>
  <si>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</si>
  <si>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</si>
  <si>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</si>
  <si>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</si>
  <si>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</si>
  <si>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</si>
  <si>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</si>
  <si>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</si>
  <si>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</si>
  <si>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</si>
  <si>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</si>
  <si>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</si>
  <si>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</si>
  <si>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</si>
  <si>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</si>
  <si>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</si>
  <si>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</si>
  <si>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</si>
  <si>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</si>
  <si>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</si>
  <si>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</si>
  <si>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</si>
  <si>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</si>
  <si>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</si>
  <si>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</si>
  <si>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</si>
  <si>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</si>
  <si>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</si>
  <si>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</si>
  <si>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</si>
  <si>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</si>
  <si>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</si>
  <si>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</si>
  <si>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</si>
  <si>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</si>
  <si>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</si>
  <si>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</si>
  <si>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</si>
  <si>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</si>
  <si>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</si>
  <si>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</si>
  <si>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</si>
  <si>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</si>
  <si>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</si>
  <si>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</si>
  <si>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</si>
  <si>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</si>
  <si>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</si>
  <si>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</si>
  <si>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</si>
  <si>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</si>
  <si>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</si>
  <si>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</si>
  <si>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</si>
  <si>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</si>
  <si>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</si>
  <si>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</si>
  <si>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</si>
  <si>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</si>
  <si>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</si>
  <si>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</si>
  <si>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</si>
  <si>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</si>
  <si>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</si>
  <si>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</si>
  <si>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</si>
  <si>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</si>
  <si>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</si>
  <si>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</si>
  <si>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</si>
  <si>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</si>
  <si>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</si>
  <si>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</si>
  <si>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</si>
  <si>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</si>
  <si>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</si>
  <si>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</si>
  <si>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</si>
  <si>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</si>
  <si>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</si>
  <si>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</si>
  <si>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</si>
  <si>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</si>
  <si>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</si>
  <si>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</si>
  <si>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</si>
  <si>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</si>
  <si>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</si>
  <si>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</si>
  <si>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</si>
  <si>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</si>
  <si>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</si>
  <si>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</si>
  <si>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</si>
  <si>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</si>
  <si>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</si>
  <si>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</si>
  <si>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</si>
  <si>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</si>
  <si>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</si>
  <si>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</si>
  <si>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</si>
  <si>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</si>
  <si>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</si>
  <si>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</si>
  <si>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</si>
  <si>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</si>
  <si>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</si>
  <si>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</si>
  <si>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</si>
  <si>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</si>
  <si>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</si>
  <si>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</si>
  <si>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</si>
  <si>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</si>
  <si>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</si>
  <si>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</si>
  <si>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</si>
  <si>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</si>
  <si>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</si>
  <si>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</si>
  <si>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</si>
  <si>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</si>
  <si>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</si>
  <si>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</si>
  <si>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</si>
  <si>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</si>
  <si>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</si>
  <si>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</si>
  <si>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</si>
  <si>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</si>
  <si>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</si>
  <si>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</si>
  <si>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</si>
  <si>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</si>
  <si>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</si>
  <si>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</si>
  <si>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</si>
  <si>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</si>
  <si>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</si>
  <si>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</si>
  <si>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</si>
  <si>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</si>
  <si>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</si>
  <si>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</si>
  <si>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</si>
  <si>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</si>
  <si>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</si>
  <si>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</si>
  <si>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</si>
  <si>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</si>
  <si>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</si>
  <si>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</si>
  <si>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</si>
  <si>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</si>
  <si>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</si>
  <si>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</si>
  <si>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</si>
  <si>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</si>
  <si>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</si>
  <si>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</si>
  <si>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</si>
  <si>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</si>
  <si>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</si>
  <si>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</si>
  <si>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</si>
  <si>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</si>
  <si>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</si>
  <si>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</si>
  <si>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</si>
  <si>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</si>
  <si>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</si>
  <si>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</si>
  <si>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</si>
  <si>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</si>
  <si>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</si>
  <si>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</si>
  <si>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</si>
  <si>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</si>
  <si>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</si>
  <si>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</si>
  <si>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</si>
  <si>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</si>
  <si>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</si>
  <si>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</si>
  <si>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</si>
  <si>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</si>
  <si>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</si>
  <si>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</si>
  <si>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</si>
  <si>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</si>
  <si>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</si>
  <si>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</si>
  <si>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</si>
  <si>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</si>
  <si>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</si>
  <si>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</si>
  <si>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</si>
  <si>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</si>
  <si>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</si>
  <si>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</si>
  <si>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</si>
  <si>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</si>
  <si>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</si>
  <si>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</si>
  <si>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</si>
  <si>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</si>
  <si>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</si>
  <si>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</si>
  <si>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</si>
  <si>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</si>
  <si>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</si>
  <si>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</si>
  <si>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</si>
  <si>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</si>
  <si>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</si>
  <si>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</si>
  <si>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</si>
  <si>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</si>
  <si>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</si>
  <si>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</si>
  <si>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</si>
  <si>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</si>
  <si>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</si>
  <si>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</si>
  <si>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</si>
  <si>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</si>
  <si>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</si>
  <si>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</si>
  <si>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</si>
  <si>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</si>
  <si>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</si>
  <si>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</si>
  <si>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</si>
  <si>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</si>
  <si>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</si>
  <si>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</si>
  <si>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</si>
  <si>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</si>
  <si>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</si>
  <si>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</si>
  <si>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</si>
  <si>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</si>
  <si>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</si>
  <si>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</si>
  <si>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</si>
  <si>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</si>
  <si>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</si>
  <si>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</si>
  <si>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</si>
  <si>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</si>
  <si>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</si>
  <si>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</si>
  <si>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</si>
  <si>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</si>
  <si>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</si>
  <si>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</si>
  <si>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</si>
  <si>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</si>
  <si>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</si>
  <si>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</si>
  <si>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</si>
  <si>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</si>
  <si>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</si>
  <si>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</si>
  <si>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</si>
  <si>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</si>
  <si>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</si>
  <si>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</si>
  <si>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</si>
  <si>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</si>
  <si>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</si>
  <si>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</si>
  <si>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</si>
  <si>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</si>
  <si>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</si>
  <si>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</si>
  <si>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</si>
  <si>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</si>
  <si>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</si>
  <si>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</si>
  <si>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</si>
  <si>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</si>
  <si>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</si>
  <si>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</si>
  <si>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</si>
  <si>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</si>
  <si>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</si>
  <si>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</si>
  <si>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</si>
  <si>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</si>
  <si>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</si>
  <si>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</si>
  <si>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</si>
  <si>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</si>
  <si>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</si>
  <si>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</si>
  <si>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</si>
  <si>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</si>
  <si>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</si>
  <si>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</si>
  <si>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</si>
  <si>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</si>
  <si>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</si>
  <si>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</si>
  <si>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</si>
  <si>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</si>
  <si>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</si>
  <si>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</si>
  <si>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</si>
  <si>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</si>
  <si>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</si>
  <si>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</si>
  <si>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</si>
  <si>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</si>
  <si>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</si>
  <si>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</si>
  <si>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</si>
  <si>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</si>
  <si>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</si>
  <si>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</si>
  <si>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</si>
  <si>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</si>
  <si>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</si>
  <si>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</si>
  <si>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</si>
  <si>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</si>
  <si>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</si>
  <si>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</si>
  <si>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</si>
  <si>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</si>
  <si>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</si>
  <si>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</si>
  <si>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</si>
  <si>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</si>
  <si>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</si>
  <si>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</si>
  <si>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</si>
  <si>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</si>
  <si>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</si>
  <si>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</si>
  <si>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</si>
  <si>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</si>
  <si>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</si>
  <si>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</si>
  <si>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</si>
  <si>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</si>
  <si>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</si>
  <si>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</si>
  <si>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</si>
  <si>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</si>
  <si>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</si>
  <si>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</si>
  <si>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</si>
  <si>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</si>
  <si>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</si>
  <si>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</si>
  <si>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</si>
  <si>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</si>
  <si>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</si>
  <si>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</si>
  <si>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</si>
  <si>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</si>
  <si>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</si>
  <si>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</si>
  <si>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</si>
  <si>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</si>
  <si>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</si>
  <si>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</si>
  <si>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</si>
  <si>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</si>
  <si>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</si>
  <si>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</si>
  <si>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</si>
  <si>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</si>
  <si>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</si>
  <si>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</si>
  <si>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</si>
  <si>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</si>
  <si>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</si>
  <si>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</si>
  <si>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</si>
  <si>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</si>
  <si>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</si>
  <si>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</si>
  <si>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</si>
  <si>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</si>
  <si>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</si>
  <si>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</si>
  <si>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</si>
  <si>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</si>
  <si>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</si>
  <si>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</si>
  <si>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</si>
  <si>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</si>
  <si>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</si>
  <si>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</si>
  <si>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</si>
  <si>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</si>
  <si>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</si>
  <si>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</si>
  <si>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</si>
  <si>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</si>
  <si>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</si>
  <si>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</si>
  <si>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</si>
  <si>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</si>
  <si>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</si>
  <si>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</si>
  <si>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</si>
  <si>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</si>
  <si>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</si>
  <si>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</si>
  <si>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</si>
  <si>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</si>
  <si>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</si>
  <si>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</si>
  <si>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</si>
  <si>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</si>
  <si>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</si>
  <si>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</si>
  <si>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</si>
  <si>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</si>
  <si>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</si>
  <si>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</si>
  <si>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</si>
  <si>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</si>
  <si>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</si>
  <si>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</si>
  <si>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</si>
  <si>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</si>
  <si>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</si>
  <si>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</si>
  <si>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</si>
  <si>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</si>
  <si>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</si>
  <si>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</si>
  <si>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</si>
  <si>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</si>
  <si>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</si>
  <si>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</si>
  <si>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</si>
  <si>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</si>
  <si>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</si>
  <si>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</si>
  <si>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</si>
  <si>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</si>
  <si>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</si>
  <si>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</si>
  <si>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</si>
  <si>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</si>
  <si>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</si>
  <si>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</si>
  <si>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</si>
  <si>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</si>
  <si>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</si>
  <si>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</si>
  <si>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</si>
  <si>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</si>
  <si>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</si>
  <si>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</si>
  <si>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</si>
  <si>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</si>
  <si>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</si>
  <si>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</si>
  <si>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</si>
  <si>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</si>
  <si>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</si>
  <si>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</si>
  <si>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</si>
  <si>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</si>
  <si>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</si>
  <si>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</si>
  <si>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</si>
  <si>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</si>
  <si>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</si>
  <si>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</si>
  <si>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</si>
  <si>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</si>
  <si>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</si>
  <si>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</si>
  <si>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</si>
  <si>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</si>
  <si>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</si>
  <si>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</si>
  <si>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</si>
  <si>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</si>
  <si>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</si>
  <si>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</si>
  <si>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</si>
  <si>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</si>
  <si>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</si>
  <si>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</si>
  <si>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</si>
  <si>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</si>
  <si>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</si>
  <si>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</si>
  <si>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</si>
  <si>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</si>
  <si>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</si>
  <si>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</si>
  <si>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</si>
  <si>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</si>
  <si>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</si>
  <si>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</si>
  <si>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</si>
  <si>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</si>
  <si>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</si>
  <si>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</si>
  <si>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</si>
  <si>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</si>
  <si>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</si>
  <si>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</si>
  <si>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</si>
  <si>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</si>
  <si>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</si>
  <si>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</si>
  <si>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</si>
  <si>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</si>
  <si>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</si>
  <si>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</si>
  <si>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</si>
  <si>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</si>
  <si>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</si>
  <si>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</si>
  <si>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</si>
  <si>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</si>
  <si>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</si>
  <si>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</si>
  <si>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</si>
  <si>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</si>
  <si>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</si>
  <si>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</si>
  <si>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</si>
  <si>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</si>
  <si>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</si>
  <si>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</si>
  <si>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</si>
  <si>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</si>
  <si>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</si>
  <si>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</si>
  <si>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</si>
  <si>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</si>
  <si>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</si>
  <si>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</si>
  <si>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</si>
  <si>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</si>
  <si>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</si>
  <si>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</si>
  <si>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</si>
  <si>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</si>
  <si>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</si>
  <si>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</si>
  <si>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</si>
  <si>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</si>
  <si>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</si>
  <si>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</si>
  <si>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</si>
  <si>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</si>
  <si>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</si>
  <si>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</si>
  <si>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</si>
  <si>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</si>
  <si>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</si>
  <si>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</si>
  <si>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</si>
  <si>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</si>
  <si>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</si>
  <si>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</si>
  <si>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</si>
  <si>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</si>
  <si>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</si>
  <si>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</si>
  <si>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</si>
  <si>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</si>
  <si>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</si>
  <si>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</si>
  <si>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</si>
  <si>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</si>
  <si>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</si>
  <si>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</si>
  <si>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</si>
  <si>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</si>
  <si>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</si>
  <si>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</si>
  <si>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</si>
  <si>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</si>
  <si>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</si>
  <si>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</si>
  <si>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</si>
  <si>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</si>
  <si>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</si>
  <si>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</si>
  <si>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</si>
  <si>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</si>
  <si>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</si>
  <si>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</si>
  <si>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</si>
  <si>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</si>
  <si>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</si>
  <si>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</si>
  <si>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</si>
  <si>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</si>
  <si>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</si>
  <si>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</si>
  <si>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</si>
  <si>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</si>
  <si>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</si>
  <si>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</si>
  <si>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</si>
  <si>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</si>
  <si>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</si>
  <si>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</si>
  <si>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</si>
  <si>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</si>
  <si>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</si>
  <si>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</si>
  <si>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</si>
  <si>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</si>
  <si>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</si>
  <si>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</si>
  <si>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</si>
  <si>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</si>
  <si>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</si>
  <si>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</si>
  <si>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</si>
  <si>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</si>
  <si>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</si>
  <si>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</si>
  <si>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</si>
  <si>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</si>
  <si>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</si>
  <si>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</si>
  <si>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</si>
  <si>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</si>
  <si>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</si>
  <si>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</si>
  <si>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</si>
  <si>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</si>
  <si>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</si>
  <si>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</si>
  <si>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</si>
  <si>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</si>
  <si>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</si>
  <si>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</si>
  <si>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</si>
  <si>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</si>
  <si>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</si>
  <si>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</si>
  <si>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</si>
  <si>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</si>
  <si>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</si>
  <si>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</si>
  <si>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</si>
  <si>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</si>
  <si>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</si>
  <si>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</si>
  <si>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</si>
  <si>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</si>
  <si>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</si>
  <si>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</si>
  <si>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</si>
  <si>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</si>
  <si>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</si>
  <si>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</si>
  <si>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</si>
  <si>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</si>
  <si>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</si>
  <si>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</si>
  <si>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</si>
  <si>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</si>
  <si>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</si>
  <si>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</si>
  <si>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</si>
  <si>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</si>
  <si>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</si>
  <si>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</si>
  <si>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</si>
  <si>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</si>
  <si>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</si>
  <si>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</si>
  <si>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</si>
  <si>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</si>
  <si>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</si>
  <si>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</si>
  <si>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</si>
  <si>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</si>
  <si>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</si>
  <si>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</si>
  <si>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</si>
  <si>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</si>
  <si>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</si>
  <si>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</si>
  <si>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</si>
  <si>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</si>
  <si>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</si>
  <si>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</si>
  <si>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</si>
  <si>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</si>
  <si>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</si>
  <si>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</si>
  <si>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</si>
  <si>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</si>
  <si>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</si>
  <si>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</si>
  <si>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</si>
  <si>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</si>
  <si>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</si>
  <si>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</si>
  <si>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</si>
  <si>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</si>
  <si>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</si>
  <si>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</si>
  <si>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</si>
  <si>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</si>
  <si>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</si>
  <si>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</si>
  <si>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</si>
  <si>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</si>
  <si>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</si>
  <si>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</si>
  <si>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</si>
  <si>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</si>
  <si>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</si>
  <si>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</si>
  <si>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</si>
  <si>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</si>
  <si>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</si>
  <si>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</si>
  <si>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</si>
  <si>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</si>
  <si>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</si>
  <si>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</si>
  <si>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</si>
  <si>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</si>
  <si>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</si>
  <si>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</si>
  <si>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</si>
  <si>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</si>
  <si>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</si>
  <si>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</si>
  <si>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</si>
  <si>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</si>
  <si>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</si>
  <si>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</si>
  <si>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</si>
  <si>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</si>
  <si>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</si>
  <si>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</si>
  <si>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</si>
  <si>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</si>
  <si>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</si>
  <si>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</si>
  <si>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</si>
  <si>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</si>
  <si>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</si>
  <si>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</si>
  <si>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</si>
  <si>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</si>
  <si>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</si>
  <si>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</si>
  <si>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</si>
  <si>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</si>
  <si>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</si>
  <si>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</si>
  <si>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</si>
  <si>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</si>
  <si>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</si>
  <si>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</si>
  <si>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</si>
  <si>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</si>
  <si>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</si>
  <si>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</si>
  <si>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</si>
  <si>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</si>
  <si>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</si>
  <si>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</si>
  <si>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</si>
  <si>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</si>
  <si>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</si>
  <si>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</si>
  <si>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</si>
  <si>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</si>
  <si>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</si>
  <si>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</si>
  <si>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</si>
  <si>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</si>
  <si>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</si>
  <si>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</si>
  <si>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</si>
  <si>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</si>
  <si>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</si>
  <si>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</si>
  <si>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</si>
  <si>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</si>
  <si>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</si>
  <si>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</si>
  <si>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</si>
  <si>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</si>
  <si>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</si>
  <si>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</si>
  <si>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</si>
  <si>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</si>
  <si>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</si>
  <si>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</si>
  <si>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</si>
  <si>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</si>
  <si>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</si>
  <si>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</si>
  <si>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</si>
  <si>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</si>
  <si>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</si>
  <si>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</si>
  <si>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</si>
  <si>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</si>
  <si>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</si>
  <si>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</si>
  <si>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</si>
  <si>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</si>
  <si>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</si>
  <si>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</si>
  <si>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</si>
  <si>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</si>
  <si>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</si>
  <si>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</si>
  <si>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</si>
  <si>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</si>
  <si>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</si>
  <si>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</si>
  <si>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</si>
  <si>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</si>
  <si>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</si>
  <si>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</si>
  <si>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</si>
  <si>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</si>
  <si>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</si>
  <si>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</si>
  <si>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</si>
  <si>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</si>
  <si>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</si>
  <si>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</si>
  <si>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</si>
  <si>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</si>
  <si>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</si>
  <si>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</si>
  <si>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</si>
  <si>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</si>
  <si>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</si>
  <si>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</si>
  <si>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</si>
  <si>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</si>
  <si>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</si>
  <si>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</si>
  <si>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</si>
  <si>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</si>
  <si>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</si>
  <si>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</si>
  <si>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</si>
  <si>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</si>
  <si>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</si>
  <si>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</si>
  <si>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</si>
  <si>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</si>
  <si>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</si>
  <si>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</si>
  <si>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</si>
  <si>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</si>
  <si>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</si>
  <si>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</si>
  <si>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</si>
  <si>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</si>
  <si>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</si>
  <si>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</si>
  <si>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</si>
  <si>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</si>
  <si>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</si>
  <si>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</si>
  <si>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</si>
  <si>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</si>
  <si>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</si>
  <si>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</si>
  <si>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</si>
  <si>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</si>
  <si>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</si>
  <si>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</si>
  <si>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</si>
  <si>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</si>
  <si>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</si>
  <si>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</si>
  <si>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</si>
  <si>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</si>
  <si>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</si>
  <si>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</si>
  <si>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</si>
  <si>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</si>
  <si>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</si>
  <si>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</si>
  <si>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</si>
  <si>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</si>
  <si>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</si>
  <si>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</si>
  <si>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</si>
  <si>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</si>
  <si>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</si>
  <si>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</si>
  <si>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</si>
  <si>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</si>
  <si>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</si>
  <si>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</si>
  <si>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</si>
  <si>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</si>
  <si>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</si>
  <si>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</si>
  <si>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</si>
  <si>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</si>
  <si>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</si>
  <si>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</si>
  <si>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</si>
  <si>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</si>
  <si>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</si>
  <si>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</si>
  <si>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</si>
  <si>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</si>
  <si>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</si>
  <si>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</si>
  <si>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</si>
  <si>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</si>
  <si>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</si>
  <si>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</si>
  <si>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</si>
  <si>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</si>
  <si>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</si>
  <si>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</si>
  <si>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</si>
  <si>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</si>
  <si>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</si>
  <si>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</si>
  <si>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</si>
  <si>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</si>
  <si>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</si>
  <si>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</si>
  <si>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</si>
  <si>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</si>
  <si>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</si>
  <si>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</si>
  <si>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</si>
  <si>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</si>
  <si>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</si>
  <si>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</si>
  <si>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</si>
  <si>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</si>
  <si>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</si>
  <si>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</si>
  <si>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</si>
  <si>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</si>
  <si>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</si>
  <si>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</si>
  <si>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</si>
  <si>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</si>
  <si>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</si>
  <si>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</si>
  <si>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</si>
  <si>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</si>
  <si>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</si>
  <si>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</si>
  <si>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</si>
  <si>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</si>
  <si>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</si>
  <si>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</si>
  <si>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</si>
  <si>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</si>
  <si>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</si>
  <si>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</si>
  <si>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</si>
  <si>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</si>
  <si>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</si>
  <si>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</si>
  <si>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</si>
  <si>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</si>
  <si>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</si>
  <si>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</si>
  <si>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</si>
  <si>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</si>
  <si>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</si>
  <si>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</si>
  <si>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</si>
  <si>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</si>
  <si>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</si>
  <si>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</si>
  <si>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</si>
  <si>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</si>
  <si>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</si>
  <si>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</si>
  <si>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</si>
  <si>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</si>
  <si>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</si>
  <si>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</si>
  <si>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</si>
  <si>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</si>
  <si>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</si>
  <si>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</si>
  <si>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</si>
  <si>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</si>
  <si>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</si>
  <si>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</si>
  <si>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</si>
  <si>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</si>
  <si>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</si>
  <si>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</si>
  <si>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</si>
  <si>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</si>
  <si>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</si>
  <si>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</si>
  <si>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</si>
  <si>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</si>
  <si>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</si>
  <si>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</si>
  <si>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</si>
  <si>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</si>
  <si>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</si>
  <si>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</si>
  <si>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</si>
  <si>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</si>
  <si>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</si>
  <si>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</si>
  <si>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</si>
  <si>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</si>
  <si>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</si>
  <si>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</si>
  <si>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</si>
  <si>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</si>
  <si>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</si>
  <si>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</si>
  <si>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</si>
  <si>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</si>
  <si>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</si>
  <si>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</si>
  <si>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</si>
  <si>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</si>
  <si>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</si>
  <si>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</si>
  <si>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</si>
  <si>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</si>
  <si>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</si>
  <si>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</si>
  <si>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</si>
  <si>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</si>
  <si>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</si>
  <si>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</si>
  <si>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</si>
  <si>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</si>
  <si>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</si>
  <si>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</si>
  <si>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</si>
  <si>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</si>
  <si>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</si>
  <si>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</si>
  <si>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</si>
  <si>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</si>
  <si>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</si>
  <si>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</si>
  <si>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</si>
  <si>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</si>
  <si>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</si>
  <si>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</si>
  <si>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</si>
  <si>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</si>
  <si>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</si>
  <si>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</si>
  <si>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</si>
  <si>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</si>
  <si>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</si>
  <si>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</si>
  <si>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</si>
  <si>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</si>
  <si>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</si>
  <si>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</si>
  <si>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</si>
  <si>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</si>
  <si>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</si>
  <si>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</si>
  <si>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</si>
  <si>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</si>
  <si>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</si>
  <si>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</si>
  <si>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</si>
  <si>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</si>
  <si>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</si>
  <si>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</si>
  <si>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</si>
  <si>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</si>
  <si>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</si>
  <si>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</si>
  <si>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</si>
  <si>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</si>
  <si>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</si>
  <si>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</si>
  <si>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</si>
  <si>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</si>
  <si>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</si>
  <si>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</si>
  <si>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</si>
  <si>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</si>
  <si>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</si>
  <si>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</si>
  <si>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</si>
  <si>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</si>
  <si>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</si>
  <si>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</si>
  <si>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</si>
  <si>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</si>
  <si>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</si>
  <si>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</si>
  <si>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</si>
  <si>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</si>
  <si>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</si>
  <si>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</si>
  <si>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</si>
  <si>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</si>
  <si>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</si>
  <si>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</si>
  <si>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</si>
  <si>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</si>
  <si>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</si>
  <si>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</si>
  <si>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</si>
  <si>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</si>
  <si>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</si>
  <si>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</si>
  <si>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</si>
  <si>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</si>
  <si>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</si>
  <si>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</si>
  <si>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</si>
  <si>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</si>
  <si>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</si>
  <si>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</si>
  <si>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</si>
  <si>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</si>
  <si>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</si>
  <si>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</si>
  <si>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</si>
  <si>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</si>
  <si>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</si>
  <si>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</si>
  <si>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</si>
  <si>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</si>
  <si>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</si>
  <si>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</si>
  <si>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</si>
  <si>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</si>
  <si>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</si>
  <si>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</si>
  <si>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</si>
  <si>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</si>
  <si>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</si>
  <si>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</si>
  <si>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</si>
  <si>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</si>
  <si>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</si>
  <si>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</si>
  <si>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</si>
  <si>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</si>
  <si>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</si>
  <si>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</si>
  <si>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</si>
  <si>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</si>
  <si>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</si>
  <si>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</si>
  <si>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</si>
  <si>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</si>
  <si>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</si>
  <si>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</si>
  <si>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</si>
  <si>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</si>
  <si>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</si>
  <si>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</si>
  <si>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</si>
  <si>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</si>
  <si>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</si>
  <si>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</si>
  <si>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</si>
  <si>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</si>
  <si>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</si>
  <si>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</si>
  <si>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</si>
  <si>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</si>
  <si>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</si>
  <si>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</si>
  <si>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</si>
  <si>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</si>
  <si>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</si>
  <si>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</si>
  <si>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</si>
  <si>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</si>
  <si>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</si>
  <si>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</si>
  <si>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</si>
  <si>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</si>
  <si>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</si>
  <si>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</si>
  <si>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</si>
  <si>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</si>
  <si>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</si>
  <si>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</si>
  <si>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</si>
  <si>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</si>
  <si>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</si>
  <si>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</si>
  <si>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</si>
  <si>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</si>
  <si>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</si>
  <si>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</si>
  <si>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</si>
  <si>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</si>
  <si>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</si>
  <si>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</si>
  <si>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</si>
  <si>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</si>
  <si>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</si>
  <si>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</si>
  <si>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</si>
  <si>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</si>
  <si>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</si>
  <si>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</si>
  <si>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</si>
  <si>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</si>
  <si>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</si>
  <si>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</si>
  <si>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</si>
  <si>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</si>
  <si>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</si>
  <si>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</si>
  <si>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</si>
  <si>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</si>
  <si>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</si>
  <si>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</si>
  <si>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</si>
  <si>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</si>
  <si>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</si>
  <si>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</si>
  <si>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</si>
  <si>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</si>
  <si>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</si>
  <si>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</si>
  <si>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</si>
  <si>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</si>
  <si>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</si>
  <si>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</si>
  <si>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</si>
  <si>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</si>
  <si>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</si>
  <si>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</si>
  <si>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</si>
  <si>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</si>
  <si>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</si>
  <si>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</si>
  <si>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</si>
  <si>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</si>
  <si>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</si>
  <si>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</si>
  <si>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</si>
  <si>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</si>
  <si>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</si>
  <si>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</si>
  <si>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</si>
  <si>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</si>
  <si>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</si>
  <si>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</si>
  <si>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</si>
  <si>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</si>
  <si>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</si>
  <si>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</si>
  <si>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</si>
  <si>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</si>
  <si>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</si>
  <si>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</si>
  <si>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</si>
  <si>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</si>
  <si>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</si>
  <si>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</si>
  <si>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</si>
  <si>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</si>
  <si>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</si>
  <si>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</si>
  <si>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</si>
  <si>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</si>
  <si>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</si>
  <si>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</si>
  <si>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</si>
  <si>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</si>
  <si>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</si>
  <si>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</si>
  <si>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</si>
  <si>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</si>
  <si>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</si>
  <si>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</si>
  <si>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</si>
  <si>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</si>
  <si>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</si>
  <si>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</si>
  <si>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</si>
  <si>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</si>
  <si>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</si>
  <si>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</si>
  <si>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</si>
  <si>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</si>
  <si>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</si>
  <si>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</si>
  <si>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</si>
  <si>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</si>
  <si>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</si>
  <si>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</si>
  <si>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</si>
  <si>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</si>
  <si>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</si>
  <si>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</si>
  <si>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</si>
  <si>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</si>
  <si>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</si>
  <si>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</si>
  <si>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</si>
  <si>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</si>
  <si>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</si>
  <si>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</si>
  <si>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</si>
  <si>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</si>
  <si>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</si>
  <si>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</si>
  <si>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</si>
  <si>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</si>
  <si>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</si>
  <si>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</si>
  <si>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</si>
  <si>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</si>
  <si>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</si>
  <si>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</si>
  <si>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</si>
  <si>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</si>
  <si>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</si>
  <si>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</si>
  <si>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</si>
  <si>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</si>
  <si>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</si>
  <si>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</si>
  <si>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</si>
  <si>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</si>
  <si>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</si>
  <si>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</si>
  <si>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</si>
  <si>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</si>
  <si>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</si>
  <si>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</si>
  <si>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</si>
  <si>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</si>
  <si>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</si>
  <si>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</si>
  <si>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</si>
  <si>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</si>
  <si>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</si>
  <si>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</si>
  <si>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</si>
  <si>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</si>
  <si>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</si>
  <si>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</si>
  <si>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</si>
  <si>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</si>
  <si>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</si>
  <si>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</si>
  <si>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</si>
  <si>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</si>
  <si>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</si>
  <si>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</si>
  <si>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</si>
  <si>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</si>
  <si>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</si>
  <si>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</si>
  <si>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</si>
  <si>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</si>
  <si>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</si>
  <si>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</si>
  <si>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</si>
  <si>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</si>
  <si>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</si>
  <si>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</si>
  <si>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</si>
  <si>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</si>
  <si>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</si>
  <si>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</si>
  <si>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</si>
  <si>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</si>
  <si>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</si>
  <si>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</si>
  <si>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</si>
  <si>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</si>
  <si>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</si>
  <si>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</si>
  <si>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</si>
  <si>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</si>
  <si>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</si>
  <si>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</si>
  <si>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</si>
  <si>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</si>
  <si>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</si>
  <si>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</si>
  <si>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</si>
  <si>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</si>
  <si>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</si>
  <si>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</si>
  <si>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</si>
  <si>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</si>
  <si>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</si>
  <si>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</si>
  <si>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</si>
  <si>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</si>
  <si>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</si>
  <si>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</si>
  <si>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</si>
  <si>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</si>
  <si>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</si>
  <si>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</si>
  <si>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</si>
  <si>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</si>
  <si>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</si>
  <si>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</si>
  <si>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</si>
  <si>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</si>
  <si>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</si>
  <si>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</si>
  <si>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</si>
  <si>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</si>
  <si>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</si>
  <si>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</si>
  <si>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</si>
  <si>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</si>
  <si>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</si>
  <si>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</si>
  <si>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</si>
  <si>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</si>
  <si>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</si>
  <si>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</si>
  <si>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</si>
  <si>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</si>
  <si>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</si>
  <si>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</si>
  <si>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</si>
  <si>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</si>
  <si>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</si>
  <si>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</si>
  <si>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</si>
  <si>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</si>
  <si>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</si>
  <si>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</si>
  <si>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</si>
  <si>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</si>
  <si>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</si>
  <si>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</si>
  <si>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</si>
  <si>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</si>
  <si>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</si>
  <si>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</si>
  <si>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</si>
  <si>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</si>
  <si>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</si>
  <si>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</si>
  <si>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</si>
  <si>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</si>
  <si>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</si>
  <si>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</si>
  <si>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</si>
  <si>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</si>
  <si>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</si>
  <si>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</si>
  <si>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</si>
  <si>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</si>
  <si>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</si>
  <si>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</si>
  <si>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</si>
  <si>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</si>
  <si>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</si>
  <si>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</si>
  <si>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</si>
  <si>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</si>
  <si>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</si>
  <si>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</si>
  <si>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</si>
  <si>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</si>
  <si>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</si>
  <si>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</si>
  <si>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</si>
  <si>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</si>
  <si>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</si>
  <si>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</si>
  <si>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</si>
  <si>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</si>
  <si>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</si>
  <si>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</si>
  <si>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</si>
  <si>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</si>
  <si>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</si>
  <si>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</si>
  <si>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</si>
  <si>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</si>
  <si>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</si>
  <si>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</si>
  <si>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</si>
  <si>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</si>
  <si>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</si>
  <si>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</si>
  <si>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</si>
  <si>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</si>
  <si>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</si>
  <si>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</si>
  <si>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</si>
  <si>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</si>
  <si>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</si>
  <si>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</si>
  <si>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</si>
  <si>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</si>
  <si>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</si>
  <si>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</si>
  <si>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</si>
  <si>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</si>
  <si>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</si>
  <si>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</si>
  <si>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</si>
  <si>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</si>
  <si>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</si>
  <si>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</si>
  <si>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</si>
  <si>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</si>
  <si>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</si>
  <si>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</si>
  <si>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</si>
  <si>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</si>
  <si>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</si>
  <si>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</si>
  <si>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</si>
  <si>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</si>
  <si>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</si>
  <si>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</si>
  <si>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</si>
  <si>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</si>
  <si>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</si>
  <si>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</si>
  <si>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</si>
  <si>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</si>
  <si>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</si>
  <si>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</si>
  <si>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</si>
  <si>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</si>
  <si>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</si>
  <si>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</si>
  <si>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</si>
  <si>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</si>
  <si>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</si>
  <si>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</si>
  <si>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</si>
  <si>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</si>
  <si>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</si>
  <si>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</si>
  <si>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</si>
  <si>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</si>
  <si>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</si>
  <si>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</si>
  <si>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</si>
  <si>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</si>
  <si>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</si>
  <si>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</si>
  <si>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</si>
  <si>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</si>
  <si>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</si>
  <si>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</si>
  <si>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</si>
  <si>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</si>
  <si>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</si>
  <si>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</si>
  <si>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</si>
  <si>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</si>
  <si>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</si>
  <si>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</si>
  <si>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</si>
  <si>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</si>
  <si>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</si>
  <si>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</si>
  <si>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</si>
  <si>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</si>
  <si>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</si>
  <si>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</si>
  <si>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</si>
  <si>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</si>
  <si>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</si>
  <si>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</si>
  <si>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</si>
  <si>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</si>
  <si>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</si>
  <si>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</si>
  <si>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</si>
  <si>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</si>
  <si>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</si>
  <si>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</si>
  <si>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</si>
  <si>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</si>
  <si>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</si>
  <si>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</si>
  <si>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</si>
  <si>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</si>
  <si>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</si>
  <si>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</si>
  <si>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</si>
  <si>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</si>
  <si>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</si>
  <si>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</si>
  <si>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</si>
  <si>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</si>
  <si>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</si>
  <si>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</si>
  <si>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</si>
  <si>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</si>
  <si>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</si>
  <si>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</si>
  <si>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</si>
  <si>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</si>
  <si>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</si>
  <si>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</si>
  <si>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</si>
  <si>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</si>
  <si>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</si>
  <si>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</si>
  <si>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</si>
  <si>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</si>
  <si>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</si>
  <si>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</si>
  <si>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</si>
  <si>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</si>
  <si>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</si>
  <si>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</si>
  <si>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</si>
  <si>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</si>
  <si>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</si>
  <si>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</si>
  <si>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</si>
  <si>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</si>
  <si>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</si>
  <si>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</si>
  <si>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</si>
  <si>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</si>
  <si>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</si>
  <si>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</si>
  <si>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</si>
  <si>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</si>
  <si>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</si>
  <si>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</si>
  <si>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</si>
  <si>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</si>
  <si>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</si>
  <si>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</si>
  <si>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</si>
  <si>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</si>
  <si>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</si>
  <si>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</si>
  <si>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</si>
  <si>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</si>
  <si>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</si>
  <si>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</si>
  <si>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</si>
  <si>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</si>
  <si>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</si>
  <si>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</si>
  <si>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</si>
  <si>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</si>
  <si>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</si>
  <si>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</si>
  <si>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</si>
  <si>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</si>
  <si>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</si>
  <si>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</si>
  <si>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</si>
  <si>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</si>
  <si>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</si>
  <si>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</si>
  <si>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</si>
  <si>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</si>
  <si>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</si>
  <si>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</si>
  <si>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</si>
  <si>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</si>
  <si>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</si>
  <si>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</si>
  <si>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</si>
  <si>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</si>
  <si>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</si>
  <si>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</si>
  <si>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</si>
  <si>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</si>
  <si>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</si>
  <si>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</si>
  <si>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</si>
  <si>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</si>
  <si>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</si>
  <si>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</si>
  <si>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</si>
  <si>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</si>
  <si>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</si>
  <si>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</si>
  <si>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</si>
  <si>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</si>
  <si>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</si>
  <si>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</si>
  <si>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</si>
  <si>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</si>
  <si>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</si>
  <si>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</si>
  <si>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</si>
  <si>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</si>
  <si>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</si>
  <si>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</si>
  <si>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</si>
  <si>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</si>
  <si>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</si>
  <si>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</si>
  <si>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</si>
  <si>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</si>
  <si>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</si>
  <si>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</si>
  <si>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</si>
  <si>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</si>
  <si>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</si>
  <si>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</si>
  <si>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</si>
  <si>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</si>
  <si>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</si>
  <si>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</si>
  <si>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</si>
  <si>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</si>
  <si>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</si>
  <si>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</si>
  <si>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</si>
  <si>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</si>
  <si>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</si>
  <si>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</si>
  <si>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</si>
  <si>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</si>
  <si>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</si>
  <si>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</si>
  <si>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</si>
  <si>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</si>
  <si>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</si>
  <si>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</si>
  <si>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</si>
  <si>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</si>
  <si>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</si>
  <si>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</si>
  <si>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</si>
  <si>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</si>
  <si>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</si>
  <si>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</si>
  <si>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</si>
  <si>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</si>
  <si>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</si>
  <si>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</si>
  <si>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</si>
  <si>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</si>
  <si>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</si>
  <si>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</si>
  <si>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</si>
  <si>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</si>
  <si>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</si>
  <si>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</si>
  <si>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</si>
  <si>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</si>
  <si>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</si>
  <si>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</si>
  <si>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</si>
  <si>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</si>
  <si>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</si>
  <si>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</si>
  <si>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</si>
  <si>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</si>
  <si>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</si>
  <si>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</si>
  <si>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</si>
  <si>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</si>
  <si>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</si>
  <si>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</si>
  <si>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</si>
  <si>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</si>
  <si>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</si>
  <si>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</si>
  <si>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</si>
  <si>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</si>
  <si>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</si>
  <si>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</si>
  <si>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</si>
  <si>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</si>
  <si>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</si>
  <si>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</si>
  <si>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</si>
  <si>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</si>
  <si>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</si>
  <si>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</si>
  <si>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</si>
  <si>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</si>
  <si>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</si>
  <si>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</si>
  <si>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</si>
  <si>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</si>
  <si>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</si>
  <si>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</si>
  <si>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</si>
  <si>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</si>
  <si>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</si>
  <si>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</si>
  <si>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</si>
  <si>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</si>
  <si>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</si>
  <si>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</si>
  <si>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</si>
  <si>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</si>
  <si>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</si>
  <si>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</si>
  <si>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</si>
  <si>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</si>
  <si>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</si>
  <si>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</si>
  <si>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</si>
  <si>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</si>
  <si>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</si>
  <si>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</si>
  <si>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</si>
  <si>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</si>
  <si>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</si>
  <si>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</si>
  <si>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</si>
  <si>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</si>
  <si>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</si>
  <si>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</si>
  <si>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</si>
  <si>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</si>
  <si>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</si>
  <si>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</si>
  <si>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</si>
  <si>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</si>
  <si>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</si>
  <si>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</si>
  <si>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</si>
  <si>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</si>
  <si>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</si>
  <si>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</si>
  <si>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</si>
  <si>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</si>
  <si>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</si>
  <si>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</si>
  <si>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</si>
  <si>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</si>
  <si>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</si>
  <si>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</si>
  <si>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</si>
  <si>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</si>
  <si>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</si>
  <si>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</si>
  <si>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</si>
  <si>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</si>
  <si>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</si>
  <si>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</si>
  <si>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</si>
  <si>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</si>
  <si>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</si>
  <si>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</si>
  <si>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</si>
  <si>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</si>
  <si>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</si>
  <si>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</si>
  <si>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</si>
  <si>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</si>
  <si>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</si>
  <si>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</si>
  <si>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</si>
  <si>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</si>
  <si>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</si>
  <si>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</si>
  <si>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</si>
  <si>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</si>
  <si>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</si>
  <si>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</si>
  <si>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</si>
  <si>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</si>
  <si>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</si>
  <si>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</si>
  <si>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</si>
  <si>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</si>
  <si>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</si>
  <si>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</si>
  <si>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</si>
  <si>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</si>
  <si>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</si>
  <si>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</si>
  <si>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</si>
  <si>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</si>
  <si>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</si>
  <si>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</si>
  <si>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</si>
  <si>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</si>
  <si>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</si>
  <si>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</si>
  <si>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</si>
  <si>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</si>
  <si>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</si>
  <si>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</si>
  <si>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</si>
  <si>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</si>
  <si>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</si>
  <si>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</si>
  <si>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</si>
  <si>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</si>
  <si>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</si>
  <si>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</si>
  <si>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</si>
  <si>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</si>
  <si>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</si>
  <si>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</si>
  <si>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</si>
  <si>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</si>
  <si>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</si>
  <si>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</si>
  <si>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</si>
  <si>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</si>
  <si>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</si>
  <si>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</si>
  <si>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</si>
  <si>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</si>
  <si>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</si>
  <si>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</si>
  <si>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</si>
  <si>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</si>
  <si>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</si>
  <si>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</si>
  <si>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</si>
  <si>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</si>
  <si>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</si>
  <si>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</si>
  <si>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</si>
  <si>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</si>
  <si>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</si>
  <si>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</si>
  <si>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</si>
  <si>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</si>
  <si>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</si>
  <si>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</si>
  <si>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</si>
  <si>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</si>
  <si>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</si>
  <si>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</si>
  <si>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</si>
  <si>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</si>
  <si>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</si>
  <si>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</si>
  <si>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</si>
  <si>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</si>
  <si>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</si>
  <si>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</si>
  <si>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</si>
  <si>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</si>
  <si>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</si>
  <si>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</si>
  <si>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</si>
  <si>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</si>
  <si>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</si>
  <si>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</si>
  <si>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</si>
  <si>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</si>
  <si>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</si>
  <si>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</si>
  <si>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</si>
  <si>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</si>
  <si>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</si>
  <si>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</si>
  <si>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</si>
  <si>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</si>
  <si>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</si>
  <si>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</si>
  <si>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</si>
  <si>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</si>
  <si>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</si>
  <si>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</si>
  <si>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</si>
  <si>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</si>
  <si>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</si>
  <si>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</si>
  <si>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</si>
  <si>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</si>
  <si>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</si>
  <si>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</si>
  <si>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</si>
  <si>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</si>
  <si>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</si>
  <si>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</si>
  <si>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</si>
  <si>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</si>
  <si>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</si>
  <si>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</si>
  <si>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</si>
  <si>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</si>
  <si>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</si>
  <si>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</si>
  <si>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</si>
  <si>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</si>
  <si>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</si>
  <si>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</si>
  <si>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</si>
  <si>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</si>
  <si>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</si>
  <si>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</si>
  <si>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</si>
  <si>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</si>
  <si>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</si>
  <si>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</si>
  <si>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</si>
  <si>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</si>
  <si>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</si>
  <si>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</si>
  <si>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</si>
  <si>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</si>
  <si>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</si>
  <si>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</si>
  <si>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</si>
  <si>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</si>
  <si>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</si>
  <si>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</si>
  <si>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</si>
  <si>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</si>
  <si>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</si>
  <si>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</si>
  <si>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</si>
  <si>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</si>
  <si>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</si>
  <si>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</si>
  <si>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</si>
  <si>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</si>
  <si>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</si>
  <si>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</si>
  <si>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</si>
  <si>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</si>
  <si>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</si>
  <si>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</si>
  <si>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</si>
  <si>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</si>
  <si>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</si>
  <si>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</si>
  <si>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</si>
  <si>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</si>
  <si>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</si>
  <si>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</si>
  <si>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</si>
  <si>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</si>
  <si>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</si>
  <si>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</si>
  <si>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</si>
  <si>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</si>
  <si>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</si>
  <si>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</si>
  <si>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</si>
  <si>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</si>
  <si>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</si>
  <si>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</si>
  <si>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</si>
  <si>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</si>
  <si>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</si>
  <si>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</si>
  <si>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</si>
  <si>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</si>
  <si>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</si>
  <si>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</si>
  <si>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</si>
  <si>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</si>
  <si>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</si>
  <si>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</si>
  <si>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</si>
  <si>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</si>
  <si>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</si>
  <si>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</si>
  <si>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</si>
  <si>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</si>
  <si>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</si>
  <si>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</si>
  <si>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</si>
  <si>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</si>
  <si>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</si>
  <si>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</si>
  <si>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</si>
  <si>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</si>
  <si>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</si>
  <si>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</si>
  <si>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</si>
  <si>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</si>
  <si>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</si>
  <si>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</si>
  <si>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</si>
  <si>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</si>
  <si>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</si>
  <si>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</si>
  <si>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</si>
  <si>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</si>
  <si>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</si>
  <si>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</si>
  <si>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</si>
  <si>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</si>
  <si>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</si>
  <si>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</si>
  <si>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</si>
  <si>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</si>
  <si>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</si>
  <si>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</si>
  <si>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</si>
  <si>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</si>
  <si>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</si>
  <si>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</si>
  <si>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</si>
  <si>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</si>
  <si>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</si>
  <si>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</si>
  <si>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</si>
  <si>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</si>
  <si>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</si>
  <si>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</si>
  <si>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</si>
  <si>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</si>
  <si>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</si>
  <si>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</si>
  <si>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</si>
  <si>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</si>
  <si>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</si>
  <si>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</si>
  <si>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</si>
  <si>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</si>
  <si>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</si>
  <si>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</si>
  <si>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</si>
  <si>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</si>
  <si>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</si>
  <si>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</si>
  <si>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</si>
  <si>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</si>
  <si>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</si>
  <si>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</si>
  <si>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</si>
  <si>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</si>
  <si>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</si>
  <si>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</si>
  <si>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</si>
  <si>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</si>
  <si>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</si>
  <si>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</si>
  <si>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</si>
  <si>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</si>
  <si>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</si>
  <si>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</si>
  <si>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</si>
  <si>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</si>
  <si>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</si>
  <si>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</si>
  <si>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</si>
  <si>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</si>
  <si>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</si>
  <si>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</si>
  <si>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</si>
  <si>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</si>
  <si>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</si>
  <si>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</si>
  <si>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</si>
  <si>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</si>
  <si>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</si>
  <si>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</si>
  <si>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</si>
  <si>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</si>
  <si>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</si>
  <si>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</si>
  <si>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</si>
  <si>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</si>
  <si>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</si>
  <si>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</si>
  <si>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</si>
  <si>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</si>
  <si>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</si>
  <si>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</si>
  <si>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</si>
  <si>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</si>
  <si>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</si>
  <si>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</si>
  <si>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</si>
  <si>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</si>
  <si>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</si>
  <si>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</si>
  <si>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</si>
  <si>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</si>
  <si>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</si>
  <si>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</si>
  <si>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</si>
  <si>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</si>
  <si>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</si>
  <si>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</si>
  <si>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</si>
  <si>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</si>
  <si>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</si>
  <si>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</si>
  <si>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</si>
  <si>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</si>
  <si>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</si>
  <si>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</si>
  <si>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</si>
  <si>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</si>
  <si>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</si>
  <si>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</si>
  <si>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</si>
  <si>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</si>
  <si>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</si>
  <si>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</si>
  <si>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</si>
  <si>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</si>
  <si>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</si>
  <si>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</si>
  <si>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</si>
  <si>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</si>
  <si>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</si>
  <si>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</si>
  <si>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</si>
  <si>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</si>
  <si>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</si>
  <si>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</si>
  <si>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</si>
  <si>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</si>
  <si>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</si>
  <si>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</si>
  <si>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</si>
  <si>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</si>
  <si>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</si>
  <si>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</si>
  <si>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</si>
  <si>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</si>
  <si>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</si>
  <si>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</si>
  <si>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</si>
  <si>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</si>
  <si>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</si>
  <si>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</si>
  <si>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</si>
  <si>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</si>
  <si>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</si>
  <si>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</si>
  <si>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</si>
  <si>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</si>
  <si>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</si>
  <si>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</si>
  <si>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</si>
  <si>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</si>
  <si>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</si>
  <si>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</si>
  <si>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</si>
  <si>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</si>
  <si>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</si>
  <si>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</si>
  <si>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</si>
  <si>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</si>
  <si>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</si>
  <si>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</si>
  <si>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</si>
  <si>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</si>
  <si>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</si>
  <si>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</si>
  <si>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</si>
  <si>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</si>
  <si>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</si>
  <si>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</si>
  <si>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</si>
  <si>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</si>
  <si>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</si>
  <si>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</si>
  <si>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</si>
  <si>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</si>
  <si>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</si>
  <si>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</si>
  <si>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</si>
  <si>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</si>
  <si>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</si>
  <si>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</si>
  <si>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</si>
  <si>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</si>
  <si>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</si>
  <si>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</si>
  <si>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</si>
  <si>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</si>
  <si>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</si>
  <si>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</si>
  <si>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</si>
  <si>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</si>
  <si>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</si>
  <si>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</si>
  <si>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</si>
  <si>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</si>
  <si>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</si>
  <si>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</si>
  <si>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</si>
  <si>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</si>
  <si>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</si>
  <si>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</si>
  <si>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</si>
  <si>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</si>
  <si>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</si>
  <si>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</si>
  <si>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</si>
  <si>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</si>
  <si>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</si>
  <si>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</si>
  <si>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</si>
  <si>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</si>
  <si>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</si>
  <si>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</si>
  <si>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</si>
  <si>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</si>
  <si>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</si>
  <si>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</si>
  <si>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</si>
  <si>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</si>
  <si>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</si>
  <si>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</si>
  <si>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</si>
  <si>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</si>
  <si>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</si>
  <si>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</si>
  <si>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</si>
  <si>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</si>
  <si>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</si>
  <si>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</si>
  <si>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</si>
  <si>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</si>
  <si>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</si>
  <si>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</si>
  <si>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</si>
  <si>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</si>
  <si>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</si>
  <si>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</si>
  <si>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</si>
  <si>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</si>
  <si>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</si>
  <si>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</si>
  <si>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</si>
  <si>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</si>
  <si>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</si>
  <si>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</si>
  <si>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</si>
  <si>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</si>
  <si>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</si>
  <si>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</si>
  <si>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</si>
  <si>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</si>
  <si>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</si>
  <si>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</si>
  <si>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</si>
  <si>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</si>
  <si>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</si>
  <si>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</si>
  <si>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</si>
  <si>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</si>
  <si>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</si>
  <si>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</si>
  <si>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</si>
  <si>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</si>
  <si>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</si>
  <si>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</si>
  <si>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</si>
  <si>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</si>
  <si>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</si>
  <si>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</si>
  <si>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</si>
  <si>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</si>
  <si>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</si>
  <si>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</si>
  <si>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</si>
  <si>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</si>
  <si>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</si>
  <si>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</si>
  <si>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</si>
  <si>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</si>
  <si>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</si>
  <si>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</si>
  <si>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</si>
  <si>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</si>
  <si>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</si>
  <si>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</si>
  <si>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</si>
  <si>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</si>
  <si>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</si>
  <si>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</si>
  <si>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</si>
  <si>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</si>
  <si>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</si>
  <si>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</si>
  <si>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</si>
  <si>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</si>
  <si>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</si>
  <si>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</si>
  <si>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</si>
  <si>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</si>
  <si>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</si>
  <si>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</si>
  <si>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</si>
  <si>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</si>
  <si>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</si>
  <si>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</si>
  <si>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</si>
  <si>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</si>
  <si>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</si>
  <si>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</si>
  <si>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</si>
  <si>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</si>
  <si>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</si>
  <si>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</si>
  <si>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</si>
  <si>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</si>
  <si>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</si>
  <si>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</si>
  <si>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</si>
  <si>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</si>
  <si>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</si>
  <si>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</si>
  <si>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</si>
  <si>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</si>
  <si>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</si>
  <si>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</si>
  <si>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</si>
  <si>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</si>
  <si>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</si>
  <si>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</si>
  <si>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</si>
  <si>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</si>
  <si>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</si>
  <si>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</si>
  <si>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</si>
  <si>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</si>
  <si>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</si>
  <si>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</si>
  <si>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</si>
  <si>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</si>
  <si>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</si>
  <si>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</si>
  <si>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</si>
  <si>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</si>
  <si>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</si>
  <si>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</si>
  <si>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</si>
  <si>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</si>
  <si>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</si>
  <si>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</si>
  <si>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</si>
  <si>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</si>
  <si>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</si>
  <si>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</si>
  <si>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</si>
  <si>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</si>
  <si>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</si>
  <si>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</si>
  <si>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</si>
  <si>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</si>
  <si>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</si>
  <si>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</si>
  <si>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</si>
  <si>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</si>
  <si>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</si>
  <si>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</si>
  <si>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</si>
  <si>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</si>
  <si>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</si>
  <si>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</si>
  <si>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</si>
  <si>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</si>
  <si>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</si>
  <si>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</si>
  <si>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</si>
  <si>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</si>
  <si>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</si>
  <si>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</si>
  <si>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</si>
  <si>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</si>
  <si>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</si>
  <si>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</si>
  <si>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</si>
  <si>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</si>
  <si>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</si>
  <si>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</si>
  <si>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</si>
  <si>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</si>
  <si>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</si>
  <si>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</si>
  <si>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</si>
  <si>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</si>
  <si>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</si>
  <si>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</si>
  <si>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</si>
  <si>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</si>
  <si>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</si>
  <si>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</si>
  <si>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</si>
  <si>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</si>
  <si>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</si>
  <si>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</si>
  <si>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</si>
  <si>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</si>
  <si>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</si>
  <si>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</si>
  <si>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</si>
  <si>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</si>
  <si>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</si>
  <si>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</si>
  <si>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</si>
  <si>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</si>
  <si>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</si>
  <si>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</si>
  <si>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</si>
  <si>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</si>
  <si>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</si>
  <si>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</si>
  <si>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</si>
  <si>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</si>
  <si>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</si>
  <si>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</si>
  <si>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</si>
  <si>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</si>
  <si>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</si>
  <si>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</si>
  <si>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</si>
  <si>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</si>
  <si>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</si>
  <si>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</si>
  <si>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</si>
  <si>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</si>
  <si>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</si>
  <si>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</si>
  <si>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</si>
  <si>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</si>
  <si>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</si>
  <si>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</si>
  <si>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</si>
  <si>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</si>
  <si>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</si>
  <si>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</si>
  <si>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</si>
  <si>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</si>
  <si>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</si>
  <si>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</si>
  <si>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</si>
  <si>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</si>
  <si>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</si>
  <si>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</si>
  <si>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</si>
  <si>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</si>
  <si>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</si>
  <si>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</si>
  <si>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</si>
  <si>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</si>
  <si>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</si>
  <si>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</si>
  <si>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</si>
  <si>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</si>
  <si>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</si>
  <si>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</si>
  <si>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</si>
  <si>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</si>
  <si>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</si>
  <si>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</si>
  <si>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</si>
  <si>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</si>
  <si>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</si>
  <si>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</si>
  <si>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</si>
  <si>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</si>
  <si>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</si>
  <si>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</si>
  <si>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</si>
  <si>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</si>
  <si>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</si>
  <si>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</si>
  <si>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</si>
  <si>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</si>
  <si>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</si>
  <si>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</si>
  <si>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</si>
  <si>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</si>
  <si>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</si>
  <si>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</si>
  <si>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</si>
  <si>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</si>
  <si>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</si>
  <si>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</si>
  <si>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</si>
  <si>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</si>
  <si>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</si>
  <si>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</si>
  <si>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</si>
  <si>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</si>
  <si>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</si>
  <si>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</si>
  <si>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</si>
  <si>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</si>
  <si>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</si>
  <si>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</si>
  <si>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</si>
  <si>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</si>
  <si>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</si>
  <si>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</si>
  <si>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</si>
  <si>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</si>
  <si>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</si>
  <si>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</si>
  <si>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</si>
  <si>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</si>
  <si>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</si>
  <si>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</si>
  <si>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</si>
  <si>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</si>
  <si>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</si>
  <si>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</si>
  <si>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</si>
  <si>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</si>
  <si>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</si>
  <si>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</si>
  <si>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</si>
  <si>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</si>
  <si>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</si>
  <si>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</si>
  <si>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</si>
  <si>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</si>
  <si>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</si>
  <si>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</si>
  <si>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</si>
  <si>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</si>
  <si>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</si>
  <si>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</si>
  <si>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</si>
  <si>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</si>
  <si>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</si>
  <si>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</si>
  <si>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</si>
  <si>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</si>
  <si>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</si>
  <si>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</si>
  <si>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</si>
  <si>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</si>
  <si>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</si>
  <si>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</si>
  <si>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</si>
  <si>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</si>
  <si>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</si>
  <si>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</si>
  <si>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</si>
  <si>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</si>
  <si>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</si>
  <si>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</si>
  <si>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</si>
  <si>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</si>
  <si>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</si>
  <si>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</si>
  <si>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</si>
  <si>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</si>
  <si>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</si>
  <si>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</si>
  <si>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</si>
  <si>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</si>
  <si>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</si>
  <si>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</si>
  <si>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</si>
  <si>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</si>
  <si>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</si>
  <si>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</si>
  <si>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</si>
  <si>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</si>
  <si>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</si>
  <si>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</si>
  <si>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</si>
  <si>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</si>
  <si>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</si>
  <si>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</si>
  <si>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</si>
  <si>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</si>
  <si>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</si>
  <si>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</si>
  <si>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</si>
  <si>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</si>
  <si>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</si>
  <si>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</si>
  <si>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</si>
  <si>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</si>
  <si>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</si>
  <si>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</si>
  <si>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</si>
  <si>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</si>
  <si>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</si>
  <si>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</si>
  <si>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</si>
  <si>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</si>
  <si>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</si>
  <si>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</si>
  <si>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</si>
  <si>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</si>
  <si>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</si>
  <si>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</si>
  <si>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</si>
  <si>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</si>
  <si>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</si>
  <si>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</si>
  <si>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</si>
  <si>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</si>
  <si>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</si>
  <si>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</si>
  <si>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</si>
  <si>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</si>
  <si>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</si>
  <si>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</si>
  <si>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</si>
  <si>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</si>
  <si>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</si>
  <si>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</si>
  <si>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</si>
  <si>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</si>
  <si>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</si>
  <si>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</si>
  <si>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</si>
  <si>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</si>
  <si>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</si>
  <si>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</si>
  <si>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</si>
  <si>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</si>
  <si>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</si>
  <si>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</si>
  <si>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</si>
  <si>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</si>
  <si>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</si>
  <si>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</si>
  <si>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</si>
  <si>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</si>
  <si>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</si>
  <si>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</si>
  <si>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</si>
  <si>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</si>
  <si>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</si>
  <si>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</si>
  <si>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</si>
  <si>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</si>
  <si>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</si>
  <si>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</si>
  <si>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</si>
  <si>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</si>
  <si>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</si>
  <si>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</si>
  <si>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</si>
  <si>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</si>
  <si>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</si>
  <si>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</si>
  <si>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</si>
  <si>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</si>
  <si>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</si>
  <si>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</si>
  <si>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</si>
  <si>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</si>
  <si>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</si>
  <si>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</si>
  <si>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</si>
  <si>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</si>
  <si>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</si>
  <si>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</si>
  <si>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</si>
  <si>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</si>
  <si>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</si>
  <si>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</si>
  <si>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</si>
  <si>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</si>
  <si>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</si>
  <si>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</si>
  <si>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</si>
  <si>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</si>
  <si>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</si>
  <si>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</si>
  <si>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</si>
  <si>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</si>
  <si>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</si>
  <si>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</si>
  <si>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</si>
  <si>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</si>
  <si>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</si>
  <si>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</si>
  <si>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</si>
  <si>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</si>
  <si>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</si>
  <si>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</si>
  <si>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</si>
  <si>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</si>
  <si>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</si>
  <si>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</si>
  <si>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</si>
  <si>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</si>
  <si>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</si>
  <si>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</si>
  <si>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</si>
  <si>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</si>
  <si>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</si>
  <si>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</si>
  <si>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</si>
  <si>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</si>
  <si>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</si>
  <si>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</si>
  <si>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</si>
  <si>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</si>
  <si>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</si>
  <si>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</si>
  <si>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</si>
  <si>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</si>
  <si>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</si>
  <si>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</si>
  <si>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</si>
  <si>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</si>
  <si>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</si>
  <si>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</si>
  <si>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</si>
  <si>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</si>
  <si>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</si>
  <si>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</si>
  <si>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</si>
  <si>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</si>
  <si>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</si>
  <si>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</si>
  <si>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</si>
  <si>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</si>
  <si>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</si>
  <si>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</si>
  <si>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</si>
  <si>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</si>
  <si>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</si>
  <si>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</si>
  <si>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</si>
  <si>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</si>
  <si>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</si>
  <si>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</si>
  <si>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</si>
  <si>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</si>
  <si>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</si>
  <si>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</si>
  <si>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</si>
  <si>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</si>
  <si>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</si>
  <si>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</si>
  <si>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</si>
  <si>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</si>
  <si>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</si>
  <si>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</si>
  <si>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</si>
  <si>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</si>
  <si>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</si>
  <si>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</si>
  <si>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</si>
  <si>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</si>
  <si>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</si>
  <si>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</si>
  <si>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</si>
  <si>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</si>
  <si>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</si>
  <si>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</si>
  <si>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</si>
  <si>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</si>
  <si>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</si>
  <si>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</si>
  <si>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</si>
  <si>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</si>
  <si>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</si>
  <si>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</si>
  <si>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</si>
  <si>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</si>
  <si>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</si>
  <si>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</si>
  <si>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</si>
  <si>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</si>
  <si>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</si>
  <si>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</si>
  <si>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</si>
  <si>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</si>
  <si>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</si>
  <si>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</si>
  <si>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</si>
  <si>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</si>
  <si>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</si>
  <si>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</si>
  <si>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</si>
  <si>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</si>
  <si>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</si>
  <si>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</si>
  <si>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</si>
  <si>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</si>
  <si>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</si>
  <si>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</si>
  <si>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</si>
  <si>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</si>
  <si>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</si>
  <si>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</si>
  <si>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</si>
  <si>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</si>
  <si>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</si>
  <si>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</si>
  <si>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</si>
  <si>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</si>
  <si>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</si>
  <si>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</si>
  <si>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</si>
  <si>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</si>
  <si>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</si>
  <si>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</si>
  <si>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</si>
  <si>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</si>
  <si>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</si>
  <si>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</si>
  <si>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</si>
  <si>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</si>
  <si>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</si>
  <si>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</si>
  <si>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</si>
  <si>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</si>
  <si>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</si>
  <si>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</si>
  <si>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</si>
  <si>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</si>
  <si>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</si>
  <si>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</si>
  <si>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</si>
  <si>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</si>
  <si>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</si>
  <si>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</si>
  <si>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</si>
  <si>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</si>
  <si>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</si>
  <si>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</si>
  <si>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</si>
  <si>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</si>
  <si>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</si>
  <si>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</si>
  <si>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</si>
  <si>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</si>
  <si>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</si>
  <si>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</si>
  <si>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</si>
  <si>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</si>
  <si>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</si>
  <si>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</si>
  <si>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</si>
  <si>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</si>
  <si>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</si>
  <si>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</si>
  <si>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</si>
  <si>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</si>
  <si>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</si>
  <si>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</si>
  <si>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</si>
  <si>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</si>
  <si>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</si>
  <si>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</si>
  <si>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</si>
  <si>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</si>
  <si>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</si>
  <si>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</si>
  <si>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</si>
  <si>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</si>
  <si>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</si>
  <si>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</si>
  <si>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</si>
  <si>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</si>
  <si>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</si>
  <si>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</si>
  <si>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</si>
  <si>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</si>
  <si>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</si>
  <si>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</si>
  <si>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</si>
  <si>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</si>
  <si>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</si>
  <si>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</si>
  <si>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</si>
  <si>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</si>
  <si>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</si>
  <si>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</si>
  <si>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</si>
  <si>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</si>
  <si>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</si>
  <si>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</si>
  <si>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</si>
  <si>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</si>
  <si>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</si>
  <si>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</si>
  <si>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</si>
  <si>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</si>
  <si>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</si>
  <si>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</si>
  <si>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</si>
  <si>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</si>
  <si>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</si>
  <si>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</si>
  <si>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</si>
  <si>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</si>
  <si>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</si>
  <si>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</si>
  <si>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</si>
  <si>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</si>
  <si>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</si>
  <si>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</si>
  <si>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</si>
  <si>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</si>
  <si>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</si>
  <si>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</si>
  <si>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</si>
  <si>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</si>
  <si>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</si>
  <si>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</si>
  <si>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</si>
  <si>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</si>
  <si>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</si>
  <si>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</si>
  <si>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</si>
  <si>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</si>
  <si>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</si>
  <si>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</si>
  <si>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</si>
  <si>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</si>
  <si>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</si>
  <si>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</si>
  <si>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</si>
  <si>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</si>
  <si>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</si>
  <si>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</si>
  <si>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</si>
  <si>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</si>
  <si>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</si>
  <si>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</si>
  <si>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</si>
  <si>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</si>
  <si>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</si>
  <si>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</si>
  <si>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</si>
  <si>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</si>
  <si>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</si>
  <si>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</si>
  <si>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</si>
  <si>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</si>
  <si>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</si>
  <si>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</si>
  <si>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</si>
  <si>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</si>
  <si>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</si>
  <si>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</si>
  <si>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</si>
  <si>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</si>
  <si>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</si>
  <si>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</si>
  <si>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</si>
  <si>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</si>
  <si>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</si>
  <si>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</si>
  <si>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</si>
  <si>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</si>
  <si>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</si>
  <si>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</si>
  <si>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</si>
  <si>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</si>
  <si>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</si>
  <si>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</si>
  <si>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</si>
  <si>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</si>
  <si>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</si>
  <si>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</si>
  <si>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</si>
  <si>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</si>
  <si>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</si>
  <si>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</si>
  <si>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</si>
  <si>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</si>
  <si>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</si>
  <si>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</si>
  <si>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</si>
  <si>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</si>
  <si>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</si>
  <si>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</si>
  <si>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</si>
  <si>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</si>
  <si>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</si>
  <si>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</si>
  <si>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</si>
  <si>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</si>
  <si>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</si>
  <si>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</si>
  <si>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</si>
  <si>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</si>
  <si>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</si>
  <si>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</si>
  <si>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</si>
  <si>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</si>
  <si>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</si>
  <si>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</si>
  <si>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</si>
  <si>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</si>
  <si>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</si>
  <si>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</si>
  <si>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</si>
  <si>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</si>
  <si>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</si>
  <si>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</si>
  <si>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</si>
  <si>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</si>
  <si>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</si>
  <si>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</si>
  <si>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</si>
  <si>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</si>
  <si>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</si>
  <si>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</si>
  <si>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</si>
  <si>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</si>
  <si>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</si>
  <si>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</si>
  <si>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</si>
  <si>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</si>
  <si>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</si>
  <si>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</si>
  <si>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</si>
  <si>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</si>
  <si>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</si>
  <si>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</si>
  <si>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</si>
  <si>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</si>
  <si>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</si>
  <si>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</si>
  <si>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</si>
  <si>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</si>
  <si>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</si>
  <si>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</si>
  <si>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</si>
  <si>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</si>
  <si>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</si>
  <si>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</si>
  <si>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</si>
  <si>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</si>
  <si>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</si>
  <si>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</si>
  <si>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</si>
  <si>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</si>
  <si>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</si>
  <si>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</si>
  <si>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</si>
  <si>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</si>
  <si>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</si>
  <si>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</si>
  <si>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</si>
  <si>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</si>
  <si>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</si>
  <si>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</si>
  <si>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</si>
  <si>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</si>
  <si>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</si>
  <si>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</si>
  <si>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</si>
  <si>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</si>
  <si>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</si>
  <si>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</si>
  <si>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</si>
  <si>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</si>
  <si>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</si>
  <si>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</si>
  <si>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</si>
  <si>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</si>
  <si>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</si>
  <si>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</si>
  <si>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</si>
  <si>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</si>
  <si>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</si>
  <si>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</si>
  <si>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</si>
  <si>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</si>
  <si>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</si>
  <si>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</si>
  <si>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</si>
  <si>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</si>
  <si>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</si>
  <si>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</si>
  <si>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</si>
  <si>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</si>
  <si>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</si>
  <si>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</si>
  <si>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</si>
  <si>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</si>
  <si>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</si>
  <si>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</si>
  <si>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</si>
  <si>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</si>
  <si>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</si>
  <si>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</si>
  <si>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</si>
  <si>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</si>
  <si>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</si>
  <si>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</si>
  <si>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</si>
  <si>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</si>
  <si>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</si>
  <si>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</si>
  <si>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</si>
  <si>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</si>
  <si>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</si>
  <si>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</si>
  <si>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</si>
  <si>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</si>
  <si>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</si>
  <si>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</si>
  <si>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</si>
  <si>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</si>
  <si>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</si>
  <si>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</si>
  <si>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</si>
  <si>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</si>
  <si>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</si>
  <si>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</si>
  <si>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</si>
  <si>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</si>
  <si>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</si>
  <si>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</si>
  <si>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</si>
  <si>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</si>
  <si>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</si>
  <si>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</si>
  <si>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</si>
  <si>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</si>
  <si>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</si>
  <si>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</si>
  <si>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</si>
  <si>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</si>
  <si>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</si>
  <si>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</si>
  <si>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</si>
  <si>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</si>
  <si>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</si>
  <si>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</si>
  <si>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</si>
  <si>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</si>
  <si>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</si>
  <si>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</si>
  <si>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</si>
  <si>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</si>
  <si>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</si>
  <si>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</si>
  <si>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</si>
  <si>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</si>
  <si>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</si>
  <si>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</si>
  <si>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</si>
  <si>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</si>
  <si>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</si>
  <si>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</si>
  <si>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</si>
  <si>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</si>
  <si>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</si>
  <si>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</si>
  <si>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</si>
  <si>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</si>
  <si>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</si>
  <si>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</si>
  <si>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</si>
  <si>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</si>
  <si>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</si>
  <si>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</si>
  <si>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</si>
  <si>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</si>
  <si>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</si>
  <si>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</si>
  <si>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</si>
  <si>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</si>
  <si>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</si>
  <si>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</si>
  <si>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</si>
  <si>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</si>
  <si>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</si>
  <si>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</si>
  <si>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</si>
  <si>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</si>
  <si>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</si>
  <si>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</si>
  <si>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</si>
  <si>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</si>
  <si>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</si>
  <si>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</si>
  <si>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</si>
  <si>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</si>
  <si>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</si>
  <si>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</si>
  <si>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</si>
  <si>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</si>
  <si>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</si>
  <si>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</si>
  <si>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</si>
  <si>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</si>
  <si>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</si>
  <si>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</si>
  <si>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</si>
  <si>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</si>
  <si>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</si>
  <si>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</si>
  <si>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</si>
  <si>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</si>
  <si>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</si>
  <si>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</si>
  <si>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</si>
  <si>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</si>
  <si>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</si>
  <si>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</si>
  <si>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</si>
  <si>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</si>
  <si>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</si>
  <si>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</si>
  <si>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</si>
  <si>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</si>
  <si>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</si>
  <si>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</si>
  <si>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</si>
  <si>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</si>
  <si>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</si>
  <si>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</si>
  <si>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</si>
  <si>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</si>
  <si>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</si>
  <si>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</si>
  <si>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</si>
  <si>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</si>
  <si>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</si>
  <si>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</si>
  <si>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</si>
  <si>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</si>
  <si>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</si>
  <si>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</si>
  <si>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</si>
  <si>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</si>
  <si>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</si>
  <si>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</si>
  <si>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</si>
  <si>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</si>
  <si>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</si>
  <si>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</si>
  <si>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</si>
  <si>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</si>
  <si>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</si>
  <si>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</si>
  <si>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</si>
  <si>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</si>
  <si>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</si>
  <si>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</si>
  <si>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</si>
  <si>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</si>
  <si>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</si>
  <si>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</si>
  <si>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</si>
  <si>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</si>
  <si>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</si>
  <si>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</si>
  <si>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</si>
  <si>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</si>
  <si>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</si>
  <si>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</si>
  <si>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</si>
  <si>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</si>
  <si>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</si>
  <si>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</si>
  <si>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</si>
  <si>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</si>
  <si>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</si>
  <si>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</si>
  <si>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</si>
  <si>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</si>
  <si>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</si>
  <si>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</si>
  <si>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</si>
  <si>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</si>
  <si>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</si>
  <si>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</si>
  <si>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</si>
  <si>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</si>
  <si>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</si>
  <si>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</si>
  <si>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</si>
  <si>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</si>
  <si>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</si>
  <si>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</si>
  <si>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</si>
  <si>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</si>
  <si>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</si>
  <si>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</si>
  <si>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</si>
  <si>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</si>
  <si>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</si>
  <si>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</si>
  <si>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</si>
  <si>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</si>
  <si>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</si>
  <si>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</si>
  <si>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</si>
  <si>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</si>
  <si>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</si>
  <si>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</si>
  <si>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</si>
  <si>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</si>
  <si>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</si>
  <si>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</si>
  <si>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</si>
  <si>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</si>
  <si>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</si>
  <si>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</si>
  <si>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</si>
  <si>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</si>
  <si>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</si>
  <si>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</si>
  <si>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</si>
  <si>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</si>
  <si>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</si>
  <si>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</si>
  <si>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</si>
  <si>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</si>
  <si>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</si>
  <si>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</si>
  <si>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</si>
  <si>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</si>
  <si>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</si>
  <si>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</si>
  <si>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</si>
  <si>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</si>
  <si>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</si>
  <si>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</si>
  <si>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</si>
  <si>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</si>
  <si>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</si>
  <si>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</si>
  <si>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</si>
  <si>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</si>
  <si>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</si>
  <si>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</si>
  <si>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</si>
  <si>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</si>
  <si>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</si>
  <si>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</si>
  <si>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</si>
  <si>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</si>
  <si>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</si>
  <si>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</si>
  <si>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</si>
  <si>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</si>
  <si>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</si>
  <si>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</si>
  <si>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</si>
  <si>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</si>
  <si>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</si>
  <si>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</si>
  <si>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</si>
  <si>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</si>
  <si>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</si>
  <si>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</si>
  <si>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</si>
  <si>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</si>
  <si>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</si>
  <si>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</si>
  <si>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</si>
  <si>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</si>
  <si>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</si>
  <si>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</si>
  <si>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</si>
  <si>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</si>
  <si>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</si>
  <si>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</si>
  <si>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</si>
  <si>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</si>
  <si>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</si>
  <si>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</si>
  <si>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</si>
  <si>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</si>
  <si>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</si>
  <si>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</si>
  <si>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</si>
  <si>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</si>
  <si>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</si>
  <si>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</si>
  <si>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</si>
  <si>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</si>
  <si>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</si>
  <si>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</si>
  <si>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</si>
  <si>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</si>
  <si>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</si>
  <si>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</si>
  <si>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</si>
  <si>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</si>
  <si>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</si>
  <si>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</si>
  <si>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</si>
  <si>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</si>
  <si>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</si>
  <si>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</si>
  <si>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</si>
  <si>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</si>
  <si>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</si>
  <si>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</si>
  <si>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</si>
  <si>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</si>
  <si>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</si>
  <si>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</si>
  <si>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</si>
  <si>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</si>
  <si>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</si>
  <si>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</si>
  <si>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</si>
  <si>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</si>
  <si>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</si>
  <si>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</si>
  <si>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</si>
  <si>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</si>
  <si>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</si>
  <si>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</si>
  <si>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</si>
  <si>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</si>
  <si>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</si>
  <si>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</si>
  <si>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</si>
  <si>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</si>
  <si>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</si>
  <si>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</si>
  <si>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</si>
  <si>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</si>
  <si>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</si>
  <si>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</si>
  <si>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</si>
  <si>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</si>
  <si>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</si>
  <si>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</si>
  <si>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</si>
  <si>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</si>
  <si>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</si>
  <si>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</si>
  <si>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</si>
  <si>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</si>
  <si>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</si>
  <si>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</si>
  <si>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</si>
  <si>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</si>
  <si>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</si>
  <si>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</si>
  <si>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</si>
  <si>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</si>
  <si>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</si>
  <si>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</si>
  <si>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</si>
  <si>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</si>
  <si>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</si>
  <si>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</si>
  <si>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</si>
  <si>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</si>
  <si>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</si>
  <si>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</si>
  <si>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</si>
  <si>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</si>
  <si>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</si>
  <si>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</si>
  <si>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</si>
  <si>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</si>
  <si>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</si>
  <si>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</si>
  <si>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</si>
  <si>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</si>
  <si>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</si>
  <si>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</si>
  <si>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</si>
  <si>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</si>
  <si>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</si>
  <si>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</si>
  <si>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</si>
  <si>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</si>
  <si>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</si>
  <si>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</si>
  <si>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</si>
  <si>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</si>
  <si>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</si>
  <si>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</si>
  <si>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</si>
  <si>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</si>
  <si>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</si>
  <si>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</si>
  <si>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</si>
  <si>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</si>
  <si>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</si>
  <si>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</si>
  <si>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</si>
  <si>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</si>
  <si>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</si>
  <si>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</si>
  <si>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</si>
  <si>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</si>
  <si>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</si>
  <si>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</si>
  <si>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</si>
  <si>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</si>
  <si>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</si>
  <si>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</si>
  <si>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</si>
  <si>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</si>
  <si>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</si>
  <si>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</si>
  <si>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</si>
  <si>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</si>
  <si>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</si>
  <si>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</si>
  <si>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</si>
  <si>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</si>
  <si>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</si>
  <si>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</si>
  <si>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</si>
  <si>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</si>
  <si>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</si>
  <si>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</si>
  <si>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</si>
  <si>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</si>
  <si>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</si>
  <si>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</si>
  <si>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</si>
  <si>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</si>
  <si>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</si>
  <si>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</si>
  <si>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</si>
  <si>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</si>
  <si>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</si>
  <si>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</si>
  <si>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</si>
  <si>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</si>
  <si>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</si>
  <si>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</si>
  <si>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SWCR003-05</t>
  </si>
  <si>
    <t>Refrig Fan Motor</t>
  </si>
  <si>
    <t>NE-Ref_Storage-VertDisplay-MT-PSC-Std</t>
  </si>
  <si>
    <t>NE-Ref_Storage-VertDisplay-MT-ECM-Msr</t>
  </si>
  <si>
    <t>NE-Ref_Storage-VertDisplay-LT-PSC-Std</t>
  </si>
  <si>
    <t>NE-Ref_Storage-VertDisplay-LT-ECM-Msr</t>
  </si>
  <si>
    <t>NE-Ref_Storage-VertDisplay-MT-SHP-Std</t>
  </si>
  <si>
    <t>NE-Ref_Storage-VertDisplay-LT-SHP-Std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</si>
</sst>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3">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3">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4381" y="1321596"/>
          <a:ext cx="7800975" cy="5364955"/>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52,'-2'2,"1"1,1-1,-1 2,-1 0,1-2,-1 2,-1-2,2-1,-2 3,-7 13,-29 53,29-54,2-2,1 4,1-3,-1 1,2 1,0 1,0 10,4-23,1 2,0 3,1-3,1-2,-1 4,0-1,1-3,1 2,0-1,0 0,1 2,-1 0,1-4,1 2,4 6,-5-8,1 1,-1-3,2 4,-1-2,0 1,1-1,-1-2,2 3,-1-2,-1-1,2 0,-1 2,1-2,-1 0,2 0,-1-1,0-1,4 1,43 0,-2-1,22-2,-69 2,-1-1,1 1,-2-1,2 1,-1-1,0 0,0-1,0-1,1 2,-2-1,1 0,-1 1,0-1,3 1,-5-4,3 4,0-2,-1-1,1-2,-1 0,0 3,1-1,-3-1,2-1,-2 1,3 0,-3 1,-1 0,1-5,-1 4,0-5,2 0,-1-1,1-1,1 1,0-3,0 5,2-4,0 3,0-2,4-4,-1 5,0-4,-1 3,0-7,0-5,-4 20,-1-3,-1 3,-1-2,1 1,-1-3,0 3,0-1,-1 2,1-3,-1 2,-1-2,-1 3,0-5,0 3,2-1,-3 3,0 2,1-2,0 0,-2 0,1-1,-1 3,1-1,-1 0,1 1,-1 0,0 0,-4-3,-3 0,1-1,-1 3,2 0,-3 0,1 1,-6 1,-24-5,31 3,1 1,-3 0,3 1,-1 0,-9 1,16 0,2 1,-3 0,2-1,-1 0,1 1,-2 1,4-1,-3-1,0 3,3-2,-3 0,2 2,-2-2,2 0,-1 1,1 0,0 0,-1 0,0 1,0 3,-2 2,-23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89,'-3'0,"0"2,0 1,2-2,-3 1,2-1,0 3,-1-2,0-1,2 0,-1 1,0-1,0 2,0-1,0 2,-1 2,-5 1,3 1,0 4,-1-3,2-2,-1 2,3 3,-3-5,3 3,0 3,1-6,-1 5,2-3,0 1,0 1,1 0,1-3,-1 2,2 4,0-10,0 1,0 3,0-3,1 2,-1-3,1 0,0 2,1-2,-1 1,1-1,1 0,0-1,1-1,-3 4,2-3,4 2,5 1,-1 2,3-3,-1 0,-1-1,0 0,10 2,6-2,0-3,2-1,-2 0,7 0,18 0,-44-1,-1 0,-1-2,1 1,0-2,1 0,-2 0,0 0,0 1,0-2,-1-2,7-1,42-21,-49 25,-2 2,0 1,-1-3,1 2,-1 0,1-1,-2-2,2 1,-3 0,3-2,-1 2,-2 0,1 0,-1-1,1-1,1-2,0 2,-5-2,4 2,-4-1,3 0,-2 1,0 0,0-1,-1 0,0 1,0-3,-1 1,-1 0,0 3,0-2,-1-1,1 2,-2-1,2 1,-3-1,1-1,1 1,-3 1,1 1,-3-6,-10-15,15 20,0 2,0 0,-1-1,0 2,0-1,0 0,-1 2,1-3,-1 1,0 2,0-2,0 1,-1 1,1-2,-1-1,0 3,0 0,-2-1,-24-2,1 0,-2 1,0 0,1 3,-1 0,-29 3,-4-2,56 0,2 1,0 0,-2 1,2-2,1 2,-3 0,2 1,0-2,1 0,0 2,-1 1,-1-1,-2 6,1-4,0 1,0 0,1 1,1-1,-1 2,-2 3,2-1</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13"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7" t="s">
        <v>15</v>
      </c>
    </row>
    <row r="39" spans="1:1" x14ac:dyDescent="0.3">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2:AG851"/>
  <sheetViews>
    <sheetView tabSelected="1" topLeftCell="N1" workbookViewId="0">
      <pane ySplit="5" topLeftCell="A843" activePane="bottomLeft" state="frozen"/>
      <selection pane="bottomLeft" activeCell="X864" sqref="X864"/>
    </sheetView>
  </sheetViews>
  <sheetFormatPr defaultRowHeight="14.4" outlineLevelCol="1" x14ac:dyDescent="0.3"/>
  <cols>
    <col min="1" max="3" width="24.33203125" customWidth="1"/>
    <col min="4" max="4" width="38.88671875" customWidth="1"/>
    <col min="5" max="5" width="41.5546875" customWidth="1"/>
    <col min="6" max="6" width="41.33203125" customWidth="1"/>
    <col min="7" max="7" width="34.44140625" customWidth="1"/>
    <col min="8" max="8" width="37.44140625" customWidth="1"/>
    <col min="9" max="9" width="34" bestFit="1" customWidth="1"/>
    <col min="10" max="10" width="39.33203125" bestFit="1" customWidth="1"/>
    <col min="11" max="11" width="34.6640625" customWidth="1" outlineLevel="1"/>
    <col min="12" max="12" width="29.33203125" customWidth="1" outlineLevel="1"/>
    <col min="13" max="13" width="37.33203125" customWidth="1" outlineLevel="1"/>
    <col min="14" max="14" width="71.109375" customWidth="1"/>
    <col min="15" max="15" width="11.109375" bestFit="1" customWidth="1"/>
    <col min="16" max="16" width="11.5546875" bestFit="1" customWidth="1"/>
    <col min="17" max="17" width="11.6640625" bestFit="1" customWidth="1"/>
    <col min="18" max="18" width="10.5546875" bestFit="1" customWidth="1"/>
    <col min="19" max="19" width="19.6640625" customWidth="1"/>
    <col min="20" max="20" width="31.6640625" customWidth="1"/>
    <col min="21" max="21" width="28.6640625" bestFit="1" customWidth="1"/>
    <col min="22" max="22" width="16" bestFit="1" customWidth="1"/>
    <col min="23" max="23" width="14.5546875" bestFit="1" customWidth="1"/>
    <col min="24" max="24" width="17.6640625" bestFit="1" customWidth="1"/>
    <col min="25" max="25" width="16.5546875" bestFit="1" customWidth="1"/>
    <col min="26" max="26" width="22.109375" customWidth="1"/>
    <col min="27" max="27" width="11" customWidth="1"/>
    <col min="28" max="28" width="46.77734375" bestFit="1" customWidth="1"/>
    <col min="29" max="29" width="11.6640625" customWidth="1"/>
    <col min="30" max="30" width="20.88671875" customWidth="1"/>
    <col min="33" max="33" width="8.88671875" customWidth="1"/>
  </cols>
  <sheetData>
    <row r="2" spans="1:33" x14ac:dyDescent="0.3">
      <c r="AF2" s="36"/>
    </row>
    <row r="3" spans="1:33" x14ac:dyDescent="0.3">
      <c r="A3" t="s">
        <v>17</v>
      </c>
    </row>
    <row r="4" spans="1:33" ht="15" thickBot="1" x14ac:dyDescent="0.35">
      <c r="H4" s="51" t="s">
        <v>18</v>
      </c>
      <c r="I4" s="51"/>
      <c r="J4" s="51"/>
      <c r="K4" s="51" t="s">
        <v>19</v>
      </c>
      <c r="L4" s="51"/>
      <c r="M4" s="51"/>
      <c r="N4" s="1" t="s">
        <v>20</v>
      </c>
    </row>
    <row r="5" spans="1:33" ht="29.4" thickBot="1" x14ac:dyDescent="0.35">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x14ac:dyDescent="0.3">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x14ac:dyDescent="0.3">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x14ac:dyDescent="0.3">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x14ac:dyDescent="0.3">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x14ac:dyDescent="0.3">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x14ac:dyDescent="0.3">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x14ac:dyDescent="0.3">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x14ac:dyDescent="0.3">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x14ac:dyDescent="0.3">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x14ac:dyDescent="0.3">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x14ac:dyDescent="0.3">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x14ac:dyDescent="0.3">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x14ac:dyDescent="0.3">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x14ac:dyDescent="0.3">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x14ac:dyDescent="0.3">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x14ac:dyDescent="0.3">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x14ac:dyDescent="0.3">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x14ac:dyDescent="0.3">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x14ac:dyDescent="0.3">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x14ac:dyDescent="0.3">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x14ac:dyDescent="0.3">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x14ac:dyDescent="0.3">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x14ac:dyDescent="0.3">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x14ac:dyDescent="0.3">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x14ac:dyDescent="0.3">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x14ac:dyDescent="0.3">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x14ac:dyDescent="0.3">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x14ac:dyDescent="0.3">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x14ac:dyDescent="0.3">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x14ac:dyDescent="0.3">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x14ac:dyDescent="0.3">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x14ac:dyDescent="0.3">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x14ac:dyDescent="0.3">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x14ac:dyDescent="0.3">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x14ac:dyDescent="0.3">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x14ac:dyDescent="0.3">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x14ac:dyDescent="0.3">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x14ac:dyDescent="0.3">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x14ac:dyDescent="0.3">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x14ac:dyDescent="0.3">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x14ac:dyDescent="0.3">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x14ac:dyDescent="0.3">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x14ac:dyDescent="0.3">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x14ac:dyDescent="0.3">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x14ac:dyDescent="0.3">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x14ac:dyDescent="0.3">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x14ac:dyDescent="0.3">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x14ac:dyDescent="0.3">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x14ac:dyDescent="0.3">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x14ac:dyDescent="0.3">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x14ac:dyDescent="0.3">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x14ac:dyDescent="0.3">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x14ac:dyDescent="0.3">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x14ac:dyDescent="0.3">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x14ac:dyDescent="0.3">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x14ac:dyDescent="0.3">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x14ac:dyDescent="0.3">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x14ac:dyDescent="0.3">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x14ac:dyDescent="0.3">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x14ac:dyDescent="0.3">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x14ac:dyDescent="0.3">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x14ac:dyDescent="0.3">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x14ac:dyDescent="0.3">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x14ac:dyDescent="0.3">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x14ac:dyDescent="0.3">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x14ac:dyDescent="0.3">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x14ac:dyDescent="0.3">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x14ac:dyDescent="0.3">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x14ac:dyDescent="0.3">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x14ac:dyDescent="0.3">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x14ac:dyDescent="0.3">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x14ac:dyDescent="0.3">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x14ac:dyDescent="0.3">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x14ac:dyDescent="0.3">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x14ac:dyDescent="0.3">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x14ac:dyDescent="0.3">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x14ac:dyDescent="0.3">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x14ac:dyDescent="0.3">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x14ac:dyDescent="0.3">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x14ac:dyDescent="0.3">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x14ac:dyDescent="0.3">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x14ac:dyDescent="0.3">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x14ac:dyDescent="0.3">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x14ac:dyDescent="0.3">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x14ac:dyDescent="0.3">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x14ac:dyDescent="0.3">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x14ac:dyDescent="0.3">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x14ac:dyDescent="0.3">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x14ac:dyDescent="0.3">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x14ac:dyDescent="0.3">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x14ac:dyDescent="0.3">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x14ac:dyDescent="0.3">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x14ac:dyDescent="0.3">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x14ac:dyDescent="0.3">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x14ac:dyDescent="0.3">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x14ac:dyDescent="0.3">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x14ac:dyDescent="0.3">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x14ac:dyDescent="0.3">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x14ac:dyDescent="0.3">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x14ac:dyDescent="0.3">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x14ac:dyDescent="0.3">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x14ac:dyDescent="0.3">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x14ac:dyDescent="0.3">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x14ac:dyDescent="0.3">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x14ac:dyDescent="0.3">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x14ac:dyDescent="0.3">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x14ac:dyDescent="0.3">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x14ac:dyDescent="0.3">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x14ac:dyDescent="0.3">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x14ac:dyDescent="0.3">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x14ac:dyDescent="0.3">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x14ac:dyDescent="0.3">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x14ac:dyDescent="0.3">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x14ac:dyDescent="0.3">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x14ac:dyDescent="0.3">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x14ac:dyDescent="0.3">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x14ac:dyDescent="0.3">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x14ac:dyDescent="0.3">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x14ac:dyDescent="0.3">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x14ac:dyDescent="0.3">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x14ac:dyDescent="0.3">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x14ac:dyDescent="0.3">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x14ac:dyDescent="0.3">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x14ac:dyDescent="0.3">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x14ac:dyDescent="0.3">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x14ac:dyDescent="0.3">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x14ac:dyDescent="0.3">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x14ac:dyDescent="0.3">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x14ac:dyDescent="0.3">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x14ac:dyDescent="0.3">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x14ac:dyDescent="0.3">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x14ac:dyDescent="0.3">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x14ac:dyDescent="0.3">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x14ac:dyDescent="0.3">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x14ac:dyDescent="0.3">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x14ac:dyDescent="0.3">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x14ac:dyDescent="0.3">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x14ac:dyDescent="0.3">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x14ac:dyDescent="0.3">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x14ac:dyDescent="0.3">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x14ac:dyDescent="0.3">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x14ac:dyDescent="0.3">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x14ac:dyDescent="0.3">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x14ac:dyDescent="0.3">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x14ac:dyDescent="0.3">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x14ac:dyDescent="0.3">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x14ac:dyDescent="0.3">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x14ac:dyDescent="0.3">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x14ac:dyDescent="0.3">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x14ac:dyDescent="0.3">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x14ac:dyDescent="0.3">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x14ac:dyDescent="0.3">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x14ac:dyDescent="0.3">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x14ac:dyDescent="0.3">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x14ac:dyDescent="0.3">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x14ac:dyDescent="0.3">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x14ac:dyDescent="0.3">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x14ac:dyDescent="0.3">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x14ac:dyDescent="0.3">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x14ac:dyDescent="0.3">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x14ac:dyDescent="0.3">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x14ac:dyDescent="0.3">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x14ac:dyDescent="0.3">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x14ac:dyDescent="0.3">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x14ac:dyDescent="0.3">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x14ac:dyDescent="0.3">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x14ac:dyDescent="0.3">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x14ac:dyDescent="0.3">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x14ac:dyDescent="0.3">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x14ac:dyDescent="0.3">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x14ac:dyDescent="0.3">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x14ac:dyDescent="0.3">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x14ac:dyDescent="0.3">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x14ac:dyDescent="0.3">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x14ac:dyDescent="0.3">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x14ac:dyDescent="0.3">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x14ac:dyDescent="0.3">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x14ac:dyDescent="0.3">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x14ac:dyDescent="0.3">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x14ac:dyDescent="0.3">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x14ac:dyDescent="0.3">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x14ac:dyDescent="0.3">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x14ac:dyDescent="0.3">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x14ac:dyDescent="0.3">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x14ac:dyDescent="0.3">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x14ac:dyDescent="0.3">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x14ac:dyDescent="0.3">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x14ac:dyDescent="0.3">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x14ac:dyDescent="0.3">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x14ac:dyDescent="0.3">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x14ac:dyDescent="0.3">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x14ac:dyDescent="0.3">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x14ac:dyDescent="0.3">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x14ac:dyDescent="0.3">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x14ac:dyDescent="0.3">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x14ac:dyDescent="0.3">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x14ac:dyDescent="0.3">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x14ac:dyDescent="0.3">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x14ac:dyDescent="0.3">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x14ac:dyDescent="0.3">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x14ac:dyDescent="0.3">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x14ac:dyDescent="0.3">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x14ac:dyDescent="0.3">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x14ac:dyDescent="0.3">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x14ac:dyDescent="0.3">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x14ac:dyDescent="0.3">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x14ac:dyDescent="0.3">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x14ac:dyDescent="0.3">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x14ac:dyDescent="0.3">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x14ac:dyDescent="0.3">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x14ac:dyDescent="0.3">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x14ac:dyDescent="0.3">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x14ac:dyDescent="0.3">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x14ac:dyDescent="0.3">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x14ac:dyDescent="0.3">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x14ac:dyDescent="0.3">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x14ac:dyDescent="0.3">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x14ac:dyDescent="0.3">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x14ac:dyDescent="0.3">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x14ac:dyDescent="0.3">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x14ac:dyDescent="0.3">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x14ac:dyDescent="0.3">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x14ac:dyDescent="0.3">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x14ac:dyDescent="0.3">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x14ac:dyDescent="0.3">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x14ac:dyDescent="0.3">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x14ac:dyDescent="0.3">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x14ac:dyDescent="0.3">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x14ac:dyDescent="0.3">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x14ac:dyDescent="0.3">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x14ac:dyDescent="0.3">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x14ac:dyDescent="0.3">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x14ac:dyDescent="0.3">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x14ac:dyDescent="0.3">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x14ac:dyDescent="0.3">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x14ac:dyDescent="0.3">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x14ac:dyDescent="0.3">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x14ac:dyDescent="0.3">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x14ac:dyDescent="0.3">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x14ac:dyDescent="0.3">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x14ac:dyDescent="0.3">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x14ac:dyDescent="0.3">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x14ac:dyDescent="0.3">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x14ac:dyDescent="0.3">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x14ac:dyDescent="0.3">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x14ac:dyDescent="0.3">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x14ac:dyDescent="0.3">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x14ac:dyDescent="0.3">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x14ac:dyDescent="0.3">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x14ac:dyDescent="0.3">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x14ac:dyDescent="0.3">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x14ac:dyDescent="0.3">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x14ac:dyDescent="0.3">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x14ac:dyDescent="0.3">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x14ac:dyDescent="0.3">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x14ac:dyDescent="0.3">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x14ac:dyDescent="0.3">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x14ac:dyDescent="0.3">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x14ac:dyDescent="0.3">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x14ac:dyDescent="0.3">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x14ac:dyDescent="0.3">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x14ac:dyDescent="0.3">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x14ac:dyDescent="0.3">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x14ac:dyDescent="0.3">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x14ac:dyDescent="0.3">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x14ac:dyDescent="0.3">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x14ac:dyDescent="0.3">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x14ac:dyDescent="0.3">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x14ac:dyDescent="0.3">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x14ac:dyDescent="0.3">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x14ac:dyDescent="0.3">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x14ac:dyDescent="0.3">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x14ac:dyDescent="0.3">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x14ac:dyDescent="0.3">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x14ac:dyDescent="0.3">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x14ac:dyDescent="0.3">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x14ac:dyDescent="0.3">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x14ac:dyDescent="0.3">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x14ac:dyDescent="0.3">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x14ac:dyDescent="0.3">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x14ac:dyDescent="0.3">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x14ac:dyDescent="0.3">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x14ac:dyDescent="0.3">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x14ac:dyDescent="0.3">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x14ac:dyDescent="0.3">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x14ac:dyDescent="0.3">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x14ac:dyDescent="0.3">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x14ac:dyDescent="0.3">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x14ac:dyDescent="0.3">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x14ac:dyDescent="0.3">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x14ac:dyDescent="0.3">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x14ac:dyDescent="0.3">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x14ac:dyDescent="0.3">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x14ac:dyDescent="0.3">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x14ac:dyDescent="0.3">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x14ac:dyDescent="0.3">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x14ac:dyDescent="0.3">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x14ac:dyDescent="0.3">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x14ac:dyDescent="0.3">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x14ac:dyDescent="0.3">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x14ac:dyDescent="0.3">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x14ac:dyDescent="0.3">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x14ac:dyDescent="0.3">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x14ac:dyDescent="0.3">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x14ac:dyDescent="0.3">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x14ac:dyDescent="0.3">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x14ac:dyDescent="0.3">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x14ac:dyDescent="0.3">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x14ac:dyDescent="0.3">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x14ac:dyDescent="0.3">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x14ac:dyDescent="0.3">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x14ac:dyDescent="0.3">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x14ac:dyDescent="0.3">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x14ac:dyDescent="0.3">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x14ac:dyDescent="0.3">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x14ac:dyDescent="0.3">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x14ac:dyDescent="0.3">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x14ac:dyDescent="0.3">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x14ac:dyDescent="0.3">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x14ac:dyDescent="0.3">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x14ac:dyDescent="0.3">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x14ac:dyDescent="0.3">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x14ac:dyDescent="0.3">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x14ac:dyDescent="0.3">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x14ac:dyDescent="0.3">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x14ac:dyDescent="0.3">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x14ac:dyDescent="0.3">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x14ac:dyDescent="0.3">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x14ac:dyDescent="0.3">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x14ac:dyDescent="0.3">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x14ac:dyDescent="0.3">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x14ac:dyDescent="0.3">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x14ac:dyDescent="0.3">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x14ac:dyDescent="0.3">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x14ac:dyDescent="0.3">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x14ac:dyDescent="0.3">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x14ac:dyDescent="0.3">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x14ac:dyDescent="0.3">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x14ac:dyDescent="0.3">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x14ac:dyDescent="0.3">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x14ac:dyDescent="0.3">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x14ac:dyDescent="0.3">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x14ac:dyDescent="0.3">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x14ac:dyDescent="0.3">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x14ac:dyDescent="0.3">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x14ac:dyDescent="0.3">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x14ac:dyDescent="0.3">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x14ac:dyDescent="0.3">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x14ac:dyDescent="0.3">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x14ac:dyDescent="0.3">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x14ac:dyDescent="0.3">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x14ac:dyDescent="0.3">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x14ac:dyDescent="0.3">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x14ac:dyDescent="0.3">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x14ac:dyDescent="0.3">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x14ac:dyDescent="0.3">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x14ac:dyDescent="0.3">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x14ac:dyDescent="0.3">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x14ac:dyDescent="0.3">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x14ac:dyDescent="0.3">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x14ac:dyDescent="0.3">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x14ac:dyDescent="0.3">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x14ac:dyDescent="0.3">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x14ac:dyDescent="0.3">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x14ac:dyDescent="0.3">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x14ac:dyDescent="0.3">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x14ac:dyDescent="0.3">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x14ac:dyDescent="0.3">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x14ac:dyDescent="0.3">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x14ac:dyDescent="0.3">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x14ac:dyDescent="0.3">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x14ac:dyDescent="0.3">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x14ac:dyDescent="0.3">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x14ac:dyDescent="0.3">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x14ac:dyDescent="0.3">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x14ac:dyDescent="0.3">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x14ac:dyDescent="0.3">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x14ac:dyDescent="0.3">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x14ac:dyDescent="0.3">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x14ac:dyDescent="0.3">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x14ac:dyDescent="0.3">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x14ac:dyDescent="0.3">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x14ac:dyDescent="0.3">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x14ac:dyDescent="0.3">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x14ac:dyDescent="0.3">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x14ac:dyDescent="0.3">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x14ac:dyDescent="0.3">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x14ac:dyDescent="0.3">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x14ac:dyDescent="0.3">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x14ac:dyDescent="0.3">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x14ac:dyDescent="0.3">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x14ac:dyDescent="0.3">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x14ac:dyDescent="0.3">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x14ac:dyDescent="0.3">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x14ac:dyDescent="0.3">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x14ac:dyDescent="0.3">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x14ac:dyDescent="0.3">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x14ac:dyDescent="0.3">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x14ac:dyDescent="0.3">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x14ac:dyDescent="0.3">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x14ac:dyDescent="0.3">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x14ac:dyDescent="0.3">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x14ac:dyDescent="0.3">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x14ac:dyDescent="0.3">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x14ac:dyDescent="0.3">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x14ac:dyDescent="0.3">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x14ac:dyDescent="0.3">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x14ac:dyDescent="0.3">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x14ac:dyDescent="0.3">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x14ac:dyDescent="0.3">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x14ac:dyDescent="0.3">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x14ac:dyDescent="0.3">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x14ac:dyDescent="0.3">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x14ac:dyDescent="0.3">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x14ac:dyDescent="0.3">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x14ac:dyDescent="0.3">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x14ac:dyDescent="0.3">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x14ac:dyDescent="0.3">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x14ac:dyDescent="0.3">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x14ac:dyDescent="0.3">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x14ac:dyDescent="0.3">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x14ac:dyDescent="0.3">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x14ac:dyDescent="0.3">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x14ac:dyDescent="0.3">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x14ac:dyDescent="0.3">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x14ac:dyDescent="0.3">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x14ac:dyDescent="0.3">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x14ac:dyDescent="0.3">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x14ac:dyDescent="0.3">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x14ac:dyDescent="0.3">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x14ac:dyDescent="0.3">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x14ac:dyDescent="0.3">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x14ac:dyDescent="0.3">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x14ac:dyDescent="0.3">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x14ac:dyDescent="0.3">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x14ac:dyDescent="0.3">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x14ac:dyDescent="0.3">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x14ac:dyDescent="0.3">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x14ac:dyDescent="0.3">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x14ac:dyDescent="0.3">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x14ac:dyDescent="0.3">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x14ac:dyDescent="0.3">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x14ac:dyDescent="0.3">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x14ac:dyDescent="0.3">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x14ac:dyDescent="0.3">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x14ac:dyDescent="0.3">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x14ac:dyDescent="0.3">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x14ac:dyDescent="0.3">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x14ac:dyDescent="0.3">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x14ac:dyDescent="0.3">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x14ac:dyDescent="0.3">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x14ac:dyDescent="0.3">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x14ac:dyDescent="0.3">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x14ac:dyDescent="0.3">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x14ac:dyDescent="0.3">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x14ac:dyDescent="0.3">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x14ac:dyDescent="0.3">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x14ac:dyDescent="0.3">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x14ac:dyDescent="0.3">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x14ac:dyDescent="0.3">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x14ac:dyDescent="0.3">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x14ac:dyDescent="0.3">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x14ac:dyDescent="0.3">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x14ac:dyDescent="0.3">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x14ac:dyDescent="0.3">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x14ac:dyDescent="0.3">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x14ac:dyDescent="0.3">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x14ac:dyDescent="0.3">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x14ac:dyDescent="0.3">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x14ac:dyDescent="0.3">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x14ac:dyDescent="0.3">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x14ac:dyDescent="0.3">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x14ac:dyDescent="0.3">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x14ac:dyDescent="0.3">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x14ac:dyDescent="0.3">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x14ac:dyDescent="0.3">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x14ac:dyDescent="0.3">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x14ac:dyDescent="0.3">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x14ac:dyDescent="0.3">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x14ac:dyDescent="0.3">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x14ac:dyDescent="0.3">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x14ac:dyDescent="0.3">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x14ac:dyDescent="0.3">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x14ac:dyDescent="0.3">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x14ac:dyDescent="0.3">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x14ac:dyDescent="0.3">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x14ac:dyDescent="0.3">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x14ac:dyDescent="0.3">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x14ac:dyDescent="0.3">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x14ac:dyDescent="0.3">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x14ac:dyDescent="0.3">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x14ac:dyDescent="0.3">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x14ac:dyDescent="0.3">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x14ac:dyDescent="0.3">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x14ac:dyDescent="0.3">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x14ac:dyDescent="0.3">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x14ac:dyDescent="0.3">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x14ac:dyDescent="0.3">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x14ac:dyDescent="0.3">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x14ac:dyDescent="0.3">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x14ac:dyDescent="0.3">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x14ac:dyDescent="0.3">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x14ac:dyDescent="0.3">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x14ac:dyDescent="0.3">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x14ac:dyDescent="0.3">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x14ac:dyDescent="0.3">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x14ac:dyDescent="0.3">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x14ac:dyDescent="0.3">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x14ac:dyDescent="0.3">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x14ac:dyDescent="0.3">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x14ac:dyDescent="0.3">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x14ac:dyDescent="0.3">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x14ac:dyDescent="0.3">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x14ac:dyDescent="0.3">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x14ac:dyDescent="0.3">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x14ac:dyDescent="0.3">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x14ac:dyDescent="0.3">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x14ac:dyDescent="0.3">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x14ac:dyDescent="0.3">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x14ac:dyDescent="0.3">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x14ac:dyDescent="0.3">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x14ac:dyDescent="0.3">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x14ac:dyDescent="0.3">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x14ac:dyDescent="0.3">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x14ac:dyDescent="0.3">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x14ac:dyDescent="0.3">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x14ac:dyDescent="0.3">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x14ac:dyDescent="0.3">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x14ac:dyDescent="0.3">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x14ac:dyDescent="0.3">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x14ac:dyDescent="0.3">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x14ac:dyDescent="0.3">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x14ac:dyDescent="0.3">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x14ac:dyDescent="0.3">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x14ac:dyDescent="0.3">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x14ac:dyDescent="0.3">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x14ac:dyDescent="0.3">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x14ac:dyDescent="0.3">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x14ac:dyDescent="0.3">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x14ac:dyDescent="0.3">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x14ac:dyDescent="0.3">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x14ac:dyDescent="0.3">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x14ac:dyDescent="0.3">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x14ac:dyDescent="0.3">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x14ac:dyDescent="0.3">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x14ac:dyDescent="0.3">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x14ac:dyDescent="0.3">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x14ac:dyDescent="0.3">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x14ac:dyDescent="0.3">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x14ac:dyDescent="0.3">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x14ac:dyDescent="0.3">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x14ac:dyDescent="0.3">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x14ac:dyDescent="0.3">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x14ac:dyDescent="0.3">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x14ac:dyDescent="0.3">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x14ac:dyDescent="0.3">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x14ac:dyDescent="0.3">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x14ac:dyDescent="0.3">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x14ac:dyDescent="0.3">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x14ac:dyDescent="0.3">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x14ac:dyDescent="0.3">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x14ac:dyDescent="0.3">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x14ac:dyDescent="0.3">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x14ac:dyDescent="0.3">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x14ac:dyDescent="0.3">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x14ac:dyDescent="0.3">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x14ac:dyDescent="0.3">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x14ac:dyDescent="0.3">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x14ac:dyDescent="0.3">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x14ac:dyDescent="0.3">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x14ac:dyDescent="0.3">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x14ac:dyDescent="0.3">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x14ac:dyDescent="0.3">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x14ac:dyDescent="0.3">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x14ac:dyDescent="0.3">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x14ac:dyDescent="0.3">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x14ac:dyDescent="0.3">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x14ac:dyDescent="0.3">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x14ac:dyDescent="0.3">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x14ac:dyDescent="0.3">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x14ac:dyDescent="0.3">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x14ac:dyDescent="0.3">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x14ac:dyDescent="0.3">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x14ac:dyDescent="0.3">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x14ac:dyDescent="0.3">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x14ac:dyDescent="0.3">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x14ac:dyDescent="0.3">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x14ac:dyDescent="0.3">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x14ac:dyDescent="0.3">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x14ac:dyDescent="0.3">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x14ac:dyDescent="0.3">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x14ac:dyDescent="0.3">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x14ac:dyDescent="0.3">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x14ac:dyDescent="0.3">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x14ac:dyDescent="0.3">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x14ac:dyDescent="0.3">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x14ac:dyDescent="0.3">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x14ac:dyDescent="0.3">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x14ac:dyDescent="0.3">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x14ac:dyDescent="0.3">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x14ac:dyDescent="0.3">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x14ac:dyDescent="0.3">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x14ac:dyDescent="0.3">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x14ac:dyDescent="0.3">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x14ac:dyDescent="0.3">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x14ac:dyDescent="0.3">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x14ac:dyDescent="0.3">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x14ac:dyDescent="0.3">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x14ac:dyDescent="0.3">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x14ac:dyDescent="0.3">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x14ac:dyDescent="0.3">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x14ac:dyDescent="0.3">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x14ac:dyDescent="0.3">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x14ac:dyDescent="0.3">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x14ac:dyDescent="0.3">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x14ac:dyDescent="0.3">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x14ac:dyDescent="0.3">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x14ac:dyDescent="0.3">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x14ac:dyDescent="0.3">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x14ac:dyDescent="0.3">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x14ac:dyDescent="0.3">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x14ac:dyDescent="0.3">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x14ac:dyDescent="0.3">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x14ac:dyDescent="0.3">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x14ac:dyDescent="0.3">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x14ac:dyDescent="0.3">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x14ac:dyDescent="0.3">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x14ac:dyDescent="0.3">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x14ac:dyDescent="0.3">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x14ac:dyDescent="0.3">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x14ac:dyDescent="0.3">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x14ac:dyDescent="0.3">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x14ac:dyDescent="0.3">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x14ac:dyDescent="0.3">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x14ac:dyDescent="0.3">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x14ac:dyDescent="0.3">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x14ac:dyDescent="0.3">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x14ac:dyDescent="0.3">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x14ac:dyDescent="0.3">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x14ac:dyDescent="0.3">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x14ac:dyDescent="0.3">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x14ac:dyDescent="0.3">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x14ac:dyDescent="0.3">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x14ac:dyDescent="0.3">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x14ac:dyDescent="0.3">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x14ac:dyDescent="0.3">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x14ac:dyDescent="0.3">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x14ac:dyDescent="0.3">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x14ac:dyDescent="0.3">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x14ac:dyDescent="0.3">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x14ac:dyDescent="0.3">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x14ac:dyDescent="0.3">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x14ac:dyDescent="0.3">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x14ac:dyDescent="0.3">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x14ac:dyDescent="0.3">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x14ac:dyDescent="0.3">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x14ac:dyDescent="0.3">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x14ac:dyDescent="0.3">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x14ac:dyDescent="0.3">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x14ac:dyDescent="0.3">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x14ac:dyDescent="0.3">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x14ac:dyDescent="0.3">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x14ac:dyDescent="0.3">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x14ac:dyDescent="0.3">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x14ac:dyDescent="0.3">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x14ac:dyDescent="0.3">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x14ac:dyDescent="0.3">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x14ac:dyDescent="0.3">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x14ac:dyDescent="0.3">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x14ac:dyDescent="0.3">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x14ac:dyDescent="0.3">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x14ac:dyDescent="0.3">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x14ac:dyDescent="0.3">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x14ac:dyDescent="0.3">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x14ac:dyDescent="0.3">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x14ac:dyDescent="0.3">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x14ac:dyDescent="0.3">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x14ac:dyDescent="0.3">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x14ac:dyDescent="0.3">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x14ac:dyDescent="0.3">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x14ac:dyDescent="0.3">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x14ac:dyDescent="0.3">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x14ac:dyDescent="0.3">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x14ac:dyDescent="0.3">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x14ac:dyDescent="0.3">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x14ac:dyDescent="0.3">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x14ac:dyDescent="0.3">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x14ac:dyDescent="0.3">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x14ac:dyDescent="0.3">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x14ac:dyDescent="0.3">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x14ac:dyDescent="0.3">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x14ac:dyDescent="0.3">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x14ac:dyDescent="0.3">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x14ac:dyDescent="0.3">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x14ac:dyDescent="0.3">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x14ac:dyDescent="0.3">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x14ac:dyDescent="0.3">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x14ac:dyDescent="0.3">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x14ac:dyDescent="0.3">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x14ac:dyDescent="0.3">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x14ac:dyDescent="0.3">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x14ac:dyDescent="0.3">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x14ac:dyDescent="0.3">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x14ac:dyDescent="0.3">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x14ac:dyDescent="0.3">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x14ac:dyDescent="0.3">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x14ac:dyDescent="0.3">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x14ac:dyDescent="0.3">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x14ac:dyDescent="0.3">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x14ac:dyDescent="0.3">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x14ac:dyDescent="0.3">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x14ac:dyDescent="0.3">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x14ac:dyDescent="0.3">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x14ac:dyDescent="0.3">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x14ac:dyDescent="0.3">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x14ac:dyDescent="0.3">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x14ac:dyDescent="0.3">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x14ac:dyDescent="0.3">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x14ac:dyDescent="0.3">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x14ac:dyDescent="0.3">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x14ac:dyDescent="0.3">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x14ac:dyDescent="0.3">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x14ac:dyDescent="0.3">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x14ac:dyDescent="0.3">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x14ac:dyDescent="0.3">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x14ac:dyDescent="0.3">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x14ac:dyDescent="0.3">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x14ac:dyDescent="0.3">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x14ac:dyDescent="0.3">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x14ac:dyDescent="0.3">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x14ac:dyDescent="0.3">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x14ac:dyDescent="0.3">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x14ac:dyDescent="0.3">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x14ac:dyDescent="0.3">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x14ac:dyDescent="0.3">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x14ac:dyDescent="0.3">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x14ac:dyDescent="0.3">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x14ac:dyDescent="0.3">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x14ac:dyDescent="0.3">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x14ac:dyDescent="0.3">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x14ac:dyDescent="0.3">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x14ac:dyDescent="0.3">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x14ac:dyDescent="0.3">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x14ac:dyDescent="0.3">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x14ac:dyDescent="0.3">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x14ac:dyDescent="0.3">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x14ac:dyDescent="0.3">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x14ac:dyDescent="0.3">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x14ac:dyDescent="0.3">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x14ac:dyDescent="0.3">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x14ac:dyDescent="0.3">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x14ac:dyDescent="0.3">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x14ac:dyDescent="0.3">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x14ac:dyDescent="0.3">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x14ac:dyDescent="0.3">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x14ac:dyDescent="0.3">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x14ac:dyDescent="0.3">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x14ac:dyDescent="0.3">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x14ac:dyDescent="0.3">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x14ac:dyDescent="0.3">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x14ac:dyDescent="0.3">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x14ac:dyDescent="0.3">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x14ac:dyDescent="0.3">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x14ac:dyDescent="0.3">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x14ac:dyDescent="0.3">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x14ac:dyDescent="0.3">
      <c r="A771" s="3" t="s">
        <v>10754</v>
      </c>
      <c r="B771" s="3" t="s">
        <v>10675</v>
      </c>
      <c r="C771" s="3" t="s">
        <v>10755</v>
      </c>
      <c r="D771" s="3" t="str">
        <f t="shared" ref="D771:D834" si="179">_xlfn.CONCAT(C771, " ", A771,"_",O771)</f>
        <v>SWBE011-01 Windows_DMo</v>
      </c>
      <c r="E771" s="3" t="str">
        <f>CONCATENATE(D771,"_","Msr1")</f>
        <v>SWBE011-01 Windows_DMo_Msr1</v>
      </c>
      <c r="F771" s="3" t="s">
        <v>10769</v>
      </c>
      <c r="G771" s="3" t="s">
        <v>10769</v>
      </c>
      <c r="H771" s="3"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x14ac:dyDescent="0.3">
      <c r="A772" s="3" t="s">
        <v>10754</v>
      </c>
      <c r="B772" s="3" t="s">
        <v>10675</v>
      </c>
      <c r="C772" s="3" t="s">
        <v>10755</v>
      </c>
      <c r="D772" s="3" t="str">
        <f t="shared" si="179"/>
        <v>SWBE011-01 Windows_DMo</v>
      </c>
      <c r="E772" s="3" t="str">
        <f t="shared" ref="E772:E774" si="181">CONCATENATE(D772,"_","Msr1")</f>
        <v>SWBE011-01 Windows_DMo_Msr1</v>
      </c>
      <c r="F772" s="3" t="s">
        <v>10769</v>
      </c>
      <c r="G772" s="3" t="s">
        <v>10769</v>
      </c>
      <c r="H772" s="3"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x14ac:dyDescent="0.3">
      <c r="A773" s="3" t="s">
        <v>10754</v>
      </c>
      <c r="B773" s="3" t="s">
        <v>10675</v>
      </c>
      <c r="C773" s="3" t="s">
        <v>10755</v>
      </c>
      <c r="D773" s="3" t="str">
        <f t="shared" si="179"/>
        <v>SWBE011-01 Windows_DMo</v>
      </c>
      <c r="E773" s="3" t="str">
        <f t="shared" si="181"/>
        <v>SWBE011-01 Windows_DMo_Msr1</v>
      </c>
      <c r="F773" s="3" t="s">
        <v>10769</v>
      </c>
      <c r="G773" s="3" t="s">
        <v>10769</v>
      </c>
      <c r="H773" s="3"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x14ac:dyDescent="0.3">
      <c r="A774" s="3" t="s">
        <v>10754</v>
      </c>
      <c r="B774" s="3" t="s">
        <v>10675</v>
      </c>
      <c r="C774" s="3" t="s">
        <v>10755</v>
      </c>
      <c r="D774" s="3" t="str">
        <f t="shared" si="179"/>
        <v>SWBE011-01 Windows_DMo</v>
      </c>
      <c r="E774" s="3" t="str">
        <f t="shared" si="181"/>
        <v>SWBE011-01 Windows_DMo_Msr1</v>
      </c>
      <c r="F774" s="3" t="s">
        <v>10769</v>
      </c>
      <c r="G774" s="3" t="s">
        <v>10769</v>
      </c>
      <c r="H774" s="3"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x14ac:dyDescent="0.3">
      <c r="A775" s="3" t="s">
        <v>10754</v>
      </c>
      <c r="B775" s="3" t="s">
        <v>10675</v>
      </c>
      <c r="C775" s="3" t="s">
        <v>10755</v>
      </c>
      <c r="D775" s="3" t="str">
        <f t="shared" si="179"/>
        <v>SWBE011-01 Windows_DMo</v>
      </c>
      <c r="E775" s="3" t="str">
        <f>CONCATENATE(D775,"_","Msr2")</f>
        <v>SWBE011-01 Windows_DMo_Msr2</v>
      </c>
      <c r="F775" s="3" t="s">
        <v>10769</v>
      </c>
      <c r="G775" s="3" t="s">
        <v>10769</v>
      </c>
      <c r="H775" s="3"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x14ac:dyDescent="0.3">
      <c r="A776" s="3" t="s">
        <v>10754</v>
      </c>
      <c r="B776" s="3" t="s">
        <v>10675</v>
      </c>
      <c r="C776" s="3" t="s">
        <v>10755</v>
      </c>
      <c r="D776" s="3" t="str">
        <f t="shared" si="179"/>
        <v>SWBE011-01 Windows_DMo</v>
      </c>
      <c r="E776" s="3" t="str">
        <f t="shared" ref="E776:E778" si="185">CONCATENATE(D776,"_","Msr2")</f>
        <v>SWBE011-01 Windows_DMo_Msr2</v>
      </c>
      <c r="F776" s="3" t="s">
        <v>10769</v>
      </c>
      <c r="G776" s="3" t="s">
        <v>10769</v>
      </c>
      <c r="H776" s="3"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x14ac:dyDescent="0.3">
      <c r="A777" s="3" t="s">
        <v>10754</v>
      </c>
      <c r="B777" s="3" t="s">
        <v>10675</v>
      </c>
      <c r="C777" s="3" t="s">
        <v>10755</v>
      </c>
      <c r="D777" s="3" t="str">
        <f t="shared" si="179"/>
        <v>SWBE011-01 Windows_DMo</v>
      </c>
      <c r="E777" s="3" t="str">
        <f t="shared" si="185"/>
        <v>SWBE011-01 Windows_DMo_Msr2</v>
      </c>
      <c r="F777" s="3" t="s">
        <v>10769</v>
      </c>
      <c r="G777" s="3" t="s">
        <v>10769</v>
      </c>
      <c r="H777" s="3"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x14ac:dyDescent="0.3">
      <c r="A778" s="3" t="s">
        <v>10754</v>
      </c>
      <c r="B778" s="3" t="s">
        <v>10675</v>
      </c>
      <c r="C778" s="3" t="s">
        <v>10755</v>
      </c>
      <c r="D778" s="3" t="str">
        <f t="shared" si="179"/>
        <v>SWBE011-01 Windows_DMo</v>
      </c>
      <c r="E778" s="3" t="str">
        <f t="shared" si="185"/>
        <v>SWBE011-01 Windows_DMo_Msr2</v>
      </c>
      <c r="F778" s="3" t="s">
        <v>10769</v>
      </c>
      <c r="G778" s="3" t="s">
        <v>10769</v>
      </c>
      <c r="H778" s="3"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x14ac:dyDescent="0.3">
      <c r="A779" s="3" t="s">
        <v>10754</v>
      </c>
      <c r="B779" s="3" t="s">
        <v>10675</v>
      </c>
      <c r="C779" s="3" t="s">
        <v>10755</v>
      </c>
      <c r="D779" s="3" t="str">
        <f t="shared" si="179"/>
        <v>SWBE011-01 Windows_DMo</v>
      </c>
      <c r="E779" s="3" t="str">
        <f>CONCATENATE(D779,"_","Msr3")</f>
        <v>SWBE011-01 Windows_DMo_Msr3</v>
      </c>
      <c r="F779" s="3" t="s">
        <v>10769</v>
      </c>
      <c r="G779" s="3" t="s">
        <v>10769</v>
      </c>
      <c r="H779" s="3"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x14ac:dyDescent="0.3">
      <c r="A780" s="3" t="s">
        <v>10754</v>
      </c>
      <c r="B780" s="3" t="s">
        <v>10675</v>
      </c>
      <c r="C780" s="3" t="s">
        <v>10755</v>
      </c>
      <c r="D780" s="3" t="str">
        <f t="shared" si="179"/>
        <v>SWBE011-01 Windows_DMo</v>
      </c>
      <c r="E780" s="3" t="str">
        <f>CONCATENATE(D780,"_","Msr3")</f>
        <v>SWBE011-01 Windows_DMo_Msr3</v>
      </c>
      <c r="F780" s="3" t="s">
        <v>10769</v>
      </c>
      <c r="G780" s="3" t="s">
        <v>10769</v>
      </c>
      <c r="H780" s="3"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x14ac:dyDescent="0.3">
      <c r="A781" s="3" t="s">
        <v>10754</v>
      </c>
      <c r="B781" s="3" t="s">
        <v>10675</v>
      </c>
      <c r="C781" s="3" t="s">
        <v>10755</v>
      </c>
      <c r="D781" s="3" t="str">
        <f t="shared" si="179"/>
        <v>SWBE011-01 Windows_DMo</v>
      </c>
      <c r="E781" s="3" t="str">
        <f>CONCATENATE(D781,"_","Msr3")</f>
        <v>SWBE011-01 Windows_DMo_Msr3</v>
      </c>
      <c r="F781" s="3" t="s">
        <v>10769</v>
      </c>
      <c r="G781" s="3" t="s">
        <v>10769</v>
      </c>
      <c r="H781" s="3"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x14ac:dyDescent="0.3">
      <c r="A782" s="3" t="s">
        <v>10754</v>
      </c>
      <c r="B782" s="3" t="s">
        <v>10675</v>
      </c>
      <c r="C782" s="3" t="s">
        <v>10755</v>
      </c>
      <c r="D782" s="3" t="str">
        <f t="shared" si="179"/>
        <v>SWBE011-01 Windows_DMo</v>
      </c>
      <c r="E782" s="3" t="str">
        <f>CONCATENATE(D782,"_","Msr3")</f>
        <v>SWBE011-01 Windows_DMo_Msr3</v>
      </c>
      <c r="F782" s="3" t="s">
        <v>10769</v>
      </c>
      <c r="G782" s="3" t="s">
        <v>10769</v>
      </c>
      <c r="H782" s="3"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x14ac:dyDescent="0.3">
      <c r="A783" s="3" t="s">
        <v>10754</v>
      </c>
      <c r="B783" s="3" t="s">
        <v>10675</v>
      </c>
      <c r="C783" s="3" t="s">
        <v>10755</v>
      </c>
      <c r="D783" s="3" t="str">
        <f t="shared" si="179"/>
        <v>SWBE011-01 Windows_MFm</v>
      </c>
      <c r="E783" s="3" t="str">
        <f>CONCATENATE(D783,"_","Msr1")</f>
        <v>SWBE011-01 Windows_MFm_Msr1</v>
      </c>
      <c r="F783" s="3" t="s">
        <v>10769</v>
      </c>
      <c r="G783" s="3" t="s">
        <v>10769</v>
      </c>
      <c r="H783" s="3"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x14ac:dyDescent="0.3">
      <c r="A784" s="3" t="s">
        <v>10754</v>
      </c>
      <c r="B784" s="3" t="s">
        <v>10675</v>
      </c>
      <c r="C784" s="3" t="s">
        <v>10755</v>
      </c>
      <c r="D784" s="3" t="str">
        <f t="shared" si="179"/>
        <v>SWBE011-01 Windows_MFm</v>
      </c>
      <c r="E784" s="3" t="str">
        <f t="shared" ref="E784:E786" si="186">CONCATENATE(D784,"_","Msr1")</f>
        <v>SWBE011-01 Windows_MFm_Msr1</v>
      </c>
      <c r="F784" s="3" t="s">
        <v>10769</v>
      </c>
      <c r="G784" s="3" t="s">
        <v>10769</v>
      </c>
      <c r="H784" s="3"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x14ac:dyDescent="0.3">
      <c r="A785" s="3" t="s">
        <v>10754</v>
      </c>
      <c r="B785" s="3" t="s">
        <v>10675</v>
      </c>
      <c r="C785" s="3" t="s">
        <v>10755</v>
      </c>
      <c r="D785" s="3" t="str">
        <f t="shared" si="179"/>
        <v>SWBE011-01 Windows_MFm</v>
      </c>
      <c r="E785" s="3" t="str">
        <f t="shared" si="186"/>
        <v>SWBE011-01 Windows_MFm_Msr1</v>
      </c>
      <c r="F785" s="3" t="s">
        <v>10769</v>
      </c>
      <c r="G785" s="3" t="s">
        <v>10769</v>
      </c>
      <c r="H785" s="3"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x14ac:dyDescent="0.3">
      <c r="A786" s="3" t="s">
        <v>10754</v>
      </c>
      <c r="B786" s="3" t="s">
        <v>10675</v>
      </c>
      <c r="C786" s="3" t="s">
        <v>10755</v>
      </c>
      <c r="D786" s="3" t="str">
        <f t="shared" si="179"/>
        <v>SWBE011-01 Windows_MFm</v>
      </c>
      <c r="E786" s="3" t="str">
        <f t="shared" si="186"/>
        <v>SWBE011-01 Windows_MFm_Msr1</v>
      </c>
      <c r="F786" s="3" t="s">
        <v>10769</v>
      </c>
      <c r="G786" s="3" t="s">
        <v>10769</v>
      </c>
      <c r="H786" s="3"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x14ac:dyDescent="0.3">
      <c r="A787" s="3" t="s">
        <v>10754</v>
      </c>
      <c r="B787" s="3" t="s">
        <v>10675</v>
      </c>
      <c r="C787" s="3" t="s">
        <v>10755</v>
      </c>
      <c r="D787" s="3" t="str">
        <f t="shared" si="179"/>
        <v>SWBE011-01 Windows_MFm</v>
      </c>
      <c r="E787" s="3" t="str">
        <f>CONCATENATE(D787,"_","Msr2")</f>
        <v>SWBE011-01 Windows_MFm_Msr2</v>
      </c>
      <c r="F787" s="3" t="s">
        <v>10769</v>
      </c>
      <c r="G787" s="3" t="s">
        <v>10769</v>
      </c>
      <c r="H787" s="3"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x14ac:dyDescent="0.3">
      <c r="A788" s="3" t="s">
        <v>10754</v>
      </c>
      <c r="B788" s="3" t="s">
        <v>10675</v>
      </c>
      <c r="C788" s="3" t="s">
        <v>10755</v>
      </c>
      <c r="D788" s="3" t="str">
        <f t="shared" si="179"/>
        <v>SWBE011-01 Windows_MFm</v>
      </c>
      <c r="E788" s="3" t="str">
        <f t="shared" ref="E788:E790" si="187">CONCATENATE(D788,"_","Msr2")</f>
        <v>SWBE011-01 Windows_MFm_Msr2</v>
      </c>
      <c r="F788" s="3" t="s">
        <v>10769</v>
      </c>
      <c r="G788" s="3" t="s">
        <v>10769</v>
      </c>
      <c r="H788" s="3"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x14ac:dyDescent="0.3">
      <c r="A789" s="3" t="s">
        <v>10754</v>
      </c>
      <c r="B789" s="3" t="s">
        <v>10675</v>
      </c>
      <c r="C789" s="3" t="s">
        <v>10755</v>
      </c>
      <c r="D789" s="3" t="str">
        <f t="shared" si="179"/>
        <v>SWBE011-01 Windows_MFm</v>
      </c>
      <c r="E789" s="3" t="str">
        <f t="shared" si="187"/>
        <v>SWBE011-01 Windows_MFm_Msr2</v>
      </c>
      <c r="F789" s="3" t="s">
        <v>10769</v>
      </c>
      <c r="G789" s="3" t="s">
        <v>10769</v>
      </c>
      <c r="H789" s="3"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x14ac:dyDescent="0.3">
      <c r="A790" s="3" t="s">
        <v>10754</v>
      </c>
      <c r="B790" s="3" t="s">
        <v>10675</v>
      </c>
      <c r="C790" s="3" t="s">
        <v>10755</v>
      </c>
      <c r="D790" s="3" t="str">
        <f t="shared" si="179"/>
        <v>SWBE011-01 Windows_MFm</v>
      </c>
      <c r="E790" s="3" t="str">
        <f t="shared" si="187"/>
        <v>SWBE011-01 Windows_MFm_Msr2</v>
      </c>
      <c r="F790" s="3" t="s">
        <v>10769</v>
      </c>
      <c r="G790" s="3" t="s">
        <v>10769</v>
      </c>
      <c r="H790" s="3"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x14ac:dyDescent="0.3">
      <c r="A791" s="3" t="s">
        <v>10754</v>
      </c>
      <c r="B791" s="3" t="s">
        <v>10675</v>
      </c>
      <c r="C791" s="3" t="s">
        <v>10755</v>
      </c>
      <c r="D791" s="3" t="str">
        <f t="shared" si="179"/>
        <v>SWBE011-01 Windows_MFm</v>
      </c>
      <c r="E791" s="3" t="str">
        <f>CONCATENATE(D791,"_","Msr3")</f>
        <v>SWBE011-01 Windows_MFm_Msr3</v>
      </c>
      <c r="F791" s="3" t="s">
        <v>10769</v>
      </c>
      <c r="G791" s="3" t="s">
        <v>10769</v>
      </c>
      <c r="H791" s="3"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x14ac:dyDescent="0.3">
      <c r="A792" s="3" t="s">
        <v>10754</v>
      </c>
      <c r="B792" s="3" t="s">
        <v>10675</v>
      </c>
      <c r="C792" s="3" t="s">
        <v>10755</v>
      </c>
      <c r="D792" s="3" t="str">
        <f t="shared" si="179"/>
        <v>SWBE011-01 Windows_MFm</v>
      </c>
      <c r="E792" s="3" t="str">
        <f t="shared" ref="E792:E794" si="188">CONCATENATE(D792,"_","Msr3")</f>
        <v>SWBE011-01 Windows_MFm_Msr3</v>
      </c>
      <c r="F792" s="3" t="s">
        <v>10769</v>
      </c>
      <c r="G792" s="3" t="s">
        <v>10769</v>
      </c>
      <c r="H792" s="3"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x14ac:dyDescent="0.3">
      <c r="A793" s="3" t="s">
        <v>10754</v>
      </c>
      <c r="B793" s="3" t="s">
        <v>10675</v>
      </c>
      <c r="C793" s="3" t="s">
        <v>10755</v>
      </c>
      <c r="D793" s="3" t="str">
        <f t="shared" si="179"/>
        <v>SWBE011-01 Windows_MFm</v>
      </c>
      <c r="E793" s="3" t="str">
        <f t="shared" si="188"/>
        <v>SWBE011-01 Windows_MFm_Msr3</v>
      </c>
      <c r="F793" s="3" t="s">
        <v>10769</v>
      </c>
      <c r="G793" s="3" t="s">
        <v>10769</v>
      </c>
      <c r="H793" s="3"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x14ac:dyDescent="0.3">
      <c r="A794" s="3" t="s">
        <v>10754</v>
      </c>
      <c r="B794" s="3" t="s">
        <v>10675</v>
      </c>
      <c r="C794" s="3" t="s">
        <v>10755</v>
      </c>
      <c r="D794" s="3" t="str">
        <f t="shared" si="179"/>
        <v>SWBE011-01 Windows_MFm</v>
      </c>
      <c r="E794" s="3" t="str">
        <f t="shared" si="188"/>
        <v>SWBE011-01 Windows_MFm_Msr3</v>
      </c>
      <c r="F794" s="3" t="s">
        <v>10769</v>
      </c>
      <c r="G794" s="3" t="s">
        <v>10769</v>
      </c>
      <c r="H794" s="3"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x14ac:dyDescent="0.3">
      <c r="A795" s="3" t="s">
        <v>10754</v>
      </c>
      <c r="B795" s="3" t="s">
        <v>10675</v>
      </c>
      <c r="C795" s="3" t="s">
        <v>10755</v>
      </c>
      <c r="D795" s="3" t="str">
        <f t="shared" si="179"/>
        <v>SWBE011-01 Windows_SFm</v>
      </c>
      <c r="E795" s="3" t="str">
        <f>CONCATENATE(D795,"_",AC795,"_","Msr1")</f>
        <v>SWBE011-01 Windows_SFm_1975_Msr1</v>
      </c>
      <c r="F795" s="3" t="s">
        <v>10769</v>
      </c>
      <c r="G795" s="3" t="s">
        <v>10769</v>
      </c>
      <c r="H795" s="3"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x14ac:dyDescent="0.3">
      <c r="A796" s="3" t="s">
        <v>10754</v>
      </c>
      <c r="B796" s="3" t="s">
        <v>10675</v>
      </c>
      <c r="C796" s="3" t="s">
        <v>10755</v>
      </c>
      <c r="D796" s="3" t="str">
        <f t="shared" si="179"/>
        <v>SWBE011-01 Windows_SFm</v>
      </c>
      <c r="E796" s="3" t="str">
        <f t="shared" ref="E796:E798" si="189">CONCATENATE(D796,"_",AC796,"_","Msr1")</f>
        <v>SWBE011-01 Windows_SFm_1975_Msr1</v>
      </c>
      <c r="F796" s="3" t="s">
        <v>10769</v>
      </c>
      <c r="G796" s="3" t="s">
        <v>10769</v>
      </c>
      <c r="H796" s="3" t="str">
        <f t="shared" si="182"/>
        <v>RE-Fenest-ManufWin-rDXHP-Ex</v>
      </c>
      <c r="J796" t="str">
        <f t="shared" si="183"/>
        <v>RE-Fenest-ManufWin-rDXHP-Eff</v>
      </c>
      <c r="K796" t="s">
        <v>10758</v>
      </c>
      <c r="M796" t="s">
        <v>10759</v>
      </c>
      <c r="N796" s="3" t="str">
        <f t="shared" ref="N796:N848"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x14ac:dyDescent="0.3">
      <c r="A797" s="3" t="s">
        <v>10754</v>
      </c>
      <c r="B797" s="3" t="s">
        <v>10675</v>
      </c>
      <c r="C797" s="3" t="s">
        <v>10755</v>
      </c>
      <c r="D797" s="3" t="str">
        <f t="shared" si="179"/>
        <v>SWBE011-01 Windows_SFm</v>
      </c>
      <c r="E797" s="3" t="str">
        <f t="shared" si="189"/>
        <v>SWBE011-01 Windows_SFm_1975_Msr1</v>
      </c>
      <c r="F797" s="3" t="s">
        <v>10769</v>
      </c>
      <c r="G797" s="3" t="s">
        <v>10769</v>
      </c>
      <c r="H797" s="3"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x14ac:dyDescent="0.3">
      <c r="A798" s="3" t="s">
        <v>10754</v>
      </c>
      <c r="B798" s="3" t="s">
        <v>10675</v>
      </c>
      <c r="C798" s="3" t="s">
        <v>10755</v>
      </c>
      <c r="D798" s="3" t="str">
        <f t="shared" si="179"/>
        <v>SWBE011-01 Windows_SFm</v>
      </c>
      <c r="E798" s="3" t="str">
        <f t="shared" si="189"/>
        <v>SWBE011-01 Windows_SFm_1975_Msr1</v>
      </c>
      <c r="F798" s="3" t="s">
        <v>10769</v>
      </c>
      <c r="G798" s="3" t="s">
        <v>10769</v>
      </c>
      <c r="H798" s="3"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x14ac:dyDescent="0.3">
      <c r="A799" s="3" t="s">
        <v>10754</v>
      </c>
      <c r="B799" s="3" t="s">
        <v>10675</v>
      </c>
      <c r="C799" s="3" t="s">
        <v>10755</v>
      </c>
      <c r="D799" s="3" t="str">
        <f t="shared" si="179"/>
        <v>SWBE011-01 Windows_SFm</v>
      </c>
      <c r="E799" s="3" t="str">
        <f>CONCATENATE(D799,"_",AC799,"_","Msr2")</f>
        <v>SWBE011-01 Windows_SFm_1975_Msr2</v>
      </c>
      <c r="F799" s="3" t="s">
        <v>10769</v>
      </c>
      <c r="G799" s="3" t="s">
        <v>10769</v>
      </c>
      <c r="H799" s="3"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x14ac:dyDescent="0.3">
      <c r="A800" s="3" t="s">
        <v>10754</v>
      </c>
      <c r="B800" s="3" t="s">
        <v>10675</v>
      </c>
      <c r="C800" s="3" t="s">
        <v>10755</v>
      </c>
      <c r="D800" s="3" t="str">
        <f t="shared" si="179"/>
        <v>SWBE011-01 Windows_SFm</v>
      </c>
      <c r="E800" s="3" t="str">
        <f t="shared" ref="E800:E802" si="191">CONCATENATE(D800,"_",AC800,"_","Msr2")</f>
        <v>SWBE011-01 Windows_SFm_1975_Msr2</v>
      </c>
      <c r="F800" s="3" t="s">
        <v>10769</v>
      </c>
      <c r="G800" s="3" t="s">
        <v>10769</v>
      </c>
      <c r="H800" s="3"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x14ac:dyDescent="0.3">
      <c r="A801" s="3" t="s">
        <v>10754</v>
      </c>
      <c r="B801" s="3" t="s">
        <v>10675</v>
      </c>
      <c r="C801" s="3" t="s">
        <v>10755</v>
      </c>
      <c r="D801" s="3" t="str">
        <f t="shared" si="179"/>
        <v>SWBE011-01 Windows_SFm</v>
      </c>
      <c r="E801" s="3" t="str">
        <f t="shared" si="191"/>
        <v>SWBE011-01 Windows_SFm_1975_Msr2</v>
      </c>
      <c r="F801" s="3" t="s">
        <v>10769</v>
      </c>
      <c r="G801" s="3" t="s">
        <v>10769</v>
      </c>
      <c r="H801" s="3"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x14ac:dyDescent="0.3">
      <c r="A802" s="3" t="s">
        <v>10754</v>
      </c>
      <c r="B802" s="3" t="s">
        <v>10675</v>
      </c>
      <c r="C802" s="3" t="s">
        <v>10755</v>
      </c>
      <c r="D802" s="3" t="str">
        <f t="shared" si="179"/>
        <v>SWBE011-01 Windows_SFm</v>
      </c>
      <c r="E802" s="3" t="str">
        <f t="shared" si="191"/>
        <v>SWBE011-01 Windows_SFm_1975_Msr2</v>
      </c>
      <c r="F802" s="3" t="s">
        <v>10769</v>
      </c>
      <c r="G802" s="3" t="s">
        <v>10769</v>
      </c>
      <c r="H802" s="3"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x14ac:dyDescent="0.3">
      <c r="A803" s="3" t="s">
        <v>10754</v>
      </c>
      <c r="B803" s="3" t="s">
        <v>10675</v>
      </c>
      <c r="C803" s="3" t="s">
        <v>10755</v>
      </c>
      <c r="D803" s="3" t="str">
        <f t="shared" si="179"/>
        <v>SWBE011-01 Windows_SFm</v>
      </c>
      <c r="E803" s="3" t="str">
        <f>CONCATENATE(D803,"_",AC803,"_","Msr3")</f>
        <v>SWBE011-01 Windows_SFm_1975_Msr3</v>
      </c>
      <c r="F803" s="3" t="s">
        <v>10769</v>
      </c>
      <c r="G803" s="3" t="s">
        <v>10769</v>
      </c>
      <c r="H803" s="3"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x14ac:dyDescent="0.3">
      <c r="A804" s="3" t="s">
        <v>10754</v>
      </c>
      <c r="B804" s="3" t="s">
        <v>10675</v>
      </c>
      <c r="C804" s="3" t="s">
        <v>10755</v>
      </c>
      <c r="D804" s="3" t="str">
        <f t="shared" si="179"/>
        <v>SWBE011-01 Windows_SFm</v>
      </c>
      <c r="E804" s="3" t="str">
        <f t="shared" ref="E804:E806" si="192">CONCATENATE(D804,"_",AC804,"_","Msr3")</f>
        <v>SWBE011-01 Windows_SFm_1975_Msr3</v>
      </c>
      <c r="F804" s="3" t="s">
        <v>10769</v>
      </c>
      <c r="G804" s="3" t="s">
        <v>10769</v>
      </c>
      <c r="H804" s="3"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x14ac:dyDescent="0.3">
      <c r="A805" s="3" t="s">
        <v>10754</v>
      </c>
      <c r="B805" s="3" t="s">
        <v>10675</v>
      </c>
      <c r="C805" s="3" t="s">
        <v>10755</v>
      </c>
      <c r="D805" s="3" t="str">
        <f t="shared" si="179"/>
        <v>SWBE011-01 Windows_SFm</v>
      </c>
      <c r="E805" s="3" t="str">
        <f t="shared" si="192"/>
        <v>SWBE011-01 Windows_SFm_1975_Msr3</v>
      </c>
      <c r="F805" s="3" t="s">
        <v>10769</v>
      </c>
      <c r="G805" s="3" t="s">
        <v>10769</v>
      </c>
      <c r="H805" s="3"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x14ac:dyDescent="0.3">
      <c r="A806" s="3" t="s">
        <v>10754</v>
      </c>
      <c r="B806" s="3" t="s">
        <v>10675</v>
      </c>
      <c r="C806" s="3" t="s">
        <v>10755</v>
      </c>
      <c r="D806" s="3" t="str">
        <f t="shared" si="179"/>
        <v>SWBE011-01 Windows_SFm</v>
      </c>
      <c r="E806" s="3" t="str">
        <f t="shared" si="192"/>
        <v>SWBE011-01 Windows_SFm_1975_Msr3</v>
      </c>
      <c r="F806" s="3" t="s">
        <v>10769</v>
      </c>
      <c r="G806" s="3" t="s">
        <v>10769</v>
      </c>
      <c r="H806" s="3"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x14ac:dyDescent="0.3">
      <c r="A807" s="3" t="s">
        <v>10754</v>
      </c>
      <c r="B807" s="3" t="s">
        <v>10675</v>
      </c>
      <c r="C807" s="3" t="s">
        <v>10755</v>
      </c>
      <c r="D807" s="3" t="str">
        <f t="shared" si="179"/>
        <v>SWBE011-01 Windows_SFm</v>
      </c>
      <c r="E807" s="3" t="str">
        <f>CONCATENATE(D807,"_",AC807,"_","Msr1")</f>
        <v>SWBE011-01 Windows_SFm_1985_Msr1</v>
      </c>
      <c r="F807" s="3" t="s">
        <v>10769</v>
      </c>
      <c r="G807" s="3" t="s">
        <v>10769</v>
      </c>
      <c r="H807" s="3"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x14ac:dyDescent="0.3">
      <c r="A808" s="3" t="s">
        <v>10754</v>
      </c>
      <c r="B808" s="3" t="s">
        <v>10675</v>
      </c>
      <c r="C808" s="3" t="s">
        <v>10755</v>
      </c>
      <c r="D808" s="3" t="str">
        <f t="shared" si="179"/>
        <v>SWBE011-01 Windows_SFm</v>
      </c>
      <c r="E808" s="3" t="str">
        <f t="shared" ref="E808:E810" si="193">CONCATENATE(D808,"_",AC808,"_","Msr1")</f>
        <v>SWBE011-01 Windows_SFm_1985_Msr1</v>
      </c>
      <c r="F808" s="3" t="s">
        <v>10769</v>
      </c>
      <c r="G808" s="3" t="s">
        <v>10769</v>
      </c>
      <c r="H808" s="3"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x14ac:dyDescent="0.3">
      <c r="A809" s="3" t="s">
        <v>10754</v>
      </c>
      <c r="B809" s="3" t="s">
        <v>10675</v>
      </c>
      <c r="C809" s="3" t="s">
        <v>10755</v>
      </c>
      <c r="D809" s="3" t="str">
        <f t="shared" si="179"/>
        <v>SWBE011-01 Windows_SFm</v>
      </c>
      <c r="E809" s="3" t="str">
        <f t="shared" si="193"/>
        <v>SWBE011-01 Windows_SFm_1985_Msr1</v>
      </c>
      <c r="F809" s="3" t="s">
        <v>10769</v>
      </c>
      <c r="G809" s="3" t="s">
        <v>10769</v>
      </c>
      <c r="H809" s="3"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x14ac:dyDescent="0.3">
      <c r="A810" s="3" t="s">
        <v>10754</v>
      </c>
      <c r="B810" s="3" t="s">
        <v>10675</v>
      </c>
      <c r="C810" s="3" t="s">
        <v>10755</v>
      </c>
      <c r="D810" s="3" t="str">
        <f t="shared" si="179"/>
        <v>SWBE011-01 Windows_SFm</v>
      </c>
      <c r="E810" s="3" t="str">
        <f t="shared" si="193"/>
        <v>SWBE011-01 Windows_SFm_1985_Msr1</v>
      </c>
      <c r="F810" s="3" t="s">
        <v>10769</v>
      </c>
      <c r="G810" s="3" t="s">
        <v>10769</v>
      </c>
      <c r="H810" s="3"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x14ac:dyDescent="0.3">
      <c r="A811" s="3" t="s">
        <v>10754</v>
      </c>
      <c r="B811" s="3" t="s">
        <v>10675</v>
      </c>
      <c r="C811" s="3" t="s">
        <v>10755</v>
      </c>
      <c r="D811" s="3" t="str">
        <f t="shared" si="179"/>
        <v>SWBE011-01 Windows_SFm</v>
      </c>
      <c r="E811" s="3" t="str">
        <f>CONCATENATE(D811,"_",AC811,"_","Msr2")</f>
        <v>SWBE011-01 Windows_SFm_1985_Msr2</v>
      </c>
      <c r="F811" s="3" t="s">
        <v>10769</v>
      </c>
      <c r="G811" s="3" t="s">
        <v>10769</v>
      </c>
      <c r="H811" s="3"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x14ac:dyDescent="0.3">
      <c r="A812" s="3" t="s">
        <v>10754</v>
      </c>
      <c r="B812" s="3" t="s">
        <v>10675</v>
      </c>
      <c r="C812" s="3" t="s">
        <v>10755</v>
      </c>
      <c r="D812" s="3" t="str">
        <f t="shared" si="179"/>
        <v>SWBE011-01 Windows_SFm</v>
      </c>
      <c r="E812" s="3" t="str">
        <f t="shared" ref="E812:E814" si="194">CONCATENATE(D812,"_",AC812,"_","Msr2")</f>
        <v>SWBE011-01 Windows_SFm_1985_Msr2</v>
      </c>
      <c r="F812" s="3" t="s">
        <v>10769</v>
      </c>
      <c r="G812" s="3" t="s">
        <v>10769</v>
      </c>
      <c r="H812" s="3"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x14ac:dyDescent="0.3">
      <c r="A813" s="3" t="s">
        <v>10754</v>
      </c>
      <c r="B813" s="3" t="s">
        <v>10675</v>
      </c>
      <c r="C813" s="3" t="s">
        <v>10755</v>
      </c>
      <c r="D813" s="3" t="str">
        <f t="shared" si="179"/>
        <v>SWBE011-01 Windows_SFm</v>
      </c>
      <c r="E813" s="3" t="str">
        <f t="shared" si="194"/>
        <v>SWBE011-01 Windows_SFm_1985_Msr2</v>
      </c>
      <c r="F813" s="3" t="s">
        <v>10769</v>
      </c>
      <c r="G813" s="3" t="s">
        <v>10769</v>
      </c>
      <c r="H813" s="3"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x14ac:dyDescent="0.3">
      <c r="A814" s="3" t="s">
        <v>10754</v>
      </c>
      <c r="B814" s="3" t="s">
        <v>10675</v>
      </c>
      <c r="C814" s="3" t="s">
        <v>10755</v>
      </c>
      <c r="D814" s="3" t="str">
        <f t="shared" si="179"/>
        <v>SWBE011-01 Windows_SFm</v>
      </c>
      <c r="E814" s="3" t="str">
        <f t="shared" si="194"/>
        <v>SWBE011-01 Windows_SFm_1985_Msr2</v>
      </c>
      <c r="F814" s="3" t="s">
        <v>10769</v>
      </c>
      <c r="G814" s="3" t="s">
        <v>10769</v>
      </c>
      <c r="H814" s="3"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x14ac:dyDescent="0.3">
      <c r="A815" s="3" t="s">
        <v>10754</v>
      </c>
      <c r="B815" s="3" t="s">
        <v>10675</v>
      </c>
      <c r="C815" s="3" t="s">
        <v>10755</v>
      </c>
      <c r="D815" s="3" t="str">
        <f t="shared" si="179"/>
        <v>SWBE011-01 Windows_SFm</v>
      </c>
      <c r="E815" s="3" t="str">
        <f>CONCATENATE(D815,"_",AC815,"_","Msr3")</f>
        <v>SWBE011-01 Windows_SFm_1985_Msr3</v>
      </c>
      <c r="F815" s="3" t="s">
        <v>10769</v>
      </c>
      <c r="G815" s="3" t="s">
        <v>10769</v>
      </c>
      <c r="H815" s="3"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x14ac:dyDescent="0.3">
      <c r="A816" s="3" t="s">
        <v>10754</v>
      </c>
      <c r="B816" s="3" t="s">
        <v>10675</v>
      </c>
      <c r="C816" s="3" t="s">
        <v>10755</v>
      </c>
      <c r="D816" s="3" t="str">
        <f t="shared" si="179"/>
        <v>SWBE011-01 Windows_SFm</v>
      </c>
      <c r="E816" s="3" t="str">
        <f t="shared" ref="E816:E818" si="195">CONCATENATE(D816,"_",AC816,"_","Msr3")</f>
        <v>SWBE011-01 Windows_SFm_1985_Msr3</v>
      </c>
      <c r="F816" s="3" t="s">
        <v>10769</v>
      </c>
      <c r="G816" s="3" t="s">
        <v>10769</v>
      </c>
      <c r="H816" s="3"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x14ac:dyDescent="0.3">
      <c r="A817" s="3" t="s">
        <v>10754</v>
      </c>
      <c r="B817" s="3" t="s">
        <v>10675</v>
      </c>
      <c r="C817" s="3" t="s">
        <v>10755</v>
      </c>
      <c r="D817" s="3" t="str">
        <f t="shared" si="179"/>
        <v>SWBE011-01 Windows_SFm</v>
      </c>
      <c r="E817" s="3" t="str">
        <f t="shared" si="195"/>
        <v>SWBE011-01 Windows_SFm_1985_Msr3</v>
      </c>
      <c r="F817" s="3" t="s">
        <v>10769</v>
      </c>
      <c r="G817" s="3" t="s">
        <v>10769</v>
      </c>
      <c r="H817" s="3"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x14ac:dyDescent="0.3">
      <c r="A818" s="3" t="s">
        <v>10754</v>
      </c>
      <c r="B818" s="3" t="s">
        <v>10675</v>
      </c>
      <c r="C818" s="3" t="s">
        <v>10755</v>
      </c>
      <c r="D818" s="3" t="str">
        <f t="shared" si="179"/>
        <v>SWBE011-01 Windows_SFm</v>
      </c>
      <c r="E818" s="3" t="str">
        <f t="shared" si="195"/>
        <v>SWBE011-01 Windows_SFm_1985_Msr3</v>
      </c>
      <c r="F818" s="3" t="s">
        <v>10769</v>
      </c>
      <c r="G818" s="3" t="s">
        <v>10769</v>
      </c>
      <c r="H818" s="3"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x14ac:dyDescent="0.3">
      <c r="A819" s="3" t="s">
        <v>10754</v>
      </c>
      <c r="B819" s="3" t="s">
        <v>10675</v>
      </c>
      <c r="C819" s="3" t="s">
        <v>10755</v>
      </c>
      <c r="D819" s="3" t="str">
        <f t="shared" si="179"/>
        <v>SWBE011-01 Windows_SFm</v>
      </c>
      <c r="E819" s="3" t="str">
        <f>CONCATENATE(D819,"_",AC819,"_","Msr1")</f>
        <v>SWBE011-01 Windows_SFm_1975_Msr1</v>
      </c>
      <c r="F819" s="3" t="s">
        <v>10769</v>
      </c>
      <c r="G819" s="3" t="s">
        <v>10769</v>
      </c>
      <c r="H819" s="3"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x14ac:dyDescent="0.3">
      <c r="A820" s="3" t="s">
        <v>10754</v>
      </c>
      <c r="B820" s="3" t="s">
        <v>10675</v>
      </c>
      <c r="C820" s="3" t="s">
        <v>10755</v>
      </c>
      <c r="D820" s="3" t="str">
        <f t="shared" si="179"/>
        <v>SWBE011-01 Windows_SFm</v>
      </c>
      <c r="E820" s="3" t="str">
        <f t="shared" ref="E820:E822" si="196">CONCATENATE(D820,"_",AC820,"_","Msr1")</f>
        <v>SWBE011-01 Windows_SFm_1975_Msr1</v>
      </c>
      <c r="F820" s="3" t="s">
        <v>10769</v>
      </c>
      <c r="G820" s="3" t="s">
        <v>10769</v>
      </c>
      <c r="H820" s="3"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x14ac:dyDescent="0.3">
      <c r="A821" s="3" t="s">
        <v>10754</v>
      </c>
      <c r="B821" s="3" t="s">
        <v>10675</v>
      </c>
      <c r="C821" s="3" t="s">
        <v>10755</v>
      </c>
      <c r="D821" s="3" t="str">
        <f t="shared" si="179"/>
        <v>SWBE011-01 Windows_SFm</v>
      </c>
      <c r="E821" s="3" t="str">
        <f t="shared" si="196"/>
        <v>SWBE011-01 Windows_SFm_1975_Msr1</v>
      </c>
      <c r="F821" s="3" t="s">
        <v>10769</v>
      </c>
      <c r="G821" s="3" t="s">
        <v>10769</v>
      </c>
      <c r="H821" s="3"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x14ac:dyDescent="0.3">
      <c r="A822" s="3" t="s">
        <v>10754</v>
      </c>
      <c r="B822" s="3" t="s">
        <v>10675</v>
      </c>
      <c r="C822" s="3" t="s">
        <v>10755</v>
      </c>
      <c r="D822" s="3" t="str">
        <f t="shared" si="179"/>
        <v>SWBE011-01 Windows_SFm</v>
      </c>
      <c r="E822" s="3" t="str">
        <f t="shared" si="196"/>
        <v>SWBE011-01 Windows_SFm_1975_Msr1</v>
      </c>
      <c r="F822" s="3" t="s">
        <v>10769</v>
      </c>
      <c r="G822" s="3" t="s">
        <v>10769</v>
      </c>
      <c r="H822" s="3"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x14ac:dyDescent="0.3">
      <c r="A823" s="3" t="s">
        <v>10754</v>
      </c>
      <c r="B823" s="3" t="s">
        <v>10675</v>
      </c>
      <c r="C823" s="3" t="s">
        <v>10755</v>
      </c>
      <c r="D823" s="3" t="str">
        <f t="shared" si="179"/>
        <v>SWBE011-01 Windows_SFm</v>
      </c>
      <c r="E823" s="3" t="str">
        <f>CONCATENATE(D823,"_",AC823,"_","Msr2")</f>
        <v>SWBE011-01 Windows_SFm_1975_Msr2</v>
      </c>
      <c r="F823" s="3" t="s">
        <v>10769</v>
      </c>
      <c r="G823" s="3" t="s">
        <v>10769</v>
      </c>
      <c r="H823" s="3"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x14ac:dyDescent="0.3">
      <c r="A824" s="3" t="s">
        <v>10754</v>
      </c>
      <c r="B824" s="3" t="s">
        <v>10675</v>
      </c>
      <c r="C824" s="3" t="s">
        <v>10755</v>
      </c>
      <c r="D824" s="3" t="str">
        <f t="shared" si="179"/>
        <v>SWBE011-01 Windows_SFm</v>
      </c>
      <c r="E824" s="3" t="str">
        <f t="shared" ref="E824:E826" si="197">CONCATENATE(D824,"_",AC824,"_","Msr2")</f>
        <v>SWBE011-01 Windows_SFm_1975_Msr2</v>
      </c>
      <c r="F824" s="3" t="s">
        <v>10769</v>
      </c>
      <c r="G824" s="3" t="s">
        <v>10769</v>
      </c>
      <c r="H824" s="3"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x14ac:dyDescent="0.3">
      <c r="A825" s="3" t="s">
        <v>10754</v>
      </c>
      <c r="B825" s="3" t="s">
        <v>10675</v>
      </c>
      <c r="C825" s="3" t="s">
        <v>10755</v>
      </c>
      <c r="D825" s="3" t="str">
        <f t="shared" si="179"/>
        <v>SWBE011-01 Windows_SFm</v>
      </c>
      <c r="E825" s="3" t="str">
        <f t="shared" si="197"/>
        <v>SWBE011-01 Windows_SFm_1975_Msr2</v>
      </c>
      <c r="F825" s="3" t="s">
        <v>10769</v>
      </c>
      <c r="G825" s="3" t="s">
        <v>10769</v>
      </c>
      <c r="H825" s="3"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x14ac:dyDescent="0.3">
      <c r="A826" s="3" t="s">
        <v>10754</v>
      </c>
      <c r="B826" s="3" t="s">
        <v>10675</v>
      </c>
      <c r="C826" s="3" t="s">
        <v>10755</v>
      </c>
      <c r="D826" s="3" t="str">
        <f t="shared" si="179"/>
        <v>SWBE011-01 Windows_SFm</v>
      </c>
      <c r="E826" s="3" t="str">
        <f t="shared" si="197"/>
        <v>SWBE011-01 Windows_SFm_1975_Msr2</v>
      </c>
      <c r="F826" s="3" t="s">
        <v>10769</v>
      </c>
      <c r="G826" s="3" t="s">
        <v>10769</v>
      </c>
      <c r="H826" s="3"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x14ac:dyDescent="0.3">
      <c r="A827" s="3" t="s">
        <v>10754</v>
      </c>
      <c r="B827" s="3" t="s">
        <v>10675</v>
      </c>
      <c r="C827" s="3" t="s">
        <v>10755</v>
      </c>
      <c r="D827" s="3" t="str">
        <f t="shared" si="179"/>
        <v>SWBE011-01 Windows_SFm</v>
      </c>
      <c r="E827" s="3" t="str">
        <f>CONCATENATE(D827,"_",AC827,"_","Msr3")</f>
        <v>SWBE011-01 Windows_SFm_1975_Msr3</v>
      </c>
      <c r="F827" s="3" t="s">
        <v>10769</v>
      </c>
      <c r="G827" s="3" t="s">
        <v>10769</v>
      </c>
      <c r="H827" s="3"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x14ac:dyDescent="0.3">
      <c r="A828" s="3" t="s">
        <v>10754</v>
      </c>
      <c r="B828" s="3" t="s">
        <v>10675</v>
      </c>
      <c r="C828" s="3" t="s">
        <v>10755</v>
      </c>
      <c r="D828" s="3" t="str">
        <f t="shared" si="179"/>
        <v>SWBE011-01 Windows_SFm</v>
      </c>
      <c r="E828" s="3" t="str">
        <f t="shared" ref="E828:E830" si="198">CONCATENATE(D828,"_",AC828,"_","Msr3")</f>
        <v>SWBE011-01 Windows_SFm_1975_Msr3</v>
      </c>
      <c r="F828" s="3" t="s">
        <v>10769</v>
      </c>
      <c r="G828" s="3" t="s">
        <v>10769</v>
      </c>
      <c r="H828" s="3"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x14ac:dyDescent="0.3">
      <c r="A829" s="3" t="s">
        <v>10754</v>
      </c>
      <c r="B829" s="3" t="s">
        <v>10675</v>
      </c>
      <c r="C829" s="3" t="s">
        <v>10755</v>
      </c>
      <c r="D829" s="3" t="str">
        <f t="shared" si="179"/>
        <v>SWBE011-01 Windows_SFm</v>
      </c>
      <c r="E829" s="3" t="str">
        <f t="shared" si="198"/>
        <v>SWBE011-01 Windows_SFm_1975_Msr3</v>
      </c>
      <c r="F829" s="3" t="s">
        <v>10769</v>
      </c>
      <c r="G829" s="3" t="s">
        <v>10769</v>
      </c>
      <c r="H829" s="3"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x14ac:dyDescent="0.3">
      <c r="A830" s="3" t="s">
        <v>10754</v>
      </c>
      <c r="B830" s="3" t="s">
        <v>10675</v>
      </c>
      <c r="C830" s="3" t="s">
        <v>10755</v>
      </c>
      <c r="D830" s="3" t="str">
        <f t="shared" si="179"/>
        <v>SWBE011-01 Windows_SFm</v>
      </c>
      <c r="E830" s="3" t="str">
        <f t="shared" si="198"/>
        <v>SWBE011-01 Windows_SFm_1975_Msr3</v>
      </c>
      <c r="F830" s="3" t="s">
        <v>10769</v>
      </c>
      <c r="G830" s="3" t="s">
        <v>10769</v>
      </c>
      <c r="H830" s="3"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x14ac:dyDescent="0.3">
      <c r="A831" s="3" t="s">
        <v>10754</v>
      </c>
      <c r="B831" s="3" t="s">
        <v>10675</v>
      </c>
      <c r="C831" s="3" t="s">
        <v>10755</v>
      </c>
      <c r="D831" s="3" t="str">
        <f t="shared" si="179"/>
        <v>SWBE011-01 Windows_SFm</v>
      </c>
      <c r="E831" s="3" t="str">
        <f>CONCATENATE(D831,"_",AC831,"_","Msr1")</f>
        <v>SWBE011-01 Windows_SFm_1985_Msr1</v>
      </c>
      <c r="F831" s="3" t="s">
        <v>10769</v>
      </c>
      <c r="G831" s="3" t="s">
        <v>10769</v>
      </c>
      <c r="H831" s="3"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x14ac:dyDescent="0.3">
      <c r="A832" s="3" t="s">
        <v>10754</v>
      </c>
      <c r="B832" s="3" t="s">
        <v>10675</v>
      </c>
      <c r="C832" s="3" t="s">
        <v>10755</v>
      </c>
      <c r="D832" s="3" t="str">
        <f t="shared" si="179"/>
        <v>SWBE011-01 Windows_SFm</v>
      </c>
      <c r="E832" s="3" t="str">
        <f t="shared" ref="E832:E834" si="199">CONCATENATE(D832,"_",AC832,"_","Msr1")</f>
        <v>SWBE011-01 Windows_SFm_1985_Msr1</v>
      </c>
      <c r="F832" s="3" t="s">
        <v>10769</v>
      </c>
      <c r="G832" s="3" t="s">
        <v>10769</v>
      </c>
      <c r="H832" s="3"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x14ac:dyDescent="0.3">
      <c r="A833" s="3" t="s">
        <v>10754</v>
      </c>
      <c r="B833" s="3" t="s">
        <v>10675</v>
      </c>
      <c r="C833" s="3" t="s">
        <v>10755</v>
      </c>
      <c r="D833" s="3" t="str">
        <f t="shared" si="179"/>
        <v>SWBE011-01 Windows_SFm</v>
      </c>
      <c r="E833" s="3" t="str">
        <f t="shared" si="199"/>
        <v>SWBE011-01 Windows_SFm_1985_Msr1</v>
      </c>
      <c r="F833" s="3" t="s">
        <v>10769</v>
      </c>
      <c r="G833" s="3" t="s">
        <v>10769</v>
      </c>
      <c r="H833" s="3"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x14ac:dyDescent="0.3">
      <c r="A834" s="3" t="s">
        <v>10754</v>
      </c>
      <c r="B834" s="3" t="s">
        <v>10675</v>
      </c>
      <c r="C834" s="3" t="s">
        <v>10755</v>
      </c>
      <c r="D834" s="3" t="str">
        <f t="shared" si="179"/>
        <v>SWBE011-01 Windows_SFm</v>
      </c>
      <c r="E834" s="3" t="str">
        <f t="shared" si="199"/>
        <v>SWBE011-01 Windows_SFm_1985_Msr1</v>
      </c>
      <c r="F834" s="3" t="s">
        <v>10769</v>
      </c>
      <c r="G834" s="3" t="s">
        <v>10769</v>
      </c>
      <c r="H834" s="3"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x14ac:dyDescent="0.3">
      <c r="A835" s="3" t="s">
        <v>10754</v>
      </c>
      <c r="B835" s="3" t="s">
        <v>10675</v>
      </c>
      <c r="C835" s="3" t="s">
        <v>10755</v>
      </c>
      <c r="D835" s="3" t="str">
        <f t="shared" ref="D835:D842" si="200">_xlfn.CONCAT(C835, " ", A835,"_",O835)</f>
        <v>SWBE011-01 Windows_SFm</v>
      </c>
      <c r="E835" s="3" t="str">
        <f>CONCATENATE(D835,"_",AC835,"_","Msr2")</f>
        <v>SWBE011-01 Windows_SFm_1985_Msr2</v>
      </c>
      <c r="F835" s="3" t="s">
        <v>10769</v>
      </c>
      <c r="G835" s="3" t="s">
        <v>10769</v>
      </c>
      <c r="H835" s="3"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x14ac:dyDescent="0.3">
      <c r="A836" s="3" t="s">
        <v>10754</v>
      </c>
      <c r="B836" s="3" t="s">
        <v>10675</v>
      </c>
      <c r="C836" s="3" t="s">
        <v>10755</v>
      </c>
      <c r="D836" s="3" t="str">
        <f t="shared" si="200"/>
        <v>SWBE011-01 Windows_SFm</v>
      </c>
      <c r="E836" s="3" t="str">
        <f t="shared" ref="E836:E838" si="202">CONCATENATE(D836,"_",AC836,"_","Msr2")</f>
        <v>SWBE011-01 Windows_SFm_1985_Msr2</v>
      </c>
      <c r="F836" s="3" t="s">
        <v>10769</v>
      </c>
      <c r="G836" s="3" t="s">
        <v>10769</v>
      </c>
      <c r="H836" s="3" t="str">
        <f t="shared" ref="H836:H843" si="203">K836</f>
        <v>RE-Fenest-ManufWin-rDXHP-Ex</v>
      </c>
      <c r="J836" t="str">
        <f t="shared" ref="J836:J851"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x14ac:dyDescent="0.3">
      <c r="A837" s="3" t="s">
        <v>10754</v>
      </c>
      <c r="B837" s="3" t="s">
        <v>10675</v>
      </c>
      <c r="C837" s="3" t="s">
        <v>10755</v>
      </c>
      <c r="D837" s="3" t="str">
        <f t="shared" si="200"/>
        <v>SWBE011-01 Windows_SFm</v>
      </c>
      <c r="E837" s="3" t="str">
        <f t="shared" si="202"/>
        <v>SWBE011-01 Windows_SFm_1985_Msr2</v>
      </c>
      <c r="F837" s="3" t="s">
        <v>10769</v>
      </c>
      <c r="G837" s="3" t="s">
        <v>10769</v>
      </c>
      <c r="H837" s="3"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x14ac:dyDescent="0.3">
      <c r="A838" s="3" t="s">
        <v>10754</v>
      </c>
      <c r="B838" s="3" t="s">
        <v>10675</v>
      </c>
      <c r="C838" s="3" t="s">
        <v>10755</v>
      </c>
      <c r="D838" s="3" t="str">
        <f t="shared" si="200"/>
        <v>SWBE011-01 Windows_SFm</v>
      </c>
      <c r="E838" s="3" t="str">
        <f t="shared" si="202"/>
        <v>SWBE011-01 Windows_SFm_1985_Msr2</v>
      </c>
      <c r="F838" s="3" t="s">
        <v>10769</v>
      </c>
      <c r="G838" s="3" t="s">
        <v>10769</v>
      </c>
      <c r="H838" s="3"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x14ac:dyDescent="0.3">
      <c r="A839" s="3" t="s">
        <v>10754</v>
      </c>
      <c r="B839" s="3" t="s">
        <v>10675</v>
      </c>
      <c r="C839" s="3" t="s">
        <v>10755</v>
      </c>
      <c r="D839" s="3" t="str">
        <f t="shared" si="200"/>
        <v>SWBE011-01 Windows_SFm</v>
      </c>
      <c r="E839" s="3" t="str">
        <f>CONCATENATE(D839,"_",AC839,"_","Msr3")</f>
        <v>SWBE011-01 Windows_SFm_1985_Msr3</v>
      </c>
      <c r="F839" s="3" t="s">
        <v>10769</v>
      </c>
      <c r="G839" s="3" t="s">
        <v>10769</v>
      </c>
      <c r="H839" s="3"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x14ac:dyDescent="0.3">
      <c r="A840" s="3" t="s">
        <v>10754</v>
      </c>
      <c r="B840" s="3" t="s">
        <v>10675</v>
      </c>
      <c r="C840" s="3" t="s">
        <v>10755</v>
      </c>
      <c r="D840" s="3" t="str">
        <f t="shared" si="200"/>
        <v>SWBE011-01 Windows_SFm</v>
      </c>
      <c r="E840" s="3" t="str">
        <f t="shared" ref="E840:E842" si="206">CONCATENATE(D840,"_",AC840,"_","Msr3")</f>
        <v>SWBE011-01 Windows_SFm_1985_Msr3</v>
      </c>
      <c r="F840" s="3" t="s">
        <v>10769</v>
      </c>
      <c r="G840" s="3" t="s">
        <v>10769</v>
      </c>
      <c r="H840" s="3"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x14ac:dyDescent="0.3">
      <c r="A841" s="3" t="s">
        <v>10754</v>
      </c>
      <c r="B841" s="3" t="s">
        <v>10675</v>
      </c>
      <c r="C841" s="3" t="s">
        <v>10755</v>
      </c>
      <c r="D841" s="3" t="str">
        <f t="shared" si="200"/>
        <v>SWBE011-01 Windows_SFm</v>
      </c>
      <c r="E841" s="3" t="str">
        <f t="shared" si="206"/>
        <v>SWBE011-01 Windows_SFm_1985_Msr3</v>
      </c>
      <c r="F841" s="3" t="s">
        <v>10769</v>
      </c>
      <c r="G841" s="3" t="s">
        <v>10769</v>
      </c>
      <c r="H841" s="3"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x14ac:dyDescent="0.3">
      <c r="A842" s="3" t="s">
        <v>10754</v>
      </c>
      <c r="B842" s="3" t="s">
        <v>10675</v>
      </c>
      <c r="C842" s="3" t="s">
        <v>10755</v>
      </c>
      <c r="D842" s="3" t="str">
        <f t="shared" si="200"/>
        <v>SWBE011-01 Windows_SFm</v>
      </c>
      <c r="E842" s="3" t="str">
        <f t="shared" si="206"/>
        <v>SWBE011-01 Windows_SFm_1985_Msr3</v>
      </c>
      <c r="F842" s="3" t="s">
        <v>10769</v>
      </c>
      <c r="G842" s="3" t="s">
        <v>10769</v>
      </c>
      <c r="H842" s="3"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x14ac:dyDescent="0.3">
      <c r="A843" s="3" t="s">
        <v>10754</v>
      </c>
      <c r="B843" s="3" t="s">
        <v>10665</v>
      </c>
      <c r="C843" s="3" t="s">
        <v>10764</v>
      </c>
      <c r="D843" s="3" t="str">
        <f>_xlfn.CONCAT(C843, " ", A843)</f>
        <v>SWBE012-01 Windows</v>
      </c>
      <c r="E843" s="3" t="str">
        <f>_xlfn.CONCAT(C843, " ", A843,"_",O843,"_",R843)</f>
        <v>SWBE012-01 Windows_Htl_Ex</v>
      </c>
      <c r="F843" s="3" t="str">
        <f t="shared" ref="F843" si="207">LEFT(H843,18)</f>
        <v>NB-Fenest-ManufWin</v>
      </c>
      <c r="G843" s="3" t="str">
        <f t="shared" ref="G843" si="208">F843</f>
        <v>NB-Fenest-ManufWin</v>
      </c>
      <c r="H843" s="3"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T847" si="209">V843&amp;"__"&amp;W843</f>
        <v>Fenest__ManufWin</v>
      </c>
      <c r="U843" s="3" t="str">
        <f t="shared" ref="U843:U847" si="210">X843&amp;"__"&amp;Y843</f>
        <v>Fenest__ManufWin</v>
      </c>
      <c r="V843" s="3" t="s">
        <v>785</v>
      </c>
      <c r="W843" s="3" t="s">
        <v>1040</v>
      </c>
      <c r="X843" s="3" t="s">
        <v>785</v>
      </c>
      <c r="Y843" s="3" t="s">
        <v>1040</v>
      </c>
      <c r="AA843" s="3" t="s">
        <v>55</v>
      </c>
    </row>
    <row r="844" spans="1:29" x14ac:dyDescent="0.3">
      <c r="A844" s="3" t="s">
        <v>10771</v>
      </c>
      <c r="B844" s="3" t="s">
        <v>10665</v>
      </c>
      <c r="C844" s="3" t="s">
        <v>10770</v>
      </c>
      <c r="D844" s="3" t="str">
        <f t="shared" ref="D844:D847" si="211">_xlfn.CONCAT(C844, " ", A844)</f>
        <v>SWCR003-05 Refrig Fan Motor</v>
      </c>
      <c r="E844" s="3" t="str">
        <f>_xlfn.CONCAT(C844, " ", A844,"_",R844)</f>
        <v>SWCR003-05 Refrig Fan Motor_Ex</v>
      </c>
      <c r="F844" s="3" t="str">
        <f t="shared" ref="F844:F847" si="212">LEFT(H844,18)</f>
        <v>NE-Ref_Storage-Ver</v>
      </c>
      <c r="G844" s="3" t="str">
        <f t="shared" ref="G844:G847" si="213">F844</f>
        <v>NE-Ref_Storage-Ver</v>
      </c>
      <c r="H844" s="3" t="str">
        <f t="shared" ref="H844:H847" si="214">K844</f>
        <v>NE-Ref_Storage-VertDisplay-MT-PSC-Std</v>
      </c>
      <c r="J844" t="str">
        <f t="shared" si="204"/>
        <v>NE-Ref_Storage-VertDisplay-MT-PSC-Std</v>
      </c>
      <c r="K844" t="s">
        <v>10772</v>
      </c>
      <c r="M844" t="s">
        <v>10772</v>
      </c>
      <c r="N844" s="3" t="str">
        <f t="shared" si="190"/>
        <v>Gro&amp;0&amp;cDXGF&amp;Ex&amp;Ref_Storage__VertDisplay</v>
      </c>
      <c r="O844" s="3" t="s">
        <v>10738</v>
      </c>
      <c r="P844" s="3">
        <v>0</v>
      </c>
      <c r="Q844" s="3" t="s">
        <v>10666</v>
      </c>
      <c r="R844" s="3" t="s">
        <v>52</v>
      </c>
      <c r="S844" s="3" t="s">
        <v>10734</v>
      </c>
      <c r="T844" s="3" t="str">
        <f t="shared" si="209"/>
        <v>Ref_Storage__VertDisplay</v>
      </c>
      <c r="U844" s="3" t="str">
        <f t="shared" si="210"/>
        <v>Ref_Storage__VertDisplay</v>
      </c>
      <c r="V844" s="3" t="s">
        <v>150</v>
      </c>
      <c r="W844" s="3" t="s">
        <v>938</v>
      </c>
      <c r="X844" s="3" t="s">
        <v>150</v>
      </c>
      <c r="Y844" s="3" t="s">
        <v>938</v>
      </c>
      <c r="Z844" s="3">
        <v>163.44</v>
      </c>
      <c r="AA844" s="3" t="s">
        <v>542</v>
      </c>
      <c r="AB844" s="3" t="s">
        <v>153</v>
      </c>
    </row>
    <row r="845" spans="1:29" x14ac:dyDescent="0.3">
      <c r="A845" s="3" t="s">
        <v>10771</v>
      </c>
      <c r="B845" s="3" t="s">
        <v>10665</v>
      </c>
      <c r="C845" s="3" t="s">
        <v>10770</v>
      </c>
      <c r="D845" s="3" t="str">
        <f t="shared" si="211"/>
        <v>SWCR003-05 Refrig Fan Motor</v>
      </c>
      <c r="E845" s="3" t="str">
        <f t="shared" ref="E845:E847" si="215">_xlfn.CONCAT(C845, " ", A845,"_",R845)</f>
        <v>SWCR003-05 Refrig Fan Motor_Ex</v>
      </c>
      <c r="F845" s="3" t="str">
        <f t="shared" si="212"/>
        <v>NE-Ref_Storage-Ver</v>
      </c>
      <c r="G845" s="3" t="str">
        <f t="shared" si="213"/>
        <v>NE-Ref_Storage-Ver</v>
      </c>
      <c r="H845" s="3" t="str">
        <f t="shared" si="214"/>
        <v>NE-Ref_Storage-VertDisplay-MT-ECM-Msr</v>
      </c>
      <c r="J845" t="str">
        <f t="shared" si="204"/>
        <v>NE-Ref_Storage-VertDisplay-MT-ECM-Msr</v>
      </c>
      <c r="K845" t="s">
        <v>10773</v>
      </c>
      <c r="M845" t="s">
        <v>10773</v>
      </c>
      <c r="N845" s="3" t="str">
        <f t="shared" si="190"/>
        <v>Gro&amp;0&amp;cDXGF&amp;Ex&amp;Ref_Storage__VertDisplay</v>
      </c>
      <c r="O845" s="3" t="s">
        <v>10738</v>
      </c>
      <c r="P845" s="3">
        <v>0</v>
      </c>
      <c r="Q845" s="3" t="s">
        <v>10666</v>
      </c>
      <c r="R845" s="3" t="s">
        <v>52</v>
      </c>
      <c r="S845" s="3" t="s">
        <v>10734</v>
      </c>
      <c r="T845" s="3" t="str">
        <f t="shared" si="209"/>
        <v>Ref_Storage__VertDisplay</v>
      </c>
      <c r="U845" s="3" t="str">
        <f t="shared" si="210"/>
        <v>Ref_Storage__VertDisplay</v>
      </c>
      <c r="V845" s="3" t="s">
        <v>150</v>
      </c>
      <c r="W845" s="3" t="s">
        <v>938</v>
      </c>
      <c r="X845" s="3" t="s">
        <v>150</v>
      </c>
      <c r="Y845" s="3" t="s">
        <v>938</v>
      </c>
      <c r="Z845" s="3">
        <v>163.44</v>
      </c>
      <c r="AA845" s="3" t="s">
        <v>542</v>
      </c>
      <c r="AB845" s="3" t="s">
        <v>153</v>
      </c>
    </row>
    <row r="846" spans="1:29" x14ac:dyDescent="0.3">
      <c r="A846" s="3" t="s">
        <v>10771</v>
      </c>
      <c r="B846" s="3" t="s">
        <v>10665</v>
      </c>
      <c r="C846" s="3" t="s">
        <v>10770</v>
      </c>
      <c r="D846" s="3" t="str">
        <f t="shared" si="211"/>
        <v>SWCR003-05 Refrig Fan Motor</v>
      </c>
      <c r="E846" s="3" t="str">
        <f t="shared" si="215"/>
        <v>SWCR003-05 Refrig Fan Motor_Ex</v>
      </c>
      <c r="F846" s="3" t="str">
        <f t="shared" si="212"/>
        <v>NE-Ref_Storage-Ver</v>
      </c>
      <c r="G846" s="3" t="str">
        <f t="shared" si="213"/>
        <v>NE-Ref_Storage-Ver</v>
      </c>
      <c r="H846" s="3" t="str">
        <f t="shared" si="214"/>
        <v>NE-Ref_Storage-VertDisplay-LT-PSC-Std</v>
      </c>
      <c r="J846" t="str">
        <f t="shared" si="204"/>
        <v>NE-Ref_Storage-VertDisplay-LT-PSC-Std</v>
      </c>
      <c r="K846" t="s">
        <v>10774</v>
      </c>
      <c r="M846" t="s">
        <v>10774</v>
      </c>
      <c r="N846" s="3" t="str">
        <f t="shared" si="190"/>
        <v>Gro&amp;0&amp;cDXGF&amp;Ex&amp;Ref_Storage__VertDisplay</v>
      </c>
      <c r="O846" s="3" t="s">
        <v>10738</v>
      </c>
      <c r="P846" s="3">
        <v>0</v>
      </c>
      <c r="Q846" s="3" t="s">
        <v>10666</v>
      </c>
      <c r="R846" s="3" t="s">
        <v>52</v>
      </c>
      <c r="S846" s="3" t="s">
        <v>10734</v>
      </c>
      <c r="T846" s="3" t="str">
        <f t="shared" si="209"/>
        <v>Ref_Storage__VertDisplay</v>
      </c>
      <c r="U846" s="3" t="str">
        <f t="shared" si="210"/>
        <v>Ref_Storage__VertDisplay</v>
      </c>
      <c r="V846" s="3" t="s">
        <v>150</v>
      </c>
      <c r="W846" s="3" t="s">
        <v>938</v>
      </c>
      <c r="X846" s="3" t="s">
        <v>150</v>
      </c>
      <c r="Y846" s="3" t="s">
        <v>938</v>
      </c>
      <c r="Z846" s="3">
        <v>175.32</v>
      </c>
      <c r="AA846" s="3" t="s">
        <v>542</v>
      </c>
      <c r="AB846" s="3" t="s">
        <v>153</v>
      </c>
    </row>
    <row r="847" spans="1:29" x14ac:dyDescent="0.3">
      <c r="A847" s="3" t="s">
        <v>10771</v>
      </c>
      <c r="B847" s="3" t="s">
        <v>10665</v>
      </c>
      <c r="C847" s="3" t="s">
        <v>10770</v>
      </c>
      <c r="D847" s="3" t="str">
        <f t="shared" si="211"/>
        <v>SWCR003-05 Refrig Fan Motor</v>
      </c>
      <c r="E847" s="3" t="str">
        <f t="shared" si="215"/>
        <v>SWCR003-05 Refrig Fan Motor_Ex</v>
      </c>
      <c r="F847" s="3" t="str">
        <f t="shared" si="212"/>
        <v>NE-Ref_Storage-Ver</v>
      </c>
      <c r="G847" s="3" t="str">
        <f t="shared" si="213"/>
        <v>NE-Ref_Storage-Ver</v>
      </c>
      <c r="H847" s="3" t="str">
        <f t="shared" si="214"/>
        <v>NE-Ref_Storage-VertDisplay-LT-ECM-Msr</v>
      </c>
      <c r="J847" t="str">
        <f t="shared" si="204"/>
        <v>NE-Ref_Storage-VertDisplay-LT-ECM-Msr</v>
      </c>
      <c r="K847" t="s">
        <v>10775</v>
      </c>
      <c r="M847" t="s">
        <v>10775</v>
      </c>
      <c r="N847" s="3" t="str">
        <f t="shared" si="190"/>
        <v>Gro&amp;0&amp;cDXGF&amp;Ex&amp;Ref_Storage__VertDisplay</v>
      </c>
      <c r="O847" s="3" t="s">
        <v>10738</v>
      </c>
      <c r="P847" s="3">
        <v>0</v>
      </c>
      <c r="Q847" s="3" t="s">
        <v>10666</v>
      </c>
      <c r="R847" s="3" t="s">
        <v>52</v>
      </c>
      <c r="S847" s="3" t="s">
        <v>10734</v>
      </c>
      <c r="T847" s="3" t="str">
        <f t="shared" si="209"/>
        <v>Ref_Storage__VertDisplay</v>
      </c>
      <c r="U847" s="3" t="str">
        <f t="shared" si="210"/>
        <v>Ref_Storage__VertDisplay</v>
      </c>
      <c r="V847" s="3" t="s">
        <v>150</v>
      </c>
      <c r="W847" s="3" t="s">
        <v>938</v>
      </c>
      <c r="X847" s="3" t="s">
        <v>150</v>
      </c>
      <c r="Y847" s="3" t="s">
        <v>938</v>
      </c>
      <c r="Z847" s="3">
        <v>175.32</v>
      </c>
      <c r="AA847" s="3" t="s">
        <v>542</v>
      </c>
      <c r="AB847" s="3" t="s">
        <v>153</v>
      </c>
    </row>
    <row r="848" spans="1:29" x14ac:dyDescent="0.3">
      <c r="A848" s="3" t="s">
        <v>10771</v>
      </c>
      <c r="B848" s="3" t="s">
        <v>10665</v>
      </c>
      <c r="C848" s="3" t="s">
        <v>10770</v>
      </c>
      <c r="D848" s="3" t="str">
        <f t="shared" ref="D848" si="216">_xlfn.CONCAT(C848, " ", A848)</f>
        <v>SWCR003-05 Refrig Fan Motor</v>
      </c>
      <c r="E848" s="3" t="str">
        <f t="shared" ref="E848" si="217">_xlfn.CONCAT(C848, " ", A848,"_",R848)</f>
        <v>SWCR003-05 Refrig Fan Motor_Ex</v>
      </c>
      <c r="F848" s="3" t="str">
        <f t="shared" ref="F848" si="218">LEFT(H848,18)</f>
        <v>NE-Ref_Storage-Ver</v>
      </c>
      <c r="G848" s="3" t="str">
        <f t="shared" ref="G848" si="219">F848</f>
        <v>NE-Ref_Storage-Ver</v>
      </c>
      <c r="H848" s="3" t="str">
        <f t="shared" ref="H848" si="220">K848</f>
        <v>NE-Ref_Storage-VertDisplay-MT-SHP-Std</v>
      </c>
      <c r="J848" t="str">
        <f t="shared" si="204"/>
        <v>NE-Ref_Storage-VertDisplay-MT-SHP-Std</v>
      </c>
      <c r="K848" t="s">
        <v>10776</v>
      </c>
      <c r="M848" t="s">
        <v>10776</v>
      </c>
      <c r="N848" s="3" t="str">
        <f t="shared" si="190"/>
        <v>Gro&amp;0&amp;cDXGF&amp;Ex&amp;Ref_Storage__VertDisplay</v>
      </c>
      <c r="O848" s="3" t="s">
        <v>10738</v>
      </c>
      <c r="P848" s="3">
        <v>0</v>
      </c>
      <c r="Q848" s="3" t="s">
        <v>10666</v>
      </c>
      <c r="R848" s="3" t="s">
        <v>52</v>
      </c>
      <c r="S848" s="3" t="s">
        <v>10734</v>
      </c>
      <c r="T848" s="3" t="str">
        <f t="shared" ref="T848" si="221">V848&amp;"__"&amp;W848</f>
        <v>Ref_Storage__VertDisplay</v>
      </c>
      <c r="U848" s="3" t="str">
        <f t="shared" ref="U848" si="222">X848&amp;"__"&amp;Y848</f>
        <v>Ref_Storage__VertDisplay</v>
      </c>
      <c r="V848" s="3" t="s">
        <v>150</v>
      </c>
      <c r="W848" s="3" t="s">
        <v>938</v>
      </c>
      <c r="X848" s="3" t="s">
        <v>150</v>
      </c>
      <c r="Y848" s="3" t="s">
        <v>938</v>
      </c>
      <c r="Z848" s="3">
        <v>163.44</v>
      </c>
      <c r="AA848" s="3" t="s">
        <v>542</v>
      </c>
      <c r="AB848" s="3" t="s">
        <v>153</v>
      </c>
    </row>
    <row r="849" spans="1:28" x14ac:dyDescent="0.3">
      <c r="A849" s="3" t="s">
        <v>10771</v>
      </c>
      <c r="B849" s="3" t="s">
        <v>10665</v>
      </c>
      <c r="C849" s="3" t="s">
        <v>10770</v>
      </c>
      <c r="D849" s="3" t="str">
        <f t="shared" ref="D849:D851" si="223">_xlfn.CONCAT(C849, " ", A849)</f>
        <v>SWCR003-05 Refrig Fan Motor</v>
      </c>
      <c r="E849" s="3" t="str">
        <f t="shared" ref="E849:E851" si="224">_xlfn.CONCAT(C849, " ", A849,"_",R849)</f>
        <v>SWCR003-05 Refrig Fan Motor_Ex</v>
      </c>
      <c r="F849" s="3" t="str">
        <f t="shared" ref="F849:F851" si="225">LEFT(H849,18)</f>
        <v>NE-Ref_Storage-Ver</v>
      </c>
      <c r="G849" s="3" t="str">
        <f t="shared" ref="G849:G851" si="226">F849</f>
        <v>NE-Ref_Storage-Ver</v>
      </c>
      <c r="H849" s="3" t="str">
        <f t="shared" ref="H849:H851" si="227">K849</f>
        <v>NE-Ref_Storage-VertDisplay-MT-ECM-Msr</v>
      </c>
      <c r="J849" t="str">
        <f t="shared" si="204"/>
        <v>NE-Ref_Storage-VertDisplay-MT-ECM-Msr</v>
      </c>
      <c r="K849" t="s">
        <v>10773</v>
      </c>
      <c r="M849" t="s">
        <v>10773</v>
      </c>
      <c r="N849" s="3" t="str">
        <f t="shared" ref="N849:N851" si="228">IF(S849="No", O849&amp;"&amp;"&amp;P849&amp;"&amp;"&amp;Q849&amp;"&amp;"&amp;R849&amp;"&amp;"&amp;T849,   O849&amp;"&amp;"&amp;P849&amp;"&amp;"&amp;Q849&amp;"&amp;"&amp;R849&amp;"&amp;"&amp;T849&amp;"&amp;"&amp;U849)</f>
        <v>Gro&amp;1&amp;cDXGF&amp;Ex&amp;Ref_Storage__VertDisplay</v>
      </c>
      <c r="O849" s="3" t="s">
        <v>10738</v>
      </c>
      <c r="P849" s="3">
        <v>1</v>
      </c>
      <c r="Q849" s="3" t="s">
        <v>10666</v>
      </c>
      <c r="R849" s="3" t="s">
        <v>52</v>
      </c>
      <c r="S849" s="3" t="s">
        <v>10734</v>
      </c>
      <c r="T849" s="3" t="str">
        <f t="shared" ref="T849:T851" si="229">V849&amp;"__"&amp;W849</f>
        <v>Ref_Storage__VertDisplay</v>
      </c>
      <c r="U849" s="3" t="str">
        <f t="shared" ref="U849:U851" si="230">X849&amp;"__"&amp;Y849</f>
        <v>Ref_Storage__VertDisplay</v>
      </c>
      <c r="V849" s="3" t="s">
        <v>150</v>
      </c>
      <c r="W849" s="3" t="s">
        <v>938</v>
      </c>
      <c r="X849" s="3" t="s">
        <v>150</v>
      </c>
      <c r="Y849" s="3" t="s">
        <v>938</v>
      </c>
      <c r="Z849" s="3">
        <v>163.44</v>
      </c>
      <c r="AA849" s="3" t="s">
        <v>542</v>
      </c>
      <c r="AB849" s="3" t="s">
        <v>153</v>
      </c>
    </row>
    <row r="850" spans="1:28" x14ac:dyDescent="0.3">
      <c r="A850" s="3" t="s">
        <v>10771</v>
      </c>
      <c r="B850" s="3" t="s">
        <v>10665</v>
      </c>
      <c r="C850" s="3" t="s">
        <v>10770</v>
      </c>
      <c r="D850" s="3" t="str">
        <f t="shared" si="223"/>
        <v>SWCR003-05 Refrig Fan Motor</v>
      </c>
      <c r="E850" s="3" t="str">
        <f t="shared" si="224"/>
        <v>SWCR003-05 Refrig Fan Motor_Ex</v>
      </c>
      <c r="F850" s="3" t="str">
        <f t="shared" si="225"/>
        <v>NE-Ref_Storage-Ver</v>
      </c>
      <c r="G850" s="3" t="str">
        <f t="shared" si="226"/>
        <v>NE-Ref_Storage-Ver</v>
      </c>
      <c r="H850" s="3" t="str">
        <f t="shared" si="227"/>
        <v>NE-Ref_Storage-VertDisplay-LT-SHP-Std</v>
      </c>
      <c r="J850" t="str">
        <f t="shared" si="204"/>
        <v>NE-Ref_Storage-VertDisplay-LT-SHP-Std</v>
      </c>
      <c r="K850" t="s">
        <v>10777</v>
      </c>
      <c r="M850" t="s">
        <v>10777</v>
      </c>
      <c r="N850" s="3" t="str">
        <f t="shared" si="228"/>
        <v>Gro&amp;2&amp;cDXGF&amp;Ex&amp;Ref_Storage__VertDisplay</v>
      </c>
      <c r="O850" s="3" t="s">
        <v>10738</v>
      </c>
      <c r="P850" s="3">
        <v>2</v>
      </c>
      <c r="Q850" s="3" t="s">
        <v>10666</v>
      </c>
      <c r="R850" s="3" t="s">
        <v>52</v>
      </c>
      <c r="S850" s="3" t="s">
        <v>10734</v>
      </c>
      <c r="T850" s="3" t="str">
        <f t="shared" si="229"/>
        <v>Ref_Storage__VertDisplay</v>
      </c>
      <c r="U850" s="3" t="str">
        <f t="shared" si="230"/>
        <v>Ref_Storage__VertDisplay</v>
      </c>
      <c r="V850" s="3" t="s">
        <v>150</v>
      </c>
      <c r="W850" s="3" t="s">
        <v>938</v>
      </c>
      <c r="X850" s="3" t="s">
        <v>150</v>
      </c>
      <c r="Y850" s="3" t="s">
        <v>938</v>
      </c>
      <c r="Z850" s="3">
        <v>175.32</v>
      </c>
      <c r="AA850" s="3" t="s">
        <v>542</v>
      </c>
      <c r="AB850" s="3" t="s">
        <v>153</v>
      </c>
    </row>
    <row r="851" spans="1:28" x14ac:dyDescent="0.3">
      <c r="A851" s="3" t="s">
        <v>10771</v>
      </c>
      <c r="B851" s="3" t="s">
        <v>10665</v>
      </c>
      <c r="C851" s="3" t="s">
        <v>10770</v>
      </c>
      <c r="D851" s="3" t="str">
        <f t="shared" si="223"/>
        <v>SWCR003-05 Refrig Fan Motor</v>
      </c>
      <c r="E851" s="3" t="str">
        <f t="shared" si="224"/>
        <v>SWCR003-05 Refrig Fan Motor_Ex</v>
      </c>
      <c r="F851" s="3" t="str">
        <f t="shared" si="225"/>
        <v>NE-Ref_Storage-Ver</v>
      </c>
      <c r="G851" s="3" t="str">
        <f t="shared" si="226"/>
        <v>NE-Ref_Storage-Ver</v>
      </c>
      <c r="H851" s="3" t="str">
        <f t="shared" si="227"/>
        <v>NE-Ref_Storage-VertDisplay-LT-ECM-Msr</v>
      </c>
      <c r="J851" t="str">
        <f t="shared" si="204"/>
        <v>NE-Ref_Storage-VertDisplay-LT-ECM-Msr</v>
      </c>
      <c r="K851" t="s">
        <v>10775</v>
      </c>
      <c r="M851" t="s">
        <v>10775</v>
      </c>
      <c r="N851" s="3" t="str">
        <f t="shared" si="228"/>
        <v>Gro&amp;3&amp;cDXGF&amp;Ex&amp;Ref_Storage__VertDisplay</v>
      </c>
      <c r="O851" s="3" t="s">
        <v>10738</v>
      </c>
      <c r="P851" s="3">
        <v>3</v>
      </c>
      <c r="Q851" s="3" t="s">
        <v>10666</v>
      </c>
      <c r="R851" s="3" t="s">
        <v>52</v>
      </c>
      <c r="S851" s="3" t="s">
        <v>10734</v>
      </c>
      <c r="T851" s="3" t="str">
        <f t="shared" si="229"/>
        <v>Ref_Storage__VertDisplay</v>
      </c>
      <c r="U851" s="3" t="str">
        <f t="shared" si="230"/>
        <v>Ref_Storage__VertDisplay</v>
      </c>
      <c r="V851" s="3" t="s">
        <v>150</v>
      </c>
      <c r="W851" s="3" t="s">
        <v>938</v>
      </c>
      <c r="X851" s="3" t="s">
        <v>150</v>
      </c>
      <c r="Y851" s="3" t="s">
        <v>938</v>
      </c>
      <c r="Z851" s="3">
        <v>175.32</v>
      </c>
      <c r="AA851" s="3" t="s">
        <v>542</v>
      </c>
      <c r="AB851" s="3" t="s">
        <v>153</v>
      </c>
    </row>
  </sheetData>
  <autoFilter ref="A5:AG843" xr:uid="{00000000-0009-0000-0000-000001000000}"/>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4" x14ac:dyDescent="0.3"/>
  <cols>
    <col min="1" max="1" width="23.33203125" bestFit="1" customWidth="1"/>
    <col min="2" max="2" width="15" bestFit="1" customWidth="1"/>
    <col min="3" max="3" width="21.109375" bestFit="1" customWidth="1"/>
    <col min="4" max="4" width="44.6640625" bestFit="1" customWidth="1"/>
    <col min="5" max="28" width="8.33203125" customWidth="1"/>
  </cols>
  <sheetData>
    <row r="1" spans="1:28" ht="39" customHeight="1" thickBot="1" x14ac:dyDescent="0.35">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4" x14ac:dyDescent="0.3"/>
  <cols>
    <col min="1" max="1" width="69" customWidth="1"/>
    <col min="2" max="2" width="36.44140625" bestFit="1" customWidth="1"/>
    <col min="3" max="3" width="38.109375" customWidth="1"/>
    <col min="4" max="4" width="21.21875" bestFit="1" customWidth="1"/>
    <col min="5" max="18" width="34.6640625" bestFit="1" customWidth="1"/>
    <col min="19" max="19" width="11" bestFit="1" customWidth="1"/>
    <col min="20" max="134" width="46.6640625" bestFit="1" customWidth="1"/>
    <col min="135" max="138" width="11" bestFit="1" customWidth="1"/>
    <col min="139" max="269" width="46.6640625" bestFit="1" customWidth="1"/>
    <col min="270" max="270" width="31.5546875" bestFit="1" customWidth="1"/>
    <col min="271" max="271" width="32.109375" bestFit="1" customWidth="1"/>
    <col min="272" max="402" width="46.6640625" bestFit="1" customWidth="1"/>
    <col min="403" max="403" width="31.6640625" bestFit="1" customWidth="1"/>
    <col min="404" max="404" width="31.5546875" bestFit="1" customWidth="1"/>
    <col min="405" max="405" width="32.109375" bestFit="1" customWidth="1"/>
  </cols>
  <sheetData>
    <row r="2" spans="1:4" x14ac:dyDescent="0.3">
      <c r="A2" s="33" t="s">
        <v>21</v>
      </c>
      <c r="B2" t="s">
        <v>10765</v>
      </c>
    </row>
    <row r="4" spans="1:4" x14ac:dyDescent="0.3">
      <c r="A4" s="33" t="s">
        <v>29</v>
      </c>
      <c r="B4" s="33" t="s">
        <v>26</v>
      </c>
      <c r="C4" s="33" t="s">
        <v>27</v>
      </c>
      <c r="D4" s="33" t="s">
        <v>28</v>
      </c>
    </row>
    <row r="5" spans="1:4" x14ac:dyDescent="0.3">
      <c r="A5" t="s">
        <v>339</v>
      </c>
    </row>
    <row r="6" spans="1:4" x14ac:dyDescent="0.3">
      <c r="A6" t="s">
        <v>344</v>
      </c>
    </row>
    <row r="7" spans="1:4" x14ac:dyDescent="0.3">
      <c r="A7" t="s">
        <v>345</v>
      </c>
    </row>
    <row r="8" spans="1:4" x14ac:dyDescent="0.3">
      <c r="A8" t="s">
        <v>346</v>
      </c>
    </row>
    <row r="9" spans="1:4" x14ac:dyDescent="0.3">
      <c r="A9" t="s">
        <v>347</v>
      </c>
    </row>
    <row r="10" spans="1:4" x14ac:dyDescent="0.3">
      <c r="A10" t="s">
        <v>348</v>
      </c>
    </row>
    <row r="11" spans="1:4" x14ac:dyDescent="0.3">
      <c r="A11" t="s">
        <v>349</v>
      </c>
    </row>
    <row r="12" spans="1:4" x14ac:dyDescent="0.3">
      <c r="A12" t="s">
        <v>350</v>
      </c>
    </row>
    <row r="13" spans="1:4" x14ac:dyDescent="0.3">
      <c r="A13" t="s">
        <v>351</v>
      </c>
    </row>
    <row r="14" spans="1:4" x14ac:dyDescent="0.3">
      <c r="A14" t="s">
        <v>352</v>
      </c>
    </row>
    <row r="15" spans="1:4" x14ac:dyDescent="0.3">
      <c r="A15" t="s">
        <v>353</v>
      </c>
    </row>
    <row r="16" spans="1:4" x14ac:dyDescent="0.3">
      <c r="A16" t="s">
        <v>354</v>
      </c>
    </row>
    <row r="17" spans="1:1" x14ac:dyDescent="0.3">
      <c r="A17" t="s">
        <v>355</v>
      </c>
    </row>
    <row r="18" spans="1:1" x14ac:dyDescent="0.3">
      <c r="A18" t="s">
        <v>356</v>
      </c>
    </row>
    <row r="19" spans="1:1" x14ac:dyDescent="0.3">
      <c r="A19" t="s">
        <v>357</v>
      </c>
    </row>
    <row r="20" spans="1:1" x14ac:dyDescent="0.3">
      <c r="A20" t="s">
        <v>358</v>
      </c>
    </row>
    <row r="21" spans="1:1" x14ac:dyDescent="0.3">
      <c r="A21" t="s">
        <v>359</v>
      </c>
    </row>
    <row r="22" spans="1:1" x14ac:dyDescent="0.3">
      <c r="A22" t="s">
        <v>360</v>
      </c>
    </row>
    <row r="23" spans="1:1" x14ac:dyDescent="0.3">
      <c r="A23" t="s">
        <v>361</v>
      </c>
    </row>
    <row r="24" spans="1:1" x14ac:dyDescent="0.3">
      <c r="A24" t="s">
        <v>362</v>
      </c>
    </row>
    <row r="25" spans="1:1" x14ac:dyDescent="0.3">
      <c r="A25" t="s">
        <v>363</v>
      </c>
    </row>
    <row r="26" spans="1:1" x14ac:dyDescent="0.3">
      <c r="A26" t="s">
        <v>364</v>
      </c>
    </row>
    <row r="27" spans="1:1" x14ac:dyDescent="0.3">
      <c r="A27" t="s">
        <v>365</v>
      </c>
    </row>
    <row r="28" spans="1:1" x14ac:dyDescent="0.3">
      <c r="A28" t="s">
        <v>366</v>
      </c>
    </row>
    <row r="29" spans="1:1" x14ac:dyDescent="0.3">
      <c r="A29" t="s">
        <v>367</v>
      </c>
    </row>
    <row r="30" spans="1:1" x14ac:dyDescent="0.3">
      <c r="A30" t="s">
        <v>368</v>
      </c>
    </row>
    <row r="31" spans="1:1" x14ac:dyDescent="0.3">
      <c r="A31" t="s">
        <v>369</v>
      </c>
    </row>
    <row r="32" spans="1:1" x14ac:dyDescent="0.3">
      <c r="A32" t="s">
        <v>370</v>
      </c>
    </row>
    <row r="33" spans="1:1" x14ac:dyDescent="0.3">
      <c r="A33" t="s">
        <v>371</v>
      </c>
    </row>
    <row r="34" spans="1:1" x14ac:dyDescent="0.3">
      <c r="A34" t="s">
        <v>372</v>
      </c>
    </row>
    <row r="35" spans="1:1" x14ac:dyDescent="0.3">
      <c r="A35" t="s">
        <v>373</v>
      </c>
    </row>
    <row r="36" spans="1:1" x14ac:dyDescent="0.3">
      <c r="A36" t="s">
        <v>374</v>
      </c>
    </row>
    <row r="37" spans="1:1" x14ac:dyDescent="0.3">
      <c r="A37" t="s">
        <v>375</v>
      </c>
    </row>
    <row r="38" spans="1:1" x14ac:dyDescent="0.3">
      <c r="A38" t="s">
        <v>376</v>
      </c>
    </row>
    <row r="39" spans="1:1" x14ac:dyDescent="0.3">
      <c r="A39" t="s">
        <v>377</v>
      </c>
    </row>
    <row r="40" spans="1:1" x14ac:dyDescent="0.3">
      <c r="A40" t="s">
        <v>378</v>
      </c>
    </row>
    <row r="41" spans="1:1" x14ac:dyDescent="0.3">
      <c r="A41" t="s">
        <v>379</v>
      </c>
    </row>
    <row r="42" spans="1:1" x14ac:dyDescent="0.3">
      <c r="A42" t="s">
        <v>380</v>
      </c>
    </row>
    <row r="43" spans="1:1" x14ac:dyDescent="0.3">
      <c r="A43" t="s">
        <v>381</v>
      </c>
    </row>
    <row r="44" spans="1:1" x14ac:dyDescent="0.3">
      <c r="A44" t="s">
        <v>382</v>
      </c>
    </row>
    <row r="45" spans="1:1" x14ac:dyDescent="0.3">
      <c r="A45" t="s">
        <v>383</v>
      </c>
    </row>
    <row r="46" spans="1:1" x14ac:dyDescent="0.3">
      <c r="A46" t="s">
        <v>384</v>
      </c>
    </row>
    <row r="47" spans="1:1" x14ac:dyDescent="0.3">
      <c r="A47" t="s">
        <v>385</v>
      </c>
    </row>
    <row r="48" spans="1:1" x14ac:dyDescent="0.3">
      <c r="A48" t="s">
        <v>386</v>
      </c>
    </row>
    <row r="49" spans="1:1" x14ac:dyDescent="0.3">
      <c r="A49" t="s">
        <v>387</v>
      </c>
    </row>
    <row r="50" spans="1:1" x14ac:dyDescent="0.3">
      <c r="A50" t="s">
        <v>388</v>
      </c>
    </row>
    <row r="51" spans="1:1" x14ac:dyDescent="0.3">
      <c r="A51" t="s">
        <v>389</v>
      </c>
    </row>
    <row r="52" spans="1:1" x14ac:dyDescent="0.3">
      <c r="A52" t="s">
        <v>390</v>
      </c>
    </row>
    <row r="53" spans="1:1" x14ac:dyDescent="0.3">
      <c r="A53" t="s">
        <v>391</v>
      </c>
    </row>
    <row r="54" spans="1:1" x14ac:dyDescent="0.3">
      <c r="A54" t="s">
        <v>392</v>
      </c>
    </row>
    <row r="55" spans="1:1" x14ac:dyDescent="0.3">
      <c r="A55" t="s">
        <v>393</v>
      </c>
    </row>
    <row r="56" spans="1:1" x14ac:dyDescent="0.3">
      <c r="A56" s="40" t="s">
        <v>394</v>
      </c>
    </row>
    <row r="57" spans="1:1" x14ac:dyDescent="0.3">
      <c r="A57" t="s">
        <v>395</v>
      </c>
    </row>
    <row r="58" spans="1:1" x14ac:dyDescent="0.3">
      <c r="A58" t="s">
        <v>396</v>
      </c>
    </row>
    <row r="59" spans="1:1" x14ac:dyDescent="0.3">
      <c r="A59" t="s">
        <v>397</v>
      </c>
    </row>
    <row r="60" spans="1:1" x14ac:dyDescent="0.3">
      <c r="A60" t="s">
        <v>398</v>
      </c>
    </row>
    <row r="61" spans="1:1" x14ac:dyDescent="0.3">
      <c r="A61" t="s">
        <v>399</v>
      </c>
    </row>
    <row r="62" spans="1:1" x14ac:dyDescent="0.3">
      <c r="A62" s="40" t="s">
        <v>400</v>
      </c>
    </row>
    <row r="63" spans="1:1" x14ac:dyDescent="0.3">
      <c r="A63" t="s">
        <v>401</v>
      </c>
    </row>
    <row r="64" spans="1:1" x14ac:dyDescent="0.3">
      <c r="A64" t="s">
        <v>402</v>
      </c>
    </row>
    <row r="65" spans="1:1" x14ac:dyDescent="0.3">
      <c r="A65" t="s">
        <v>403</v>
      </c>
    </row>
    <row r="66" spans="1:1" x14ac:dyDescent="0.3">
      <c r="A66" t="s">
        <v>404</v>
      </c>
    </row>
    <row r="67" spans="1:1" x14ac:dyDescent="0.3">
      <c r="A67" t="s">
        <v>405</v>
      </c>
    </row>
    <row r="68" spans="1:1" x14ac:dyDescent="0.3">
      <c r="A68" t="s">
        <v>406</v>
      </c>
    </row>
    <row r="69" spans="1:1" x14ac:dyDescent="0.3">
      <c r="A69" t="s">
        <v>407</v>
      </c>
    </row>
    <row r="70" spans="1:1" x14ac:dyDescent="0.3">
      <c r="A70" t="s">
        <v>408</v>
      </c>
    </row>
    <row r="71" spans="1:1" x14ac:dyDescent="0.3">
      <c r="A71" t="s">
        <v>409</v>
      </c>
    </row>
    <row r="72" spans="1:1" x14ac:dyDescent="0.3">
      <c r="A72" t="s">
        <v>410</v>
      </c>
    </row>
    <row r="73" spans="1:1" x14ac:dyDescent="0.3">
      <c r="A73" t="s">
        <v>411</v>
      </c>
    </row>
    <row r="74" spans="1:1" x14ac:dyDescent="0.3">
      <c r="A74" t="s">
        <v>412</v>
      </c>
    </row>
    <row r="75" spans="1:1" x14ac:dyDescent="0.3">
      <c r="A75" t="s">
        <v>413</v>
      </c>
    </row>
    <row r="76" spans="1:1" x14ac:dyDescent="0.3">
      <c r="A76" t="s">
        <v>414</v>
      </c>
    </row>
    <row r="77" spans="1:1" x14ac:dyDescent="0.3">
      <c r="A77" t="s">
        <v>415</v>
      </c>
    </row>
    <row r="78" spans="1:1" x14ac:dyDescent="0.3">
      <c r="A78" t="s">
        <v>416</v>
      </c>
    </row>
    <row r="79" spans="1:1" x14ac:dyDescent="0.3">
      <c r="A79" t="s">
        <v>417</v>
      </c>
    </row>
    <row r="80" spans="1:1" x14ac:dyDescent="0.3">
      <c r="A80" t="s">
        <v>418</v>
      </c>
    </row>
    <row r="81" spans="1:1" x14ac:dyDescent="0.3">
      <c r="A81" t="s">
        <v>419</v>
      </c>
    </row>
    <row r="82" spans="1:1" x14ac:dyDescent="0.3">
      <c r="A82" t="s">
        <v>420</v>
      </c>
    </row>
    <row r="83" spans="1:1" x14ac:dyDescent="0.3">
      <c r="A83" t="s">
        <v>421</v>
      </c>
    </row>
    <row r="84" spans="1:1" x14ac:dyDescent="0.3">
      <c r="A84" t="s">
        <v>422</v>
      </c>
    </row>
    <row r="85" spans="1:1" x14ac:dyDescent="0.3">
      <c r="A85" t="s">
        <v>423</v>
      </c>
    </row>
    <row r="86" spans="1:1" x14ac:dyDescent="0.3">
      <c r="A86" t="s">
        <v>424</v>
      </c>
    </row>
    <row r="87" spans="1:1" x14ac:dyDescent="0.3">
      <c r="A87" t="s">
        <v>425</v>
      </c>
    </row>
    <row r="88" spans="1:1" x14ac:dyDescent="0.3">
      <c r="A88" t="s">
        <v>426</v>
      </c>
    </row>
    <row r="89" spans="1:1" x14ac:dyDescent="0.3">
      <c r="A89" t="s">
        <v>427</v>
      </c>
    </row>
    <row r="90" spans="1:1" x14ac:dyDescent="0.3">
      <c r="A90" t="s">
        <v>428</v>
      </c>
    </row>
    <row r="91" spans="1:1" x14ac:dyDescent="0.3">
      <c r="A91" t="s">
        <v>429</v>
      </c>
    </row>
    <row r="92" spans="1:1" x14ac:dyDescent="0.3">
      <c r="A92" t="s">
        <v>430</v>
      </c>
    </row>
    <row r="93" spans="1:1" x14ac:dyDescent="0.3">
      <c r="A93" t="s">
        <v>431</v>
      </c>
    </row>
    <row r="94" spans="1:1" x14ac:dyDescent="0.3">
      <c r="A94" t="s">
        <v>432</v>
      </c>
    </row>
    <row r="95" spans="1:1" x14ac:dyDescent="0.3">
      <c r="A95" t="s">
        <v>433</v>
      </c>
    </row>
    <row r="96" spans="1:1" x14ac:dyDescent="0.3">
      <c r="A96" t="s">
        <v>434</v>
      </c>
    </row>
    <row r="97" spans="1:1" x14ac:dyDescent="0.3">
      <c r="A97" t="s">
        <v>435</v>
      </c>
    </row>
    <row r="98" spans="1:1" x14ac:dyDescent="0.3">
      <c r="A98" t="s">
        <v>436</v>
      </c>
    </row>
    <row r="99" spans="1:1" x14ac:dyDescent="0.3">
      <c r="A99" t="s">
        <v>437</v>
      </c>
    </row>
    <row r="100" spans="1:1" x14ac:dyDescent="0.3">
      <c r="A100" t="s">
        <v>438</v>
      </c>
    </row>
    <row r="101" spans="1:1" x14ac:dyDescent="0.3">
      <c r="A101" t="s">
        <v>439</v>
      </c>
    </row>
    <row r="102" spans="1:1" x14ac:dyDescent="0.3">
      <c r="A102" t="s">
        <v>440</v>
      </c>
    </row>
    <row r="103" spans="1:1" x14ac:dyDescent="0.3">
      <c r="A103" t="s">
        <v>441</v>
      </c>
    </row>
    <row r="104" spans="1:1" x14ac:dyDescent="0.3">
      <c r="A104" t="s">
        <v>442</v>
      </c>
    </row>
    <row r="105" spans="1:1" x14ac:dyDescent="0.3">
      <c r="A105" t="s">
        <v>443</v>
      </c>
    </row>
    <row r="106" spans="1:1" x14ac:dyDescent="0.3">
      <c r="A106" t="s">
        <v>444</v>
      </c>
    </row>
    <row r="107" spans="1:1" x14ac:dyDescent="0.3">
      <c r="A107" t="s">
        <v>445</v>
      </c>
    </row>
    <row r="108" spans="1:1" x14ac:dyDescent="0.3">
      <c r="A108" t="s">
        <v>446</v>
      </c>
    </row>
    <row r="109" spans="1:1" x14ac:dyDescent="0.3">
      <c r="A109" t="s">
        <v>447</v>
      </c>
    </row>
    <row r="110" spans="1:1" x14ac:dyDescent="0.3">
      <c r="A110" t="s">
        <v>448</v>
      </c>
    </row>
    <row r="111" spans="1:1" x14ac:dyDescent="0.3">
      <c r="A111" t="s">
        <v>449</v>
      </c>
    </row>
    <row r="112" spans="1:1" x14ac:dyDescent="0.3">
      <c r="A112" t="s">
        <v>450</v>
      </c>
    </row>
    <row r="113" spans="1:1" x14ac:dyDescent="0.3">
      <c r="A113" s="50" t="s">
        <v>451</v>
      </c>
    </row>
    <row r="114" spans="1:1" x14ac:dyDescent="0.3">
      <c r="A114" s="50" t="s">
        <v>452</v>
      </c>
    </row>
    <row r="115" spans="1:1" x14ac:dyDescent="0.3">
      <c r="A115" s="50" t="s">
        <v>453</v>
      </c>
    </row>
    <row r="116" spans="1:1" x14ac:dyDescent="0.3">
      <c r="A116" s="50" t="s">
        <v>454</v>
      </c>
    </row>
    <row r="117" spans="1:1" x14ac:dyDescent="0.3">
      <c r="A117" s="50" t="s">
        <v>455</v>
      </c>
    </row>
    <row r="118" spans="1:1" x14ac:dyDescent="0.3">
      <c r="A118" s="50" t="s">
        <v>456</v>
      </c>
    </row>
    <row r="119" spans="1:1" x14ac:dyDescent="0.3">
      <c r="A119" s="50" t="s">
        <v>457</v>
      </c>
    </row>
    <row r="120" spans="1:1" x14ac:dyDescent="0.3">
      <c r="A120" s="50" t="s">
        <v>458</v>
      </c>
    </row>
    <row r="121" spans="1:1" x14ac:dyDescent="0.3">
      <c r="A121" s="50" t="s">
        <v>459</v>
      </c>
    </row>
    <row r="122" spans="1:1" x14ac:dyDescent="0.3">
      <c r="A122" s="50" t="s">
        <v>460</v>
      </c>
    </row>
    <row r="123" spans="1:1" x14ac:dyDescent="0.3">
      <c r="A123" s="50" t="s">
        <v>461</v>
      </c>
    </row>
    <row r="124" spans="1:1" x14ac:dyDescent="0.3">
      <c r="A124" s="50" t="s">
        <v>462</v>
      </c>
    </row>
    <row r="125" spans="1:1" x14ac:dyDescent="0.3">
      <c r="A125" t="s">
        <v>316</v>
      </c>
    </row>
    <row r="126" spans="1:1" x14ac:dyDescent="0.3">
      <c r="A126" t="s">
        <v>317</v>
      </c>
    </row>
    <row r="127" spans="1:1" x14ac:dyDescent="0.3">
      <c r="A127" t="s">
        <v>318</v>
      </c>
    </row>
    <row r="128" spans="1:1" x14ac:dyDescent="0.3">
      <c r="A128" s="50" t="s">
        <v>319</v>
      </c>
    </row>
    <row r="129" spans="1:1" x14ac:dyDescent="0.3">
      <c r="A129" s="50" t="s">
        <v>320</v>
      </c>
    </row>
    <row r="130" spans="1:1" x14ac:dyDescent="0.3">
      <c r="A130" s="50" t="s">
        <v>321</v>
      </c>
    </row>
    <row r="131" spans="1:1" x14ac:dyDescent="0.3">
      <c r="A131" s="50" t="s">
        <v>322</v>
      </c>
    </row>
    <row r="132" spans="1:1" x14ac:dyDescent="0.3">
      <c r="A132" s="50" t="s">
        <v>323</v>
      </c>
    </row>
    <row r="133" spans="1:1" x14ac:dyDescent="0.3">
      <c r="A133" s="50" t="s">
        <v>324</v>
      </c>
    </row>
    <row r="134" spans="1:1" x14ac:dyDescent="0.3">
      <c r="A134" s="50" t="s">
        <v>325</v>
      </c>
    </row>
    <row r="135" spans="1:1" x14ac:dyDescent="0.3">
      <c r="A135" s="50" t="s">
        <v>326</v>
      </c>
    </row>
    <row r="136" spans="1:1" x14ac:dyDescent="0.3">
      <c r="A136" s="50" t="s">
        <v>327</v>
      </c>
    </row>
    <row r="137" spans="1:1" x14ac:dyDescent="0.3">
      <c r="A137" s="50" t="s">
        <v>328</v>
      </c>
    </row>
    <row r="138" spans="1:1" x14ac:dyDescent="0.3">
      <c r="A138" s="50" t="s">
        <v>329</v>
      </c>
    </row>
    <row r="139" spans="1:1" x14ac:dyDescent="0.3">
      <c r="A139" s="50" t="s">
        <v>330</v>
      </c>
    </row>
    <row r="140" spans="1:1" x14ac:dyDescent="0.3">
      <c r="A140" t="s">
        <v>331</v>
      </c>
    </row>
    <row r="141" spans="1:1" x14ac:dyDescent="0.3">
      <c r="A141" t="s">
        <v>463</v>
      </c>
    </row>
    <row r="142" spans="1:1" x14ac:dyDescent="0.3">
      <c r="A142" t="s">
        <v>464</v>
      </c>
    </row>
    <row r="143" spans="1:1" x14ac:dyDescent="0.3">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4" x14ac:dyDescent="0.3"/>
  <cols>
    <col min="1" max="1" width="68.664062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9" t="s">
        <v>333</v>
      </c>
      <c r="B1" t="s">
        <v>334</v>
      </c>
      <c r="C1" t="s">
        <v>335</v>
      </c>
      <c r="D1" t="s">
        <v>336</v>
      </c>
      <c r="E1" t="s">
        <v>337</v>
      </c>
      <c r="F1" t="s">
        <v>338</v>
      </c>
    </row>
    <row r="2" spans="1:12" hidden="1" x14ac:dyDescent="0.3">
      <c r="A2" s="34" t="s">
        <v>339</v>
      </c>
      <c r="B2">
        <f>LEN(A2)</f>
        <v>35</v>
      </c>
      <c r="C2" t="s">
        <v>340</v>
      </c>
      <c r="D2" t="s">
        <v>110</v>
      </c>
      <c r="E2" t="s">
        <v>341</v>
      </c>
      <c r="K2" s="2" t="s">
        <v>342</v>
      </c>
      <c r="L2" s="2" t="s">
        <v>343</v>
      </c>
    </row>
    <row r="3" spans="1:12" hidden="1" x14ac:dyDescent="0.3">
      <c r="A3" s="34" t="s">
        <v>344</v>
      </c>
      <c r="B3">
        <f t="shared" ref="B3:B66" si="0">LEN(A3)</f>
        <v>35</v>
      </c>
      <c r="K3" t="s">
        <v>79</v>
      </c>
      <c r="L3">
        <f>LEN(K3)</f>
        <v>18</v>
      </c>
    </row>
    <row r="4" spans="1:12" hidden="1" x14ac:dyDescent="0.3">
      <c r="A4" s="34" t="s">
        <v>345</v>
      </c>
      <c r="B4">
        <f t="shared" si="0"/>
        <v>35</v>
      </c>
      <c r="K4" t="s">
        <v>95</v>
      </c>
      <c r="L4">
        <f t="shared" ref="L4:L10" si="1">LEN(K4)</f>
        <v>19</v>
      </c>
    </row>
    <row r="5" spans="1:12" hidden="1" x14ac:dyDescent="0.3">
      <c r="A5" s="34" t="s">
        <v>346</v>
      </c>
      <c r="B5">
        <f t="shared" si="0"/>
        <v>35</v>
      </c>
      <c r="K5" t="s">
        <v>100</v>
      </c>
      <c r="L5">
        <f t="shared" si="1"/>
        <v>18</v>
      </c>
    </row>
    <row r="6" spans="1:12" hidden="1" x14ac:dyDescent="0.3">
      <c r="A6" s="34" t="s">
        <v>347</v>
      </c>
      <c r="B6">
        <f t="shared" si="0"/>
        <v>35</v>
      </c>
      <c r="K6" t="s">
        <v>131</v>
      </c>
      <c r="L6">
        <f t="shared" si="1"/>
        <v>7</v>
      </c>
    </row>
    <row r="7" spans="1:12" hidden="1" x14ac:dyDescent="0.3">
      <c r="A7" s="34" t="s">
        <v>348</v>
      </c>
      <c r="B7">
        <f t="shared" si="0"/>
        <v>35</v>
      </c>
      <c r="K7" t="s">
        <v>144</v>
      </c>
      <c r="L7">
        <f t="shared" si="1"/>
        <v>20</v>
      </c>
    </row>
    <row r="8" spans="1:12" hidden="1" x14ac:dyDescent="0.3">
      <c r="A8" s="34" t="s">
        <v>349</v>
      </c>
      <c r="B8">
        <f t="shared" si="0"/>
        <v>35</v>
      </c>
      <c r="K8" t="s">
        <v>159</v>
      </c>
      <c r="L8">
        <f t="shared" si="1"/>
        <v>15</v>
      </c>
    </row>
    <row r="9" spans="1:12" hidden="1" x14ac:dyDescent="0.3">
      <c r="A9" s="34" t="s">
        <v>350</v>
      </c>
      <c r="B9">
        <f t="shared" si="0"/>
        <v>35</v>
      </c>
      <c r="K9" t="s">
        <v>189</v>
      </c>
      <c r="L9">
        <f t="shared" si="1"/>
        <v>11</v>
      </c>
    </row>
    <row r="10" spans="1:12" hidden="1" x14ac:dyDescent="0.3">
      <c r="A10" s="34" t="s">
        <v>351</v>
      </c>
      <c r="B10">
        <f t="shared" si="0"/>
        <v>35</v>
      </c>
      <c r="K10" t="s">
        <v>0</v>
      </c>
      <c r="L10">
        <f t="shared" si="1"/>
        <v>16</v>
      </c>
    </row>
    <row r="11" spans="1:12" hidden="1" x14ac:dyDescent="0.3">
      <c r="A11" s="34" t="s">
        <v>352</v>
      </c>
      <c r="B11">
        <f t="shared" si="0"/>
        <v>35</v>
      </c>
    </row>
    <row r="12" spans="1:12" hidden="1" x14ac:dyDescent="0.3">
      <c r="A12" s="34" t="s">
        <v>353</v>
      </c>
      <c r="B12">
        <f t="shared" si="0"/>
        <v>35</v>
      </c>
    </row>
    <row r="13" spans="1:12" hidden="1" x14ac:dyDescent="0.3">
      <c r="A13" s="34" t="s">
        <v>354</v>
      </c>
      <c r="B13">
        <f t="shared" si="0"/>
        <v>35</v>
      </c>
    </row>
    <row r="14" spans="1:12" hidden="1" x14ac:dyDescent="0.3">
      <c r="A14" s="34" t="s">
        <v>355</v>
      </c>
      <c r="B14">
        <f t="shared" si="0"/>
        <v>37</v>
      </c>
    </row>
    <row r="15" spans="1:12" hidden="1" x14ac:dyDescent="0.3">
      <c r="A15" s="34" t="s">
        <v>356</v>
      </c>
      <c r="B15">
        <f t="shared" si="0"/>
        <v>37</v>
      </c>
    </row>
    <row r="16" spans="1:12" hidden="1" x14ac:dyDescent="0.3">
      <c r="A16" s="34" t="s">
        <v>357</v>
      </c>
      <c r="B16">
        <f t="shared" si="0"/>
        <v>37</v>
      </c>
    </row>
    <row r="17" spans="1:2" hidden="1" x14ac:dyDescent="0.3">
      <c r="A17" s="34" t="s">
        <v>358</v>
      </c>
      <c r="B17">
        <f t="shared" si="0"/>
        <v>37</v>
      </c>
    </row>
    <row r="18" spans="1:2" hidden="1" x14ac:dyDescent="0.3">
      <c r="A18" s="34" t="s">
        <v>359</v>
      </c>
      <c r="B18">
        <f t="shared" si="0"/>
        <v>37</v>
      </c>
    </row>
    <row r="19" spans="1:2" hidden="1" x14ac:dyDescent="0.3">
      <c r="A19" s="34" t="s">
        <v>360</v>
      </c>
      <c r="B19">
        <f t="shared" si="0"/>
        <v>37</v>
      </c>
    </row>
    <row r="20" spans="1:2" hidden="1" x14ac:dyDescent="0.3">
      <c r="A20" s="34" t="s">
        <v>361</v>
      </c>
      <c r="B20">
        <f t="shared" si="0"/>
        <v>37</v>
      </c>
    </row>
    <row r="21" spans="1:2" hidden="1" x14ac:dyDescent="0.3">
      <c r="A21" s="34" t="s">
        <v>362</v>
      </c>
      <c r="B21">
        <f t="shared" si="0"/>
        <v>37</v>
      </c>
    </row>
    <row r="22" spans="1:2" hidden="1" x14ac:dyDescent="0.3">
      <c r="A22" s="34" t="s">
        <v>363</v>
      </c>
      <c r="B22">
        <f t="shared" si="0"/>
        <v>37</v>
      </c>
    </row>
    <row r="23" spans="1:2" hidden="1" x14ac:dyDescent="0.3">
      <c r="A23" s="34" t="s">
        <v>364</v>
      </c>
      <c r="B23">
        <f t="shared" si="0"/>
        <v>37</v>
      </c>
    </row>
    <row r="24" spans="1:2" hidden="1" x14ac:dyDescent="0.3">
      <c r="A24" s="34" t="s">
        <v>365</v>
      </c>
      <c r="B24">
        <f t="shared" si="0"/>
        <v>37</v>
      </c>
    </row>
    <row r="25" spans="1:2" hidden="1" x14ac:dyDescent="0.3">
      <c r="A25" s="34" t="s">
        <v>366</v>
      </c>
      <c r="B25">
        <f t="shared" si="0"/>
        <v>37</v>
      </c>
    </row>
    <row r="26" spans="1:2" hidden="1" x14ac:dyDescent="0.3">
      <c r="A26" s="34" t="s">
        <v>367</v>
      </c>
      <c r="B26">
        <f t="shared" si="0"/>
        <v>37</v>
      </c>
    </row>
    <row r="27" spans="1:2" hidden="1" x14ac:dyDescent="0.3">
      <c r="A27" s="34" t="s">
        <v>368</v>
      </c>
      <c r="B27">
        <f t="shared" si="0"/>
        <v>37</v>
      </c>
    </row>
    <row r="28" spans="1:2" hidden="1" x14ac:dyDescent="0.3">
      <c r="A28" s="34" t="s">
        <v>369</v>
      </c>
      <c r="B28">
        <f t="shared" si="0"/>
        <v>37</v>
      </c>
    </row>
    <row r="29" spans="1:2" hidden="1" x14ac:dyDescent="0.3">
      <c r="A29" s="34" t="s">
        <v>370</v>
      </c>
      <c r="B29">
        <f t="shared" si="0"/>
        <v>37</v>
      </c>
    </row>
    <row r="30" spans="1:2" hidden="1" x14ac:dyDescent="0.3">
      <c r="A30" s="34" t="s">
        <v>371</v>
      </c>
      <c r="B30">
        <f t="shared" si="0"/>
        <v>35</v>
      </c>
    </row>
    <row r="31" spans="1:2" hidden="1" x14ac:dyDescent="0.3">
      <c r="A31" s="34" t="s">
        <v>372</v>
      </c>
      <c r="B31">
        <f t="shared" si="0"/>
        <v>35</v>
      </c>
    </row>
    <row r="32" spans="1:2" hidden="1" x14ac:dyDescent="0.3">
      <c r="A32" s="34" t="s">
        <v>373</v>
      </c>
      <c r="B32">
        <f t="shared" si="0"/>
        <v>35</v>
      </c>
    </row>
    <row r="33" spans="1:2" hidden="1" x14ac:dyDescent="0.3">
      <c r="A33" s="34" t="s">
        <v>374</v>
      </c>
      <c r="B33">
        <f t="shared" si="0"/>
        <v>35</v>
      </c>
    </row>
    <row r="34" spans="1:2" hidden="1" x14ac:dyDescent="0.3">
      <c r="A34" s="34" t="s">
        <v>375</v>
      </c>
      <c r="B34">
        <f t="shared" si="0"/>
        <v>35</v>
      </c>
    </row>
    <row r="35" spans="1:2" hidden="1" x14ac:dyDescent="0.3">
      <c r="A35" s="34" t="s">
        <v>376</v>
      </c>
      <c r="B35">
        <f t="shared" si="0"/>
        <v>35</v>
      </c>
    </row>
    <row r="36" spans="1:2" hidden="1" x14ac:dyDescent="0.3">
      <c r="A36" s="34" t="s">
        <v>377</v>
      </c>
      <c r="B36">
        <f t="shared" si="0"/>
        <v>35</v>
      </c>
    </row>
    <row r="37" spans="1:2" hidden="1" x14ac:dyDescent="0.3">
      <c r="A37" s="34" t="s">
        <v>378</v>
      </c>
      <c r="B37">
        <f t="shared" si="0"/>
        <v>35</v>
      </c>
    </row>
    <row r="38" spans="1:2" hidden="1" x14ac:dyDescent="0.3">
      <c r="A38" s="34" t="s">
        <v>379</v>
      </c>
      <c r="B38">
        <f t="shared" si="0"/>
        <v>35</v>
      </c>
    </row>
    <row r="39" spans="1:2" hidden="1" x14ac:dyDescent="0.3">
      <c r="A39" s="34" t="s">
        <v>380</v>
      </c>
      <c r="B39">
        <f t="shared" si="0"/>
        <v>35</v>
      </c>
    </row>
    <row r="40" spans="1:2" hidden="1" x14ac:dyDescent="0.3">
      <c r="A40" s="34" t="s">
        <v>381</v>
      </c>
      <c r="B40">
        <f t="shared" si="0"/>
        <v>35</v>
      </c>
    </row>
    <row r="41" spans="1:2" hidden="1" x14ac:dyDescent="0.3">
      <c r="A41" s="34" t="s">
        <v>382</v>
      </c>
      <c r="B41">
        <f t="shared" si="0"/>
        <v>35</v>
      </c>
    </row>
    <row r="42" spans="1:2" hidden="1" x14ac:dyDescent="0.3">
      <c r="A42" s="34" t="s">
        <v>383</v>
      </c>
      <c r="B42">
        <f t="shared" si="0"/>
        <v>35</v>
      </c>
    </row>
    <row r="43" spans="1:2" hidden="1" x14ac:dyDescent="0.3">
      <c r="A43" s="34" t="s">
        <v>384</v>
      </c>
      <c r="B43">
        <f t="shared" si="0"/>
        <v>35</v>
      </c>
    </row>
    <row r="44" spans="1:2" hidden="1" x14ac:dyDescent="0.3">
      <c r="A44" s="34" t="s">
        <v>385</v>
      </c>
      <c r="B44">
        <f t="shared" si="0"/>
        <v>35</v>
      </c>
    </row>
    <row r="45" spans="1:2" hidden="1" x14ac:dyDescent="0.3">
      <c r="A45" s="34" t="s">
        <v>386</v>
      </c>
      <c r="B45">
        <f t="shared" si="0"/>
        <v>35</v>
      </c>
    </row>
    <row r="46" spans="1:2" hidden="1" x14ac:dyDescent="0.3">
      <c r="A46" s="34" t="s">
        <v>387</v>
      </c>
      <c r="B46">
        <f t="shared" si="0"/>
        <v>39</v>
      </c>
    </row>
    <row r="47" spans="1:2" hidden="1" x14ac:dyDescent="0.3">
      <c r="A47" s="34" t="s">
        <v>388</v>
      </c>
      <c r="B47">
        <f t="shared" si="0"/>
        <v>39</v>
      </c>
    </row>
    <row r="48" spans="1:2" hidden="1" x14ac:dyDescent="0.3">
      <c r="A48" s="34" t="s">
        <v>389</v>
      </c>
      <c r="B48">
        <f t="shared" si="0"/>
        <v>39</v>
      </c>
    </row>
    <row r="49" spans="1:6" hidden="1" x14ac:dyDescent="0.3">
      <c r="A49" s="34" t="s">
        <v>390</v>
      </c>
      <c r="B49">
        <f t="shared" si="0"/>
        <v>39</v>
      </c>
    </row>
    <row r="50" spans="1:6" hidden="1" x14ac:dyDescent="0.3">
      <c r="A50" s="34" t="s">
        <v>391</v>
      </c>
      <c r="B50">
        <f t="shared" si="0"/>
        <v>41</v>
      </c>
    </row>
    <row r="51" spans="1:6" hidden="1" x14ac:dyDescent="0.3">
      <c r="A51" s="34" t="s">
        <v>392</v>
      </c>
      <c r="B51">
        <f t="shared" si="0"/>
        <v>41</v>
      </c>
    </row>
    <row r="52" spans="1:6" hidden="1" x14ac:dyDescent="0.3">
      <c r="A52" s="34" t="s">
        <v>393</v>
      </c>
      <c r="B52">
        <f t="shared" si="0"/>
        <v>41</v>
      </c>
    </row>
    <row r="53" spans="1:6" hidden="1" x14ac:dyDescent="0.3">
      <c r="A53" s="34" t="s">
        <v>394</v>
      </c>
      <c r="B53">
        <f t="shared" si="0"/>
        <v>41</v>
      </c>
    </row>
    <row r="54" spans="1:6" hidden="1" x14ac:dyDescent="0.3">
      <c r="A54" s="34" t="s">
        <v>395</v>
      </c>
      <c r="B54">
        <f t="shared" si="0"/>
        <v>42</v>
      </c>
    </row>
    <row r="55" spans="1:6" hidden="1" x14ac:dyDescent="0.3">
      <c r="A55" s="34" t="s">
        <v>396</v>
      </c>
      <c r="B55">
        <f t="shared" si="0"/>
        <v>42</v>
      </c>
    </row>
    <row r="56" spans="1:6" x14ac:dyDescent="0.3">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3">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3">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3">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3">
      <c r="A60" s="34" t="s">
        <v>401</v>
      </c>
      <c r="B60">
        <f t="shared" si="0"/>
        <v>38</v>
      </c>
    </row>
    <row r="61" spans="1:6" hidden="1" x14ac:dyDescent="0.3">
      <c r="A61" s="34" t="s">
        <v>402</v>
      </c>
      <c r="B61">
        <f t="shared" si="0"/>
        <v>38</v>
      </c>
    </row>
    <row r="62" spans="1:6" hidden="1" x14ac:dyDescent="0.3">
      <c r="A62" s="34" t="s">
        <v>403</v>
      </c>
      <c r="B62">
        <f t="shared" si="0"/>
        <v>38</v>
      </c>
    </row>
    <row r="63" spans="1:6" hidden="1" x14ac:dyDescent="0.3">
      <c r="A63" s="34" t="s">
        <v>404</v>
      </c>
      <c r="B63">
        <f t="shared" si="0"/>
        <v>38</v>
      </c>
    </row>
    <row r="64" spans="1:6" hidden="1" x14ac:dyDescent="0.3">
      <c r="A64" s="34" t="s">
        <v>405</v>
      </c>
      <c r="B64">
        <f t="shared" si="0"/>
        <v>38</v>
      </c>
    </row>
    <row r="65" spans="1:2" hidden="1" x14ac:dyDescent="0.3">
      <c r="A65" s="34" t="s">
        <v>406</v>
      </c>
      <c r="B65">
        <f t="shared" si="0"/>
        <v>38</v>
      </c>
    </row>
    <row r="66" spans="1:2" hidden="1" x14ac:dyDescent="0.3">
      <c r="A66" s="34" t="s">
        <v>407</v>
      </c>
      <c r="B66">
        <f t="shared" si="0"/>
        <v>38</v>
      </c>
    </row>
    <row r="67" spans="1:2" hidden="1" x14ac:dyDescent="0.3">
      <c r="A67" s="34" t="s">
        <v>408</v>
      </c>
      <c r="B67">
        <f t="shared" ref="B67:B130" si="4">LEN(A67)</f>
        <v>38</v>
      </c>
    </row>
    <row r="68" spans="1:2" hidden="1" x14ac:dyDescent="0.3">
      <c r="A68" s="34" t="s">
        <v>409</v>
      </c>
      <c r="B68">
        <f t="shared" si="4"/>
        <v>39</v>
      </c>
    </row>
    <row r="69" spans="1:2" hidden="1" x14ac:dyDescent="0.3">
      <c r="A69" s="34" t="s">
        <v>410</v>
      </c>
      <c r="B69">
        <f t="shared" si="4"/>
        <v>39</v>
      </c>
    </row>
    <row r="70" spans="1:2" hidden="1" x14ac:dyDescent="0.3">
      <c r="A70" s="34" t="s">
        <v>411</v>
      </c>
      <c r="B70">
        <f t="shared" si="4"/>
        <v>39</v>
      </c>
    </row>
    <row r="71" spans="1:2" hidden="1" x14ac:dyDescent="0.3">
      <c r="A71" s="34" t="s">
        <v>412</v>
      </c>
      <c r="B71">
        <f t="shared" si="4"/>
        <v>39</v>
      </c>
    </row>
    <row r="72" spans="1:2" hidden="1" x14ac:dyDescent="0.3">
      <c r="A72" s="34" t="s">
        <v>413</v>
      </c>
      <c r="B72">
        <f t="shared" si="4"/>
        <v>39</v>
      </c>
    </row>
    <row r="73" spans="1:2" hidden="1" x14ac:dyDescent="0.3">
      <c r="A73" s="34" t="s">
        <v>414</v>
      </c>
      <c r="B73">
        <f t="shared" si="4"/>
        <v>39</v>
      </c>
    </row>
    <row r="74" spans="1:2" hidden="1" x14ac:dyDescent="0.3">
      <c r="A74" s="34" t="s">
        <v>415</v>
      </c>
      <c r="B74">
        <f t="shared" si="4"/>
        <v>39</v>
      </c>
    </row>
    <row r="75" spans="1:2" hidden="1" x14ac:dyDescent="0.3">
      <c r="A75" s="34" t="s">
        <v>416</v>
      </c>
      <c r="B75">
        <f t="shared" si="4"/>
        <v>39</v>
      </c>
    </row>
    <row r="76" spans="1:2" hidden="1" x14ac:dyDescent="0.3">
      <c r="A76" s="34" t="s">
        <v>417</v>
      </c>
      <c r="B76">
        <f t="shared" si="4"/>
        <v>37</v>
      </c>
    </row>
    <row r="77" spans="1:2" hidden="1" x14ac:dyDescent="0.3">
      <c r="A77" s="34" t="s">
        <v>418</v>
      </c>
      <c r="B77">
        <f t="shared" si="4"/>
        <v>37</v>
      </c>
    </row>
    <row r="78" spans="1:2" hidden="1" x14ac:dyDescent="0.3">
      <c r="A78" s="34" t="s">
        <v>419</v>
      </c>
      <c r="B78">
        <f t="shared" si="4"/>
        <v>37</v>
      </c>
    </row>
    <row r="79" spans="1:2" hidden="1" x14ac:dyDescent="0.3">
      <c r="A79" s="34" t="s">
        <v>420</v>
      </c>
      <c r="B79">
        <f t="shared" si="4"/>
        <v>37</v>
      </c>
    </row>
    <row r="80" spans="1:2" hidden="1" x14ac:dyDescent="0.3">
      <c r="A80" s="34" t="s">
        <v>421</v>
      </c>
      <c r="B80">
        <f t="shared" si="4"/>
        <v>38</v>
      </c>
    </row>
    <row r="81" spans="1:2" hidden="1" x14ac:dyDescent="0.3">
      <c r="A81" s="34" t="s">
        <v>422</v>
      </c>
      <c r="B81">
        <f t="shared" si="4"/>
        <v>38</v>
      </c>
    </row>
    <row r="82" spans="1:2" hidden="1" x14ac:dyDescent="0.3">
      <c r="A82" s="34" t="s">
        <v>423</v>
      </c>
      <c r="B82">
        <f t="shared" si="4"/>
        <v>38</v>
      </c>
    </row>
    <row r="83" spans="1:2" hidden="1" x14ac:dyDescent="0.3">
      <c r="A83" s="34" t="s">
        <v>424</v>
      </c>
      <c r="B83">
        <f t="shared" si="4"/>
        <v>38</v>
      </c>
    </row>
    <row r="84" spans="1:2" hidden="1" x14ac:dyDescent="0.3">
      <c r="A84" s="34" t="s">
        <v>425</v>
      </c>
      <c r="B84">
        <f t="shared" si="4"/>
        <v>37</v>
      </c>
    </row>
    <row r="85" spans="1:2" hidden="1" x14ac:dyDescent="0.3">
      <c r="A85" s="34" t="s">
        <v>426</v>
      </c>
      <c r="B85">
        <f t="shared" si="4"/>
        <v>37</v>
      </c>
    </row>
    <row r="86" spans="1:2" hidden="1" x14ac:dyDescent="0.3">
      <c r="A86" s="34" t="s">
        <v>427</v>
      </c>
      <c r="B86">
        <f t="shared" si="4"/>
        <v>37</v>
      </c>
    </row>
    <row r="87" spans="1:2" hidden="1" x14ac:dyDescent="0.3">
      <c r="A87" s="34" t="s">
        <v>428</v>
      </c>
      <c r="B87">
        <f t="shared" si="4"/>
        <v>37</v>
      </c>
    </row>
    <row r="88" spans="1:2" hidden="1" x14ac:dyDescent="0.3">
      <c r="A88" s="34" t="s">
        <v>429</v>
      </c>
      <c r="B88">
        <f t="shared" si="4"/>
        <v>38</v>
      </c>
    </row>
    <row r="89" spans="1:2" hidden="1" x14ac:dyDescent="0.3">
      <c r="A89" s="34" t="s">
        <v>430</v>
      </c>
      <c r="B89">
        <f t="shared" si="4"/>
        <v>38</v>
      </c>
    </row>
    <row r="90" spans="1:2" hidden="1" x14ac:dyDescent="0.3">
      <c r="A90" s="34" t="s">
        <v>431</v>
      </c>
      <c r="B90">
        <f t="shared" si="4"/>
        <v>38</v>
      </c>
    </row>
    <row r="91" spans="1:2" hidden="1" x14ac:dyDescent="0.3">
      <c r="A91" s="34" t="s">
        <v>432</v>
      </c>
      <c r="B91">
        <f t="shared" si="4"/>
        <v>38</v>
      </c>
    </row>
    <row r="92" spans="1:2" hidden="1" x14ac:dyDescent="0.3">
      <c r="A92" s="34" t="s">
        <v>433</v>
      </c>
      <c r="B92">
        <f t="shared" si="4"/>
        <v>37</v>
      </c>
    </row>
    <row r="93" spans="1:2" hidden="1" x14ac:dyDescent="0.3">
      <c r="A93" s="34" t="s">
        <v>434</v>
      </c>
      <c r="B93">
        <f t="shared" si="4"/>
        <v>37</v>
      </c>
    </row>
    <row r="94" spans="1:2" hidden="1" x14ac:dyDescent="0.3">
      <c r="A94" s="34" t="s">
        <v>435</v>
      </c>
      <c r="B94">
        <f t="shared" si="4"/>
        <v>37</v>
      </c>
    </row>
    <row r="95" spans="1:2" hidden="1" x14ac:dyDescent="0.3">
      <c r="A95" s="34" t="s">
        <v>436</v>
      </c>
      <c r="B95">
        <f t="shared" si="4"/>
        <v>37</v>
      </c>
    </row>
    <row r="96" spans="1:2" hidden="1" x14ac:dyDescent="0.3">
      <c r="A96" s="34" t="s">
        <v>437</v>
      </c>
      <c r="B96">
        <f t="shared" si="4"/>
        <v>38</v>
      </c>
    </row>
    <row r="97" spans="1:2" hidden="1" x14ac:dyDescent="0.3">
      <c r="A97" s="34" t="s">
        <v>438</v>
      </c>
      <c r="B97">
        <f t="shared" si="4"/>
        <v>38</v>
      </c>
    </row>
    <row r="98" spans="1:2" hidden="1" x14ac:dyDescent="0.3">
      <c r="A98" s="34" t="s">
        <v>439</v>
      </c>
      <c r="B98">
        <f t="shared" si="4"/>
        <v>38</v>
      </c>
    </row>
    <row r="99" spans="1:2" hidden="1" x14ac:dyDescent="0.3">
      <c r="A99" s="34" t="s">
        <v>440</v>
      </c>
      <c r="B99">
        <f t="shared" si="4"/>
        <v>38</v>
      </c>
    </row>
    <row r="100" spans="1:2" hidden="1" x14ac:dyDescent="0.3">
      <c r="A100" s="34" t="s">
        <v>441</v>
      </c>
      <c r="B100">
        <f t="shared" si="4"/>
        <v>37</v>
      </c>
    </row>
    <row r="101" spans="1:2" hidden="1" x14ac:dyDescent="0.3">
      <c r="A101" s="34" t="s">
        <v>442</v>
      </c>
      <c r="B101">
        <f t="shared" si="4"/>
        <v>37</v>
      </c>
    </row>
    <row r="102" spans="1:2" hidden="1" x14ac:dyDescent="0.3">
      <c r="A102" s="34" t="s">
        <v>443</v>
      </c>
      <c r="B102">
        <f t="shared" si="4"/>
        <v>37</v>
      </c>
    </row>
    <row r="103" spans="1:2" hidden="1" x14ac:dyDescent="0.3">
      <c r="A103" s="34" t="s">
        <v>444</v>
      </c>
      <c r="B103">
        <f t="shared" si="4"/>
        <v>37</v>
      </c>
    </row>
    <row r="104" spans="1:2" hidden="1" x14ac:dyDescent="0.3">
      <c r="A104" s="34" t="s">
        <v>445</v>
      </c>
      <c r="B104">
        <f t="shared" si="4"/>
        <v>38</v>
      </c>
    </row>
    <row r="105" spans="1:2" hidden="1" x14ac:dyDescent="0.3">
      <c r="A105" s="34" t="s">
        <v>446</v>
      </c>
      <c r="B105">
        <f t="shared" si="4"/>
        <v>38</v>
      </c>
    </row>
    <row r="106" spans="1:2" hidden="1" x14ac:dyDescent="0.3">
      <c r="A106" s="34" t="s">
        <v>447</v>
      </c>
      <c r="B106">
        <f t="shared" si="4"/>
        <v>38</v>
      </c>
    </row>
    <row r="107" spans="1:2" hidden="1" x14ac:dyDescent="0.3">
      <c r="A107" s="34" t="s">
        <v>448</v>
      </c>
      <c r="B107">
        <f t="shared" si="4"/>
        <v>38</v>
      </c>
    </row>
    <row r="108" spans="1:2" hidden="1" x14ac:dyDescent="0.3">
      <c r="A108" s="34" t="s">
        <v>449</v>
      </c>
      <c r="B108">
        <f t="shared" si="4"/>
        <v>29</v>
      </c>
    </row>
    <row r="109" spans="1:2" hidden="1" x14ac:dyDescent="0.3">
      <c r="A109" s="34" t="s">
        <v>450</v>
      </c>
      <c r="B109">
        <f t="shared" si="4"/>
        <v>29</v>
      </c>
    </row>
    <row r="110" spans="1:2" hidden="1" x14ac:dyDescent="0.3">
      <c r="A110" s="34" t="s">
        <v>451</v>
      </c>
      <c r="B110">
        <f t="shared" si="4"/>
        <v>34</v>
      </c>
    </row>
    <row r="111" spans="1:2" hidden="1" x14ac:dyDescent="0.3">
      <c r="A111" s="34" t="s">
        <v>452</v>
      </c>
      <c r="B111">
        <f t="shared" si="4"/>
        <v>34</v>
      </c>
    </row>
    <row r="112" spans="1:2" hidden="1" x14ac:dyDescent="0.3">
      <c r="A112" s="34" t="s">
        <v>453</v>
      </c>
      <c r="B112">
        <f t="shared" si="4"/>
        <v>34</v>
      </c>
    </row>
    <row r="113" spans="1:2" hidden="1" x14ac:dyDescent="0.3">
      <c r="A113" s="34" t="s">
        <v>454</v>
      </c>
      <c r="B113">
        <f t="shared" si="4"/>
        <v>35</v>
      </c>
    </row>
    <row r="114" spans="1:2" hidden="1" x14ac:dyDescent="0.3">
      <c r="A114" s="34" t="s">
        <v>455</v>
      </c>
      <c r="B114">
        <f t="shared" si="4"/>
        <v>35</v>
      </c>
    </row>
    <row r="115" spans="1:2" hidden="1" x14ac:dyDescent="0.3">
      <c r="A115" s="34" t="s">
        <v>456</v>
      </c>
      <c r="B115">
        <f t="shared" si="4"/>
        <v>35</v>
      </c>
    </row>
    <row r="116" spans="1:2" hidden="1" x14ac:dyDescent="0.3">
      <c r="A116" s="34" t="s">
        <v>457</v>
      </c>
      <c r="B116">
        <f t="shared" si="4"/>
        <v>34</v>
      </c>
    </row>
    <row r="117" spans="1:2" hidden="1" x14ac:dyDescent="0.3">
      <c r="A117" s="34" t="s">
        <v>458</v>
      </c>
      <c r="B117">
        <f t="shared" si="4"/>
        <v>34</v>
      </c>
    </row>
    <row r="118" spans="1:2" hidden="1" x14ac:dyDescent="0.3">
      <c r="A118" s="34" t="s">
        <v>459</v>
      </c>
      <c r="B118">
        <f t="shared" si="4"/>
        <v>34</v>
      </c>
    </row>
    <row r="119" spans="1:2" hidden="1" x14ac:dyDescent="0.3">
      <c r="A119" s="34" t="s">
        <v>460</v>
      </c>
      <c r="B119">
        <f t="shared" si="4"/>
        <v>35</v>
      </c>
    </row>
    <row r="120" spans="1:2" hidden="1" x14ac:dyDescent="0.3">
      <c r="A120" s="34" t="s">
        <v>461</v>
      </c>
      <c r="B120">
        <f t="shared" si="4"/>
        <v>35</v>
      </c>
    </row>
    <row r="121" spans="1:2" hidden="1" x14ac:dyDescent="0.3">
      <c r="A121" s="34" t="s">
        <v>462</v>
      </c>
      <c r="B121">
        <f t="shared" si="4"/>
        <v>35</v>
      </c>
    </row>
    <row r="122" spans="1:2" hidden="1" x14ac:dyDescent="0.3">
      <c r="A122" s="34" t="s">
        <v>316</v>
      </c>
      <c r="B122">
        <f t="shared" si="4"/>
        <v>25</v>
      </c>
    </row>
    <row r="123" spans="1:2" hidden="1" x14ac:dyDescent="0.3">
      <c r="A123" s="34" t="s">
        <v>317</v>
      </c>
      <c r="B123">
        <f t="shared" si="4"/>
        <v>25</v>
      </c>
    </row>
    <row r="124" spans="1:2" hidden="1" x14ac:dyDescent="0.3">
      <c r="A124" s="34" t="s">
        <v>318</v>
      </c>
      <c r="B124">
        <f t="shared" si="4"/>
        <v>25</v>
      </c>
    </row>
    <row r="125" spans="1:2" hidden="1" x14ac:dyDescent="0.3">
      <c r="A125" s="34" t="s">
        <v>319</v>
      </c>
      <c r="B125">
        <f t="shared" si="4"/>
        <v>25</v>
      </c>
    </row>
    <row r="126" spans="1:2" hidden="1" x14ac:dyDescent="0.3">
      <c r="A126" s="34" t="s">
        <v>320</v>
      </c>
      <c r="B126">
        <f t="shared" si="4"/>
        <v>26</v>
      </c>
    </row>
    <row r="127" spans="1:2" hidden="1" x14ac:dyDescent="0.3">
      <c r="A127" s="34" t="s">
        <v>321</v>
      </c>
      <c r="B127">
        <f t="shared" si="4"/>
        <v>26</v>
      </c>
    </row>
    <row r="128" spans="1:2" hidden="1" x14ac:dyDescent="0.3">
      <c r="A128" s="34" t="s">
        <v>322</v>
      </c>
      <c r="B128">
        <f t="shared" si="4"/>
        <v>26</v>
      </c>
    </row>
    <row r="129" spans="1:2" hidden="1" x14ac:dyDescent="0.3">
      <c r="A129" s="34" t="s">
        <v>323</v>
      </c>
      <c r="B129">
        <f t="shared" si="4"/>
        <v>26</v>
      </c>
    </row>
    <row r="130" spans="1:2" hidden="1" x14ac:dyDescent="0.3">
      <c r="A130" s="34" t="s">
        <v>324</v>
      </c>
      <c r="B130">
        <f t="shared" si="4"/>
        <v>25</v>
      </c>
    </row>
    <row r="131" spans="1:2" hidden="1" x14ac:dyDescent="0.3">
      <c r="A131" s="34" t="s">
        <v>325</v>
      </c>
      <c r="B131">
        <f t="shared" ref="B131:B139" si="5">LEN(A131)</f>
        <v>25</v>
      </c>
    </row>
    <row r="132" spans="1:2" hidden="1" x14ac:dyDescent="0.3">
      <c r="A132" s="34" t="s">
        <v>326</v>
      </c>
      <c r="B132">
        <f t="shared" si="5"/>
        <v>25</v>
      </c>
    </row>
    <row r="133" spans="1:2" hidden="1" x14ac:dyDescent="0.3">
      <c r="A133" s="34" t="s">
        <v>327</v>
      </c>
      <c r="B133">
        <f t="shared" si="5"/>
        <v>25</v>
      </c>
    </row>
    <row r="134" spans="1:2" hidden="1" x14ac:dyDescent="0.3">
      <c r="A134" s="34" t="s">
        <v>328</v>
      </c>
      <c r="B134">
        <f t="shared" si="5"/>
        <v>26</v>
      </c>
    </row>
    <row r="135" spans="1:2" hidden="1" x14ac:dyDescent="0.3">
      <c r="A135" s="34" t="s">
        <v>329</v>
      </c>
      <c r="B135">
        <f t="shared" si="5"/>
        <v>26</v>
      </c>
    </row>
    <row r="136" spans="1:2" hidden="1" x14ac:dyDescent="0.3">
      <c r="A136" s="34" t="s">
        <v>330</v>
      </c>
      <c r="B136">
        <f t="shared" si="5"/>
        <v>26</v>
      </c>
    </row>
    <row r="137" spans="1:2" hidden="1" x14ac:dyDescent="0.3">
      <c r="A137" s="34" t="s">
        <v>331</v>
      </c>
      <c r="B137">
        <f t="shared" si="5"/>
        <v>26</v>
      </c>
    </row>
    <row r="138" spans="1:2" hidden="1" x14ac:dyDescent="0.3">
      <c r="A138" s="34" t="s">
        <v>463</v>
      </c>
      <c r="B138">
        <f t="shared" si="5"/>
        <v>42</v>
      </c>
    </row>
    <row r="139" spans="1:2" hidden="1" x14ac:dyDescent="0.3">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465</v>
      </c>
    </row>
    <row r="2" spans="1:1" x14ac:dyDescent="0.3">
      <c r="A2" t="s">
        <v>466</v>
      </c>
    </row>
    <row r="3" spans="1:1" x14ac:dyDescent="0.3">
      <c r="A3" t="s">
        <v>467</v>
      </c>
    </row>
    <row r="6" spans="1:1" x14ac:dyDescent="0.3">
      <c r="A6" t="s">
        <v>45</v>
      </c>
    </row>
    <row r="7" spans="1:1" x14ac:dyDescent="0.3">
      <c r="A7" t="s">
        <v>131</v>
      </c>
    </row>
    <row r="8" spans="1:1" x14ac:dyDescent="0.3">
      <c r="A8" t="s">
        <v>468</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4" x14ac:dyDescent="0.3"/>
  <cols>
    <col min="1" max="1" width="52.6640625" customWidth="1"/>
    <col min="2" max="2" width="36.109375" customWidth="1"/>
  </cols>
  <sheetData>
    <row r="3" spans="1:1" x14ac:dyDescent="0.3">
      <c r="A3" t="s">
        <v>469</v>
      </c>
    </row>
    <row r="5" spans="1:1" x14ac:dyDescent="0.3">
      <c r="A5" t="s">
        <v>470</v>
      </c>
    </row>
    <row r="7" spans="1:1" x14ac:dyDescent="0.3">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4" x14ac:dyDescent="0.3"/>
  <cols>
    <col min="1" max="1" width="12.5546875" style="1" customWidth="1"/>
    <col min="2" max="2" width="30.88671875" bestFit="1" customWidth="1"/>
  </cols>
  <sheetData>
    <row r="1" spans="1:2" x14ac:dyDescent="0.3">
      <c r="A1" s="17" t="s">
        <v>472</v>
      </c>
      <c r="B1" s="2" t="s">
        <v>473</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hidden="1"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33203125" style="9" bestFit="1" customWidth="1"/>
    <col min="2" max="2" width="10.109375" style="9" bestFit="1" customWidth="1"/>
    <col min="3" max="3" width="22.88671875" style="6" bestFit="1" customWidth="1"/>
    <col min="4" max="4" width="12.44140625" style="9" bestFit="1" customWidth="1"/>
    <col min="5" max="5" width="8.88671875" style="9" bestFit="1" customWidth="1"/>
    <col min="6" max="6" width="11.88671875" style="6" bestFit="1" customWidth="1"/>
    <col min="7" max="7" width="6.44140625" style="9" bestFit="1" customWidth="1"/>
    <col min="8" max="8" width="34.5546875" style="6" bestFit="1" customWidth="1"/>
    <col min="9" max="9" width="9.88671875" style="9" bestFit="1" customWidth="1"/>
    <col min="10" max="10" width="9.44140625" style="9" bestFit="1" customWidth="1"/>
    <col min="11" max="11" width="20.109375" style="9" customWidth="1"/>
    <col min="12" max="12" width="8.33203125" style="10" bestFit="1" customWidth="1"/>
    <col min="13" max="13" width="8.88671875" style="10" bestFit="1" customWidth="1"/>
    <col min="14" max="14" width="12.5546875" style="10" bestFit="1" customWidth="1"/>
    <col min="15" max="15" width="12.109375" style="10" bestFit="1" customWidth="1"/>
    <col min="16" max="16" width="8.6640625" style="11" bestFit="1" customWidth="1"/>
    <col min="17" max="17" width="9.6640625" style="11" bestFit="1" customWidth="1"/>
    <col min="18" max="18" width="9.5546875" style="10" bestFit="1" customWidth="1"/>
    <col min="19" max="19" width="9.6640625" style="10" bestFit="1" customWidth="1"/>
    <col min="20" max="20" width="10.5546875" style="10" bestFit="1" customWidth="1"/>
    <col min="21" max="21" width="8.5546875" style="11" bestFit="1" customWidth="1"/>
    <col min="22" max="22" width="10.6640625" style="12" bestFit="1" customWidth="1"/>
    <col min="23" max="23" width="8.109375" style="11" bestFit="1" customWidth="1"/>
    <col min="24" max="24" width="44.33203125" style="12" bestFit="1" customWidth="1"/>
    <col min="25" max="25" width="14.33203125" style="10" bestFit="1" customWidth="1"/>
    <col min="26" max="26" width="18.6640625" style="12" bestFit="1" customWidth="1"/>
    <col min="27" max="16384" width="7.5546875" style="9"/>
  </cols>
  <sheetData>
    <row r="1" spans="1:26" s="6" customFormat="1" x14ac:dyDescent="0.3">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6" hidden="1" x14ac:dyDescent="0.3">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399999999999999" hidden="1" x14ac:dyDescent="0.3">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399999999999999" hidden="1" x14ac:dyDescent="0.3">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399999999999999" hidden="1" x14ac:dyDescent="0.3">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6" hidden="1" x14ac:dyDescent="0.3">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399999999999999" hidden="1" x14ac:dyDescent="0.3">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399999999999999" hidden="1" x14ac:dyDescent="0.3">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6" hidden="1" x14ac:dyDescent="0.3">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399999999999999" hidden="1" x14ac:dyDescent="0.3">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399999999999999" hidden="1" x14ac:dyDescent="0.3">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399999999999999" hidden="1" x14ac:dyDescent="0.3">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399999999999999" hidden="1" x14ac:dyDescent="0.3">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399999999999999" hidden="1" x14ac:dyDescent="0.3">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399999999999999" hidden="1" x14ac:dyDescent="0.3">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399999999999999" hidden="1" x14ac:dyDescent="0.3">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399999999999999" hidden="1" x14ac:dyDescent="0.3">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399999999999999" hidden="1" x14ac:dyDescent="0.3">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399999999999999" hidden="1" x14ac:dyDescent="0.3">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399999999999999" hidden="1" x14ac:dyDescent="0.3">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399999999999999" hidden="1" x14ac:dyDescent="0.3">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399999999999999" hidden="1" x14ac:dyDescent="0.3">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399999999999999" hidden="1" x14ac:dyDescent="0.3">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399999999999999" hidden="1" x14ac:dyDescent="0.3">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399999999999999" hidden="1" x14ac:dyDescent="0.3">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399999999999999" hidden="1" x14ac:dyDescent="0.3">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399999999999999" hidden="1" x14ac:dyDescent="0.3">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399999999999999" hidden="1" x14ac:dyDescent="0.3">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399999999999999" hidden="1" x14ac:dyDescent="0.3">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399999999999999" hidden="1" x14ac:dyDescent="0.3">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399999999999999" hidden="1" x14ac:dyDescent="0.3">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399999999999999" hidden="1" x14ac:dyDescent="0.3">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399999999999999" hidden="1" x14ac:dyDescent="0.3">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399999999999999" hidden="1" x14ac:dyDescent="0.3">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399999999999999" hidden="1" x14ac:dyDescent="0.3">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399999999999999" hidden="1" x14ac:dyDescent="0.3">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399999999999999" hidden="1" x14ac:dyDescent="0.3">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399999999999999" hidden="1" x14ac:dyDescent="0.3">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399999999999999" hidden="1" x14ac:dyDescent="0.3">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399999999999999" hidden="1" x14ac:dyDescent="0.3">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399999999999999" hidden="1" x14ac:dyDescent="0.3">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399999999999999" hidden="1" x14ac:dyDescent="0.3">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399999999999999" hidden="1" x14ac:dyDescent="0.3">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399999999999999" hidden="1" x14ac:dyDescent="0.3">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399999999999999" hidden="1" x14ac:dyDescent="0.3">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399999999999999" hidden="1" x14ac:dyDescent="0.3">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399999999999999" hidden="1" x14ac:dyDescent="0.3">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399999999999999" hidden="1" x14ac:dyDescent="0.3">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399999999999999" hidden="1" x14ac:dyDescent="0.3">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399999999999999" hidden="1" x14ac:dyDescent="0.3">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399999999999999" hidden="1" x14ac:dyDescent="0.3">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399999999999999" hidden="1" x14ac:dyDescent="0.3">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399999999999999" hidden="1" x14ac:dyDescent="0.3">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399999999999999" hidden="1" x14ac:dyDescent="0.3">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399999999999999" hidden="1" x14ac:dyDescent="0.3">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399999999999999" hidden="1" x14ac:dyDescent="0.3">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399999999999999" hidden="1" x14ac:dyDescent="0.3">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399999999999999" hidden="1" x14ac:dyDescent="0.3">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399999999999999" hidden="1" x14ac:dyDescent="0.3">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399999999999999" hidden="1" x14ac:dyDescent="0.3">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399999999999999" hidden="1" x14ac:dyDescent="0.3">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399999999999999" hidden="1" x14ac:dyDescent="0.3">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399999999999999" hidden="1" x14ac:dyDescent="0.3">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399999999999999" hidden="1" x14ac:dyDescent="0.3">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399999999999999" hidden="1" x14ac:dyDescent="0.3">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399999999999999" hidden="1" x14ac:dyDescent="0.3">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399999999999999" hidden="1" x14ac:dyDescent="0.3">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399999999999999" hidden="1" x14ac:dyDescent="0.3">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399999999999999" hidden="1" x14ac:dyDescent="0.3">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399999999999999" hidden="1" x14ac:dyDescent="0.3">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399999999999999" hidden="1" x14ac:dyDescent="0.3">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6" hidden="1" x14ac:dyDescent="0.3">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399999999999999" hidden="1" x14ac:dyDescent="0.3">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6" hidden="1" x14ac:dyDescent="0.3">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399999999999999" hidden="1" x14ac:dyDescent="0.3">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6" hidden="1" x14ac:dyDescent="0.3">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399999999999999" hidden="1" x14ac:dyDescent="0.3">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399999999999999" hidden="1" x14ac:dyDescent="0.3">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399999999999999" hidden="1" x14ac:dyDescent="0.3">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399999999999999" x14ac:dyDescent="0.3">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399999999999999" hidden="1" x14ac:dyDescent="0.3">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399999999999999" hidden="1" x14ac:dyDescent="0.3">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399999999999999" hidden="1" x14ac:dyDescent="0.3">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399999999999999" hidden="1" x14ac:dyDescent="0.3">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399999999999999" hidden="1" x14ac:dyDescent="0.3">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399999999999999" hidden="1" x14ac:dyDescent="0.3">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399999999999999" hidden="1" x14ac:dyDescent="0.3">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399999999999999" hidden="1" x14ac:dyDescent="0.3">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399999999999999" hidden="1" x14ac:dyDescent="0.3">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399999999999999" hidden="1" x14ac:dyDescent="0.3">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399999999999999" hidden="1" x14ac:dyDescent="0.3">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399999999999999" x14ac:dyDescent="0.3">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399999999999999" hidden="1" x14ac:dyDescent="0.3">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399999999999999" hidden="1" x14ac:dyDescent="0.3">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399999999999999" hidden="1" x14ac:dyDescent="0.3">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399999999999999" hidden="1" x14ac:dyDescent="0.3">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399999999999999" hidden="1" x14ac:dyDescent="0.3">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399999999999999" hidden="1" x14ac:dyDescent="0.3">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399999999999999" hidden="1" x14ac:dyDescent="0.3">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399999999999999" hidden="1" x14ac:dyDescent="0.3">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399999999999999" hidden="1" x14ac:dyDescent="0.3">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399999999999999" hidden="1" x14ac:dyDescent="0.3">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399999999999999" hidden="1" x14ac:dyDescent="0.3">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399999999999999" hidden="1" x14ac:dyDescent="0.3">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399999999999999" hidden="1" x14ac:dyDescent="0.3">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399999999999999" hidden="1" x14ac:dyDescent="0.3">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399999999999999" hidden="1" x14ac:dyDescent="0.3">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399999999999999" hidden="1" x14ac:dyDescent="0.3">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399999999999999" hidden="1" x14ac:dyDescent="0.3">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399999999999999" hidden="1" x14ac:dyDescent="0.3">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399999999999999" hidden="1" x14ac:dyDescent="0.3">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399999999999999" hidden="1" x14ac:dyDescent="0.3">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399999999999999" hidden="1" x14ac:dyDescent="0.3">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399999999999999" hidden="1" x14ac:dyDescent="0.3">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399999999999999" hidden="1" x14ac:dyDescent="0.3">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399999999999999" hidden="1" x14ac:dyDescent="0.3">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399999999999999" hidden="1" x14ac:dyDescent="0.3">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399999999999999" hidden="1" x14ac:dyDescent="0.3">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399999999999999" hidden="1" x14ac:dyDescent="0.3">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399999999999999" hidden="1" x14ac:dyDescent="0.3">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399999999999999" hidden="1" x14ac:dyDescent="0.3">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399999999999999" hidden="1" x14ac:dyDescent="0.3">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399999999999999" hidden="1" x14ac:dyDescent="0.3">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399999999999999" hidden="1" x14ac:dyDescent="0.3">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399999999999999" hidden="1" x14ac:dyDescent="0.3">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399999999999999" hidden="1" x14ac:dyDescent="0.3">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399999999999999" hidden="1" x14ac:dyDescent="0.3">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399999999999999" hidden="1" x14ac:dyDescent="0.3">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19.95" hidden="1" customHeight="1" x14ac:dyDescent="0.3">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399999999999999" hidden="1" x14ac:dyDescent="0.3">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399999999999999" hidden="1" x14ac:dyDescent="0.3">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399999999999999" hidden="1" x14ac:dyDescent="0.3">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399999999999999" hidden="1" x14ac:dyDescent="0.3">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399999999999999" hidden="1" x14ac:dyDescent="0.3">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399999999999999" hidden="1" x14ac:dyDescent="0.3">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399999999999999" hidden="1" x14ac:dyDescent="0.3">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0.6" hidden="1" x14ac:dyDescent="0.3">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399999999999999" hidden="1" x14ac:dyDescent="0.3">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399999999999999" hidden="1" x14ac:dyDescent="0.3">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399999999999999" hidden="1" x14ac:dyDescent="0.3">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399999999999999" hidden="1" x14ac:dyDescent="0.3">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399999999999999" hidden="1" x14ac:dyDescent="0.3">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399999999999999" hidden="1" x14ac:dyDescent="0.3">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399999999999999" hidden="1" x14ac:dyDescent="0.3">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399999999999999" hidden="1" x14ac:dyDescent="0.3">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399999999999999" hidden="1" x14ac:dyDescent="0.3">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399999999999999" hidden="1" x14ac:dyDescent="0.3">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399999999999999" hidden="1" x14ac:dyDescent="0.3">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399999999999999" hidden="1" x14ac:dyDescent="0.3">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399999999999999" hidden="1" x14ac:dyDescent="0.3">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399999999999999" hidden="1" x14ac:dyDescent="0.3">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399999999999999" hidden="1" x14ac:dyDescent="0.3">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399999999999999" hidden="1" x14ac:dyDescent="0.3">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399999999999999" hidden="1" x14ac:dyDescent="0.3">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399999999999999" hidden="1" x14ac:dyDescent="0.3">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399999999999999" x14ac:dyDescent="0.3">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399999999999999" x14ac:dyDescent="0.3">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399999999999999" x14ac:dyDescent="0.3">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399999999999999" x14ac:dyDescent="0.3">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399999999999999" x14ac:dyDescent="0.3">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399999999999999" x14ac:dyDescent="0.3">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399999999999999" hidden="1" x14ac:dyDescent="0.3">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399999999999999" hidden="1" x14ac:dyDescent="0.3">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399999999999999" hidden="1" x14ac:dyDescent="0.3">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399999999999999" hidden="1" x14ac:dyDescent="0.3">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399999999999999" hidden="1" x14ac:dyDescent="0.3">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399999999999999" hidden="1" x14ac:dyDescent="0.3">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399999999999999" hidden="1" x14ac:dyDescent="0.3">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399999999999999" hidden="1" x14ac:dyDescent="0.3">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399999999999999" hidden="1" x14ac:dyDescent="0.3">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399999999999999" hidden="1" x14ac:dyDescent="0.3">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399999999999999" hidden="1" x14ac:dyDescent="0.3">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399999999999999" hidden="1" x14ac:dyDescent="0.3">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399999999999999" hidden="1" x14ac:dyDescent="0.3">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399999999999999" hidden="1" x14ac:dyDescent="0.3">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399999999999999" hidden="1" x14ac:dyDescent="0.3">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399999999999999" hidden="1" x14ac:dyDescent="0.3">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399999999999999" hidden="1" x14ac:dyDescent="0.3">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399999999999999" hidden="1" x14ac:dyDescent="0.3">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399999999999999" hidden="1" x14ac:dyDescent="0.3">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399999999999999" hidden="1" x14ac:dyDescent="0.3">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399999999999999" hidden="1" x14ac:dyDescent="0.3">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399999999999999" hidden="1" x14ac:dyDescent="0.3">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399999999999999" hidden="1" x14ac:dyDescent="0.3">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399999999999999" hidden="1" x14ac:dyDescent="0.3">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399999999999999" hidden="1" x14ac:dyDescent="0.3">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399999999999999" hidden="1" x14ac:dyDescent="0.3">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399999999999999" hidden="1" x14ac:dyDescent="0.3">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399999999999999" hidden="1" x14ac:dyDescent="0.3">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399999999999999" hidden="1" x14ac:dyDescent="0.3">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399999999999999" hidden="1" x14ac:dyDescent="0.3">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399999999999999" hidden="1" x14ac:dyDescent="0.3">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399999999999999" hidden="1" x14ac:dyDescent="0.3">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399999999999999" hidden="1" x14ac:dyDescent="0.3">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399999999999999" hidden="1" x14ac:dyDescent="0.3">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399999999999999" hidden="1" x14ac:dyDescent="0.3">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399999999999999" hidden="1" x14ac:dyDescent="0.3">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399999999999999" hidden="1" x14ac:dyDescent="0.3">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399999999999999" hidden="1" x14ac:dyDescent="0.3">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399999999999999" hidden="1" x14ac:dyDescent="0.3">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399999999999999" hidden="1" x14ac:dyDescent="0.3">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399999999999999" hidden="1" x14ac:dyDescent="0.3">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399999999999999" hidden="1" x14ac:dyDescent="0.3">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399999999999999" hidden="1" x14ac:dyDescent="0.3">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399999999999999" hidden="1" x14ac:dyDescent="0.3">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6" hidden="1" x14ac:dyDescent="0.3">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399999999999999" hidden="1" x14ac:dyDescent="0.3">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399999999999999" hidden="1" x14ac:dyDescent="0.3">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399999999999999" hidden="1" x14ac:dyDescent="0.3">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399999999999999" hidden="1" x14ac:dyDescent="0.3">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399999999999999" hidden="1" x14ac:dyDescent="0.3">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399999999999999" hidden="1" x14ac:dyDescent="0.3">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399999999999999" hidden="1" x14ac:dyDescent="0.3">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399999999999999" hidden="1" x14ac:dyDescent="0.3">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399999999999999" hidden="1" x14ac:dyDescent="0.3">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399999999999999" hidden="1" x14ac:dyDescent="0.3">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399999999999999" hidden="1" x14ac:dyDescent="0.3">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399999999999999" hidden="1" x14ac:dyDescent="0.3">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399999999999999" hidden="1" x14ac:dyDescent="0.3">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399999999999999" hidden="1" x14ac:dyDescent="0.3">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399999999999999" hidden="1" x14ac:dyDescent="0.3">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399999999999999" hidden="1" x14ac:dyDescent="0.3">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399999999999999" hidden="1" x14ac:dyDescent="0.3">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399999999999999" hidden="1" x14ac:dyDescent="0.3">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399999999999999" hidden="1" x14ac:dyDescent="0.3">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399999999999999" hidden="1" x14ac:dyDescent="0.3">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399999999999999" hidden="1" x14ac:dyDescent="0.3">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399999999999999" hidden="1" x14ac:dyDescent="0.3">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399999999999999" hidden="1" x14ac:dyDescent="0.3">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399999999999999" hidden="1" x14ac:dyDescent="0.3">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399999999999999" hidden="1" x14ac:dyDescent="0.3">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399999999999999" hidden="1" x14ac:dyDescent="0.3">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399999999999999" hidden="1" x14ac:dyDescent="0.3">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8671875" defaultRowHeight="10.199999999999999" x14ac:dyDescent="0.3"/>
  <cols>
    <col min="1" max="1" width="8.44140625" style="13" bestFit="1" customWidth="1"/>
    <col min="2" max="2" width="43.5546875" style="13" bestFit="1" customWidth="1"/>
    <col min="3" max="3" width="12.6640625" style="13" bestFit="1" customWidth="1"/>
    <col min="4" max="4" width="19" style="13" bestFit="1" customWidth="1"/>
    <col min="5" max="5" width="43.5546875" style="13" bestFit="1" customWidth="1"/>
    <col min="6" max="6" width="8.88671875" style="13" bestFit="1" customWidth="1"/>
    <col min="7" max="7" width="12.33203125" style="13" bestFit="1" customWidth="1"/>
    <col min="8" max="8" width="10.44140625" style="16" bestFit="1" customWidth="1"/>
    <col min="9" max="9" width="36.6640625" style="13" bestFit="1" customWidth="1"/>
    <col min="10" max="10" width="20" style="13" bestFit="1" customWidth="1"/>
    <col min="11" max="11" width="10.44140625" style="16" bestFit="1" customWidth="1"/>
    <col min="12" max="12" width="43.5546875" style="13" bestFit="1" customWidth="1"/>
    <col min="13" max="13" width="20" style="13" bestFit="1" customWidth="1"/>
    <col min="14" max="14" width="11.109375" style="13" bestFit="1" customWidth="1"/>
    <col min="15" max="15" width="11.44140625" style="13" bestFit="1" customWidth="1"/>
    <col min="16" max="16" width="10.44140625" style="16" bestFit="1" customWidth="1"/>
    <col min="17" max="17" width="11.33203125" style="16" bestFit="1" customWidth="1"/>
    <col min="18" max="18" width="4.5546875" style="13" bestFit="1" customWidth="1"/>
    <col min="19" max="16384" width="8.88671875" style="13"/>
  </cols>
  <sheetData>
    <row r="1" spans="1:18" x14ac:dyDescent="0.3">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6" x14ac:dyDescent="0.3">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6" x14ac:dyDescent="0.3">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6" x14ac:dyDescent="0.3">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6" x14ac:dyDescent="0.3">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6" x14ac:dyDescent="0.3">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6" x14ac:dyDescent="0.3">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6" x14ac:dyDescent="0.3">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6" x14ac:dyDescent="0.3">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6" x14ac:dyDescent="0.3">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6" x14ac:dyDescent="0.3">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6" x14ac:dyDescent="0.3">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6" x14ac:dyDescent="0.3">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6" x14ac:dyDescent="0.3">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6" x14ac:dyDescent="0.3">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6" x14ac:dyDescent="0.3">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6" x14ac:dyDescent="0.3">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6" x14ac:dyDescent="0.3">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6" x14ac:dyDescent="0.3">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6" x14ac:dyDescent="0.3">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1" x14ac:dyDescent="0.3">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1" x14ac:dyDescent="0.3">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1" x14ac:dyDescent="0.3">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6" x14ac:dyDescent="0.3">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6" x14ac:dyDescent="0.3">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6" x14ac:dyDescent="0.3">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6" x14ac:dyDescent="0.3">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6" x14ac:dyDescent="0.3">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6" x14ac:dyDescent="0.3">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6" x14ac:dyDescent="0.3">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6" x14ac:dyDescent="0.3">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6" x14ac:dyDescent="0.3">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6" x14ac:dyDescent="0.3">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6" x14ac:dyDescent="0.3">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6" x14ac:dyDescent="0.3">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6" x14ac:dyDescent="0.3">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6" x14ac:dyDescent="0.3">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6" x14ac:dyDescent="0.3">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6" x14ac:dyDescent="0.3">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6" x14ac:dyDescent="0.3">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6" x14ac:dyDescent="0.3">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6" x14ac:dyDescent="0.3">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6" x14ac:dyDescent="0.3">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6" x14ac:dyDescent="0.3">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6" x14ac:dyDescent="0.3">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6" x14ac:dyDescent="0.3">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6" x14ac:dyDescent="0.3">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6" x14ac:dyDescent="0.3">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6" x14ac:dyDescent="0.3">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6" x14ac:dyDescent="0.3">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6" x14ac:dyDescent="0.3">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6" x14ac:dyDescent="0.3">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6" x14ac:dyDescent="0.3">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6" x14ac:dyDescent="0.3">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6" x14ac:dyDescent="0.3">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6" x14ac:dyDescent="0.3">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6" x14ac:dyDescent="0.3">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6" x14ac:dyDescent="0.3">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6" x14ac:dyDescent="0.3">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6" x14ac:dyDescent="0.3">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6" x14ac:dyDescent="0.3">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6" x14ac:dyDescent="0.3">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6" x14ac:dyDescent="0.3">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6" x14ac:dyDescent="0.3">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6" x14ac:dyDescent="0.3">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6" x14ac:dyDescent="0.3">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6" x14ac:dyDescent="0.3">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6" x14ac:dyDescent="0.3">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6" x14ac:dyDescent="0.3">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6" x14ac:dyDescent="0.3">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6" x14ac:dyDescent="0.3">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6" x14ac:dyDescent="0.3">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6" x14ac:dyDescent="0.3">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6" x14ac:dyDescent="0.3">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6" x14ac:dyDescent="0.3">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6" x14ac:dyDescent="0.3">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6" x14ac:dyDescent="0.3">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6" x14ac:dyDescent="0.3">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6" x14ac:dyDescent="0.3">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6" x14ac:dyDescent="0.3">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6" x14ac:dyDescent="0.3">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6" x14ac:dyDescent="0.3">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6" x14ac:dyDescent="0.3">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6" x14ac:dyDescent="0.3">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6" x14ac:dyDescent="0.3">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6" x14ac:dyDescent="0.3">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6" x14ac:dyDescent="0.3">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6" x14ac:dyDescent="0.3">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6" x14ac:dyDescent="0.3">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6" x14ac:dyDescent="0.3">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6" x14ac:dyDescent="0.3">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6" x14ac:dyDescent="0.3">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6" x14ac:dyDescent="0.3">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6" x14ac:dyDescent="0.3">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6" x14ac:dyDescent="0.3">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6" x14ac:dyDescent="0.3">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6" x14ac:dyDescent="0.3">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6" x14ac:dyDescent="0.3">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6" x14ac:dyDescent="0.3">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6" x14ac:dyDescent="0.3">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6" x14ac:dyDescent="0.3">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6" x14ac:dyDescent="0.3">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6" x14ac:dyDescent="0.3">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6" x14ac:dyDescent="0.3">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6" x14ac:dyDescent="0.3">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6" x14ac:dyDescent="0.3">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6" x14ac:dyDescent="0.3">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799999999999997" x14ac:dyDescent="0.3">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799999999999997" x14ac:dyDescent="0.3">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6" x14ac:dyDescent="0.3">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6" x14ac:dyDescent="0.3">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799999999999997" x14ac:dyDescent="0.3">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799999999999997" x14ac:dyDescent="0.3">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6" x14ac:dyDescent="0.3">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6" x14ac:dyDescent="0.3">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6" x14ac:dyDescent="0.3">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6" x14ac:dyDescent="0.3">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6" x14ac:dyDescent="0.3">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6" x14ac:dyDescent="0.3">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6" x14ac:dyDescent="0.3">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6" x14ac:dyDescent="0.3">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6" x14ac:dyDescent="0.3">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6" x14ac:dyDescent="0.3">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6" x14ac:dyDescent="0.3">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6" x14ac:dyDescent="0.3">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6" x14ac:dyDescent="0.3">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6" x14ac:dyDescent="0.3">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6" x14ac:dyDescent="0.3">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6" x14ac:dyDescent="0.3">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6" x14ac:dyDescent="0.3">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6" x14ac:dyDescent="0.3">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6" x14ac:dyDescent="0.3">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6" x14ac:dyDescent="0.3">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6" x14ac:dyDescent="0.3">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6" x14ac:dyDescent="0.3">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6" x14ac:dyDescent="0.3">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6" x14ac:dyDescent="0.3">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6" x14ac:dyDescent="0.3">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6" x14ac:dyDescent="0.3">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6" x14ac:dyDescent="0.3">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6" x14ac:dyDescent="0.3">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6" x14ac:dyDescent="0.3">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6" x14ac:dyDescent="0.3">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6" x14ac:dyDescent="0.3">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6" x14ac:dyDescent="0.3">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6" x14ac:dyDescent="0.3">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6" x14ac:dyDescent="0.3">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6" x14ac:dyDescent="0.3">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6" x14ac:dyDescent="0.3">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6" x14ac:dyDescent="0.3">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6" x14ac:dyDescent="0.3">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6" x14ac:dyDescent="0.3">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6" x14ac:dyDescent="0.3">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799999999999997" x14ac:dyDescent="0.3">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799999999999997" x14ac:dyDescent="0.3">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1" x14ac:dyDescent="0.3">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1" x14ac:dyDescent="0.3">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51" x14ac:dyDescent="0.3">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1" x14ac:dyDescent="0.3">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399999999999999" x14ac:dyDescent="0.3">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399999999999999" x14ac:dyDescent="0.3">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1" x14ac:dyDescent="0.3">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399999999999999" x14ac:dyDescent="0.3">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399999999999999" x14ac:dyDescent="0.3">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399999999999999" x14ac:dyDescent="0.3">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399999999999999" x14ac:dyDescent="0.3">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399999999999999" x14ac:dyDescent="0.3">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399999999999999" x14ac:dyDescent="0.3">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799999999999997" x14ac:dyDescent="0.3">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799999999999997" x14ac:dyDescent="0.3">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799999999999997" x14ac:dyDescent="0.3">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799999999999997" x14ac:dyDescent="0.3">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799999999999997" x14ac:dyDescent="0.3">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799999999999997" x14ac:dyDescent="0.3">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399999999999999" x14ac:dyDescent="0.3">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399999999999999" x14ac:dyDescent="0.3">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399999999999999" x14ac:dyDescent="0.3">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399999999999999" x14ac:dyDescent="0.3">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6" x14ac:dyDescent="0.3">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6" x14ac:dyDescent="0.3">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6" x14ac:dyDescent="0.3">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6" x14ac:dyDescent="0.3">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6" x14ac:dyDescent="0.3">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6" x14ac:dyDescent="0.3">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51" x14ac:dyDescent="0.3">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799999999999997" x14ac:dyDescent="0.3">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6" x14ac:dyDescent="0.3">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6" x14ac:dyDescent="0.3">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6" x14ac:dyDescent="0.3">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6" x14ac:dyDescent="0.3">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6" x14ac:dyDescent="0.3">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6" x14ac:dyDescent="0.3">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6" x14ac:dyDescent="0.3">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6" x14ac:dyDescent="0.3">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6" x14ac:dyDescent="0.3">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6" x14ac:dyDescent="0.3">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6" x14ac:dyDescent="0.3">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799999999999997" x14ac:dyDescent="0.3">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6" x14ac:dyDescent="0.3">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6" x14ac:dyDescent="0.3">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6" x14ac:dyDescent="0.3">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6" x14ac:dyDescent="0.3">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6" x14ac:dyDescent="0.3">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6" x14ac:dyDescent="0.3">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6" x14ac:dyDescent="0.3">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6" x14ac:dyDescent="0.3">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6" x14ac:dyDescent="0.3">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6" x14ac:dyDescent="0.3">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6" x14ac:dyDescent="0.3">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1" x14ac:dyDescent="0.3">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799999999999997" x14ac:dyDescent="0.3">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799999999999997" x14ac:dyDescent="0.3">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6" x14ac:dyDescent="0.3">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6" x14ac:dyDescent="0.3">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6" x14ac:dyDescent="0.3">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6" x14ac:dyDescent="0.3">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6" x14ac:dyDescent="0.3">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6" x14ac:dyDescent="0.3">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6" x14ac:dyDescent="0.3">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6" x14ac:dyDescent="0.3">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6" x14ac:dyDescent="0.3">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6" x14ac:dyDescent="0.3">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6" x14ac:dyDescent="0.3">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399999999999999" x14ac:dyDescent="0.3">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399999999999999" x14ac:dyDescent="0.3">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399999999999999" x14ac:dyDescent="0.3">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399999999999999" x14ac:dyDescent="0.3">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399999999999999" x14ac:dyDescent="0.3">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399999999999999" x14ac:dyDescent="0.3">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399999999999999" x14ac:dyDescent="0.3">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399999999999999" x14ac:dyDescent="0.3">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399999999999999" x14ac:dyDescent="0.3">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399999999999999" x14ac:dyDescent="0.3">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399999999999999" x14ac:dyDescent="0.3">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399999999999999" x14ac:dyDescent="0.3">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399999999999999" x14ac:dyDescent="0.3">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399999999999999" x14ac:dyDescent="0.3">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6" x14ac:dyDescent="0.3">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6" x14ac:dyDescent="0.3">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6" x14ac:dyDescent="0.3">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0.6" x14ac:dyDescent="0.3">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0.6" x14ac:dyDescent="0.3">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0.6" x14ac:dyDescent="0.3">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0.6" x14ac:dyDescent="0.3">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0.6" x14ac:dyDescent="0.3">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0.6" x14ac:dyDescent="0.3">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0.6" x14ac:dyDescent="0.3">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0.6" x14ac:dyDescent="0.3">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0.6" x14ac:dyDescent="0.3">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0.6" x14ac:dyDescent="0.3">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0.6" x14ac:dyDescent="0.3">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0.6" x14ac:dyDescent="0.3">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0.6" x14ac:dyDescent="0.3">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0.6" x14ac:dyDescent="0.3">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0.6" x14ac:dyDescent="0.3">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0.6" x14ac:dyDescent="0.3">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0.6" x14ac:dyDescent="0.3">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0.6" x14ac:dyDescent="0.3">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0.6" x14ac:dyDescent="0.3">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0.6" x14ac:dyDescent="0.3">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0.6" x14ac:dyDescent="0.3">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0.6" x14ac:dyDescent="0.3">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0.6" x14ac:dyDescent="0.3">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0.6" x14ac:dyDescent="0.3">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0.6" x14ac:dyDescent="0.3">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0.6" x14ac:dyDescent="0.3">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0.6" x14ac:dyDescent="0.3">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0.6" x14ac:dyDescent="0.3">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0.6" x14ac:dyDescent="0.3">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0.6" x14ac:dyDescent="0.3">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399999999999999" x14ac:dyDescent="0.3">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399999999999999" x14ac:dyDescent="0.3">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399999999999999" x14ac:dyDescent="0.3">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399999999999999" x14ac:dyDescent="0.3">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399999999999999" x14ac:dyDescent="0.3">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399999999999999" x14ac:dyDescent="0.3">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399999999999999" x14ac:dyDescent="0.3">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399999999999999" x14ac:dyDescent="0.3">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399999999999999" x14ac:dyDescent="0.3">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399999999999999" x14ac:dyDescent="0.3">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399999999999999" x14ac:dyDescent="0.3">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399999999999999" x14ac:dyDescent="0.3">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399999999999999" x14ac:dyDescent="0.3">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399999999999999" x14ac:dyDescent="0.3">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399999999999999" x14ac:dyDescent="0.3">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399999999999999" x14ac:dyDescent="0.3">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399999999999999" x14ac:dyDescent="0.3">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399999999999999" x14ac:dyDescent="0.3">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399999999999999" x14ac:dyDescent="0.3">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399999999999999" x14ac:dyDescent="0.3">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399999999999999" x14ac:dyDescent="0.3">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399999999999999" x14ac:dyDescent="0.3">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399999999999999" x14ac:dyDescent="0.3">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399999999999999" x14ac:dyDescent="0.3">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399999999999999" x14ac:dyDescent="0.3">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399999999999999" x14ac:dyDescent="0.3">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399999999999999" x14ac:dyDescent="0.3">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399999999999999" x14ac:dyDescent="0.3">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399999999999999" x14ac:dyDescent="0.3">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399999999999999" x14ac:dyDescent="0.3">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399999999999999" x14ac:dyDescent="0.3">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399999999999999" x14ac:dyDescent="0.3">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0.6" x14ac:dyDescent="0.3">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0.6" x14ac:dyDescent="0.3">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0.6" x14ac:dyDescent="0.3">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0.6" x14ac:dyDescent="0.3">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0.6" x14ac:dyDescent="0.3">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0.6" x14ac:dyDescent="0.3">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0.6" x14ac:dyDescent="0.3">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0.6" x14ac:dyDescent="0.3">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399999999999999" x14ac:dyDescent="0.3">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399999999999999" x14ac:dyDescent="0.3">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399999999999999" x14ac:dyDescent="0.3">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399999999999999" x14ac:dyDescent="0.3">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399999999999999" x14ac:dyDescent="0.3">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399999999999999" x14ac:dyDescent="0.3">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399999999999999" x14ac:dyDescent="0.3">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6" x14ac:dyDescent="0.3">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399999999999999" x14ac:dyDescent="0.3">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399999999999999" x14ac:dyDescent="0.3">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399999999999999" x14ac:dyDescent="0.3">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399999999999999" x14ac:dyDescent="0.3">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399999999999999" x14ac:dyDescent="0.3">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399999999999999" x14ac:dyDescent="0.3">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399999999999999" x14ac:dyDescent="0.3">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399999999999999" x14ac:dyDescent="0.3">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399999999999999" x14ac:dyDescent="0.3">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399999999999999" x14ac:dyDescent="0.3">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399999999999999" x14ac:dyDescent="0.3">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399999999999999" x14ac:dyDescent="0.3">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399999999999999" x14ac:dyDescent="0.3">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399999999999999" x14ac:dyDescent="0.3">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399999999999999" x14ac:dyDescent="0.3">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399999999999999" x14ac:dyDescent="0.3">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6" x14ac:dyDescent="0.3">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6" x14ac:dyDescent="0.3">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399999999999999" x14ac:dyDescent="0.3">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399999999999999" x14ac:dyDescent="0.3">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399999999999999" x14ac:dyDescent="0.3">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399999999999999" x14ac:dyDescent="0.3">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399999999999999" x14ac:dyDescent="0.3">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399999999999999" x14ac:dyDescent="0.3">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6" x14ac:dyDescent="0.3">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399999999999999" x14ac:dyDescent="0.3">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0.6" x14ac:dyDescent="0.3">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0.6" x14ac:dyDescent="0.3">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0.6" x14ac:dyDescent="0.3">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0.6" x14ac:dyDescent="0.3">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0.6" x14ac:dyDescent="0.3">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0.6" x14ac:dyDescent="0.3">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0.6" x14ac:dyDescent="0.3">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0.6" x14ac:dyDescent="0.3">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0.6" x14ac:dyDescent="0.3">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399999999999999" x14ac:dyDescent="0.3">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399999999999999" x14ac:dyDescent="0.3">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399999999999999" x14ac:dyDescent="0.3">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399999999999999" x14ac:dyDescent="0.3">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399999999999999" x14ac:dyDescent="0.3">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399999999999999" x14ac:dyDescent="0.3">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399999999999999" x14ac:dyDescent="0.3">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399999999999999" x14ac:dyDescent="0.3">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399999999999999" x14ac:dyDescent="0.3">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399999999999999" x14ac:dyDescent="0.3">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399999999999999" x14ac:dyDescent="0.3">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399999999999999" x14ac:dyDescent="0.3">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399999999999999" x14ac:dyDescent="0.3">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399999999999999" x14ac:dyDescent="0.3">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399999999999999" x14ac:dyDescent="0.3">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399999999999999" x14ac:dyDescent="0.3">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399999999999999" x14ac:dyDescent="0.3">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399999999999999" x14ac:dyDescent="0.3">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399999999999999" x14ac:dyDescent="0.3">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399999999999999" x14ac:dyDescent="0.3">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399999999999999" x14ac:dyDescent="0.3">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399999999999999" x14ac:dyDescent="0.3">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399999999999999" x14ac:dyDescent="0.3">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399999999999999" x14ac:dyDescent="0.3">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399999999999999" x14ac:dyDescent="0.3">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399999999999999" x14ac:dyDescent="0.3">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399999999999999" x14ac:dyDescent="0.3">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399999999999999" x14ac:dyDescent="0.3">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399999999999999" x14ac:dyDescent="0.3">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399999999999999" x14ac:dyDescent="0.3">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399999999999999" x14ac:dyDescent="0.3">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399999999999999" x14ac:dyDescent="0.3">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399999999999999" x14ac:dyDescent="0.3">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0.6" x14ac:dyDescent="0.3">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399999999999999" x14ac:dyDescent="0.3">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399999999999999" x14ac:dyDescent="0.3">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399999999999999" x14ac:dyDescent="0.3">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399999999999999" x14ac:dyDescent="0.3">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399999999999999" x14ac:dyDescent="0.3">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399999999999999" x14ac:dyDescent="0.3">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399999999999999" x14ac:dyDescent="0.3">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399999999999999" x14ac:dyDescent="0.3">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399999999999999" x14ac:dyDescent="0.3">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399999999999999" x14ac:dyDescent="0.3">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399999999999999" x14ac:dyDescent="0.3">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399999999999999" x14ac:dyDescent="0.3">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399999999999999" x14ac:dyDescent="0.3">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399999999999999" x14ac:dyDescent="0.3">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399999999999999" x14ac:dyDescent="0.3">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399999999999999" x14ac:dyDescent="0.3">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399999999999999" x14ac:dyDescent="0.3">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6" x14ac:dyDescent="0.3">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399999999999999" x14ac:dyDescent="0.3">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399999999999999" x14ac:dyDescent="0.3">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399999999999999" x14ac:dyDescent="0.3">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399999999999999" x14ac:dyDescent="0.3">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6" x14ac:dyDescent="0.3">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399999999999999" x14ac:dyDescent="0.3">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399999999999999" x14ac:dyDescent="0.3">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6" x14ac:dyDescent="0.3">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399999999999999" x14ac:dyDescent="0.3">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0.6" x14ac:dyDescent="0.3">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0.6" x14ac:dyDescent="0.3">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0.6" x14ac:dyDescent="0.3">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0.6" x14ac:dyDescent="0.3">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0.6" x14ac:dyDescent="0.3">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0.6" x14ac:dyDescent="0.3">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0.6" x14ac:dyDescent="0.3">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0.6" x14ac:dyDescent="0.3">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0.6" x14ac:dyDescent="0.3">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0.6" x14ac:dyDescent="0.3">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0.6" x14ac:dyDescent="0.3">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0.6" x14ac:dyDescent="0.3">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0.6" x14ac:dyDescent="0.3">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0.6" x14ac:dyDescent="0.3">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399999999999999" x14ac:dyDescent="0.3">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399999999999999" x14ac:dyDescent="0.3">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399999999999999" x14ac:dyDescent="0.3">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399999999999999" x14ac:dyDescent="0.3">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399999999999999" x14ac:dyDescent="0.3">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399999999999999" x14ac:dyDescent="0.3">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399999999999999" x14ac:dyDescent="0.3">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399999999999999" x14ac:dyDescent="0.3">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399999999999999" x14ac:dyDescent="0.3">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399999999999999" x14ac:dyDescent="0.3">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399999999999999" x14ac:dyDescent="0.3">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399999999999999" x14ac:dyDescent="0.3">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399999999999999" x14ac:dyDescent="0.3">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399999999999999" x14ac:dyDescent="0.3">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399999999999999" x14ac:dyDescent="0.3">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399999999999999" x14ac:dyDescent="0.3">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399999999999999" x14ac:dyDescent="0.3">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399999999999999" x14ac:dyDescent="0.3">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399999999999999" x14ac:dyDescent="0.3">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399999999999999" x14ac:dyDescent="0.3">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399999999999999" x14ac:dyDescent="0.3">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399999999999999" x14ac:dyDescent="0.3">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399999999999999" x14ac:dyDescent="0.3">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399999999999999" x14ac:dyDescent="0.3">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399999999999999" x14ac:dyDescent="0.3">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399999999999999" x14ac:dyDescent="0.3">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399999999999999" x14ac:dyDescent="0.3">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399999999999999" x14ac:dyDescent="0.3">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399999999999999" x14ac:dyDescent="0.3">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399999999999999" x14ac:dyDescent="0.3">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399999999999999" x14ac:dyDescent="0.3">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399999999999999" x14ac:dyDescent="0.3">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0.6" x14ac:dyDescent="0.3">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0.6" x14ac:dyDescent="0.3">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0.6" x14ac:dyDescent="0.3">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0.6" x14ac:dyDescent="0.3">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399999999999999" x14ac:dyDescent="0.3">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399999999999999" x14ac:dyDescent="0.3">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0.6" x14ac:dyDescent="0.3">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0.6" x14ac:dyDescent="0.3">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0.6" x14ac:dyDescent="0.3">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0.6" x14ac:dyDescent="0.3">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399999999999999" x14ac:dyDescent="0.3">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0.6" x14ac:dyDescent="0.3">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399999999999999" x14ac:dyDescent="0.3">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399999999999999" x14ac:dyDescent="0.3">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399999999999999" x14ac:dyDescent="0.3">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6" x14ac:dyDescent="0.3">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6" x14ac:dyDescent="0.3">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6" x14ac:dyDescent="0.3">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399999999999999" x14ac:dyDescent="0.3">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399999999999999" x14ac:dyDescent="0.3">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399999999999999" x14ac:dyDescent="0.3">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0.6" x14ac:dyDescent="0.3">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399999999999999" x14ac:dyDescent="0.3">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399999999999999" x14ac:dyDescent="0.3">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6" x14ac:dyDescent="0.3">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6" x14ac:dyDescent="0.3">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6" x14ac:dyDescent="0.3">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6" x14ac:dyDescent="0.3">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6" x14ac:dyDescent="0.3">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6" x14ac:dyDescent="0.3">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6" x14ac:dyDescent="0.3">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6" x14ac:dyDescent="0.3">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6" x14ac:dyDescent="0.3">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6" x14ac:dyDescent="0.3">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0.6" x14ac:dyDescent="0.3">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0.6" x14ac:dyDescent="0.3">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0.6" x14ac:dyDescent="0.3">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399999999999999" x14ac:dyDescent="0.3">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399999999999999" x14ac:dyDescent="0.3">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399999999999999" x14ac:dyDescent="0.3">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399999999999999" x14ac:dyDescent="0.3">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399999999999999" x14ac:dyDescent="0.3">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399999999999999" x14ac:dyDescent="0.3">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0.6" x14ac:dyDescent="0.3">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399999999999999" x14ac:dyDescent="0.3">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6" x14ac:dyDescent="0.3">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6" x14ac:dyDescent="0.3">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6" x14ac:dyDescent="0.3">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6" x14ac:dyDescent="0.3">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6" x14ac:dyDescent="0.3">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6" x14ac:dyDescent="0.3">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6" x14ac:dyDescent="0.3">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6" x14ac:dyDescent="0.3">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6" x14ac:dyDescent="0.3">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6" x14ac:dyDescent="0.3">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6" x14ac:dyDescent="0.3">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6" x14ac:dyDescent="0.3">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6" x14ac:dyDescent="0.3">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6" x14ac:dyDescent="0.3">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6" x14ac:dyDescent="0.3">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6" x14ac:dyDescent="0.3">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0.6" x14ac:dyDescent="0.3">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6" x14ac:dyDescent="0.3">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399999999999999" x14ac:dyDescent="0.3">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399999999999999" x14ac:dyDescent="0.3">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399999999999999" x14ac:dyDescent="0.3">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0.6" x14ac:dyDescent="0.3">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399999999999999" x14ac:dyDescent="0.3">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399999999999999" x14ac:dyDescent="0.3">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0.6" x14ac:dyDescent="0.3">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399999999999999" x14ac:dyDescent="0.3">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0.6" x14ac:dyDescent="0.3">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399999999999999" x14ac:dyDescent="0.3">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399999999999999" x14ac:dyDescent="0.3">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399999999999999" x14ac:dyDescent="0.3">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0.6" x14ac:dyDescent="0.3">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0.6" x14ac:dyDescent="0.3">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0.6" x14ac:dyDescent="0.3">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399999999999999" x14ac:dyDescent="0.3">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399999999999999" x14ac:dyDescent="0.3">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399999999999999" x14ac:dyDescent="0.3">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399999999999999" x14ac:dyDescent="0.3">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399999999999999" x14ac:dyDescent="0.3">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399999999999999" x14ac:dyDescent="0.3">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6" x14ac:dyDescent="0.3">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6" x14ac:dyDescent="0.3">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6" x14ac:dyDescent="0.3">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6" x14ac:dyDescent="0.3">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6" x14ac:dyDescent="0.3">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6" x14ac:dyDescent="0.3">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6" x14ac:dyDescent="0.3">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6" x14ac:dyDescent="0.3">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6" x14ac:dyDescent="0.3">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6" x14ac:dyDescent="0.3">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0.6" x14ac:dyDescent="0.3">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6" x14ac:dyDescent="0.3">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6" x14ac:dyDescent="0.3">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6" x14ac:dyDescent="0.3">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6" x14ac:dyDescent="0.3">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6" x14ac:dyDescent="0.3">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6" x14ac:dyDescent="0.3">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6" x14ac:dyDescent="0.3">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6" x14ac:dyDescent="0.3">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6" x14ac:dyDescent="0.3">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6" x14ac:dyDescent="0.3">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6" x14ac:dyDescent="0.3">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6" x14ac:dyDescent="0.3">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6" x14ac:dyDescent="0.3">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6" x14ac:dyDescent="0.3">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6" x14ac:dyDescent="0.3">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6" x14ac:dyDescent="0.3">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6" x14ac:dyDescent="0.3">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6" x14ac:dyDescent="0.3">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6" x14ac:dyDescent="0.3">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6" x14ac:dyDescent="0.3">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6" x14ac:dyDescent="0.3">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6" x14ac:dyDescent="0.3">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0.6" x14ac:dyDescent="0.3">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399999999999999" x14ac:dyDescent="0.3">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399999999999999" x14ac:dyDescent="0.3">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0.6" x14ac:dyDescent="0.3">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399999999999999" x14ac:dyDescent="0.3">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399999999999999" x14ac:dyDescent="0.3">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0.6" x14ac:dyDescent="0.3">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399999999999999" x14ac:dyDescent="0.3">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0.6" x14ac:dyDescent="0.3">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0.6" x14ac:dyDescent="0.3">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399999999999999" x14ac:dyDescent="0.3">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399999999999999" x14ac:dyDescent="0.3">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399999999999999" x14ac:dyDescent="0.3">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6" x14ac:dyDescent="0.3">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6" x14ac:dyDescent="0.3">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6" x14ac:dyDescent="0.3">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6" x14ac:dyDescent="0.3">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6" x14ac:dyDescent="0.3">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6" x14ac:dyDescent="0.3">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6" x14ac:dyDescent="0.3">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6" x14ac:dyDescent="0.3">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6" x14ac:dyDescent="0.3">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6" x14ac:dyDescent="0.3">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6" x14ac:dyDescent="0.3">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6" x14ac:dyDescent="0.3">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6" x14ac:dyDescent="0.3">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6" x14ac:dyDescent="0.3">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6" x14ac:dyDescent="0.3">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6" x14ac:dyDescent="0.3">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0.6" x14ac:dyDescent="0.3">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6" x14ac:dyDescent="0.3">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6" x14ac:dyDescent="0.3">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6" x14ac:dyDescent="0.3">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6" x14ac:dyDescent="0.3">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6" x14ac:dyDescent="0.3">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6" x14ac:dyDescent="0.3">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6" x14ac:dyDescent="0.3">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6" x14ac:dyDescent="0.3">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6" x14ac:dyDescent="0.3">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6" x14ac:dyDescent="0.3">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6" x14ac:dyDescent="0.3">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6" x14ac:dyDescent="0.3">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6" x14ac:dyDescent="0.3">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6" x14ac:dyDescent="0.3">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6" x14ac:dyDescent="0.3">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399999999999999" x14ac:dyDescent="0.3">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399999999999999" x14ac:dyDescent="0.3">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399999999999999" x14ac:dyDescent="0.3">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399999999999999" x14ac:dyDescent="0.3">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399999999999999" x14ac:dyDescent="0.3">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399999999999999" x14ac:dyDescent="0.3">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399999999999999" x14ac:dyDescent="0.3">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399999999999999" x14ac:dyDescent="0.3">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399999999999999" x14ac:dyDescent="0.3">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399999999999999" x14ac:dyDescent="0.3">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399999999999999" x14ac:dyDescent="0.3">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399999999999999" x14ac:dyDescent="0.3">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399999999999999" x14ac:dyDescent="0.3">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399999999999999" x14ac:dyDescent="0.3">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399999999999999" x14ac:dyDescent="0.3">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399999999999999" x14ac:dyDescent="0.3">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399999999999999" x14ac:dyDescent="0.3">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399999999999999" x14ac:dyDescent="0.3">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399999999999999" x14ac:dyDescent="0.3">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399999999999999" x14ac:dyDescent="0.3">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399999999999999" x14ac:dyDescent="0.3">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399999999999999" x14ac:dyDescent="0.3">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399999999999999" x14ac:dyDescent="0.3">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399999999999999" x14ac:dyDescent="0.3">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399999999999999" x14ac:dyDescent="0.3">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399999999999999" x14ac:dyDescent="0.3">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399999999999999" x14ac:dyDescent="0.3">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399999999999999" x14ac:dyDescent="0.3">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399999999999999" x14ac:dyDescent="0.3">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399999999999999" x14ac:dyDescent="0.3">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399999999999999" x14ac:dyDescent="0.3">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399999999999999" x14ac:dyDescent="0.3">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399999999999999" x14ac:dyDescent="0.3">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399999999999999" x14ac:dyDescent="0.3">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399999999999999" x14ac:dyDescent="0.3">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399999999999999" x14ac:dyDescent="0.3">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399999999999999" x14ac:dyDescent="0.3">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399999999999999" x14ac:dyDescent="0.3">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399999999999999" x14ac:dyDescent="0.3">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399999999999999" x14ac:dyDescent="0.3">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399999999999999" x14ac:dyDescent="0.3">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399999999999999" x14ac:dyDescent="0.3">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399999999999999" x14ac:dyDescent="0.3">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399999999999999" x14ac:dyDescent="0.3">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399999999999999" x14ac:dyDescent="0.3">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399999999999999" x14ac:dyDescent="0.3">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399999999999999" x14ac:dyDescent="0.3">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399999999999999" x14ac:dyDescent="0.3">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399999999999999" x14ac:dyDescent="0.3">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399999999999999" x14ac:dyDescent="0.3">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399999999999999" x14ac:dyDescent="0.3">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399999999999999" x14ac:dyDescent="0.3">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399999999999999" x14ac:dyDescent="0.3">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399999999999999" x14ac:dyDescent="0.3">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399999999999999" x14ac:dyDescent="0.3">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399999999999999" x14ac:dyDescent="0.3">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399999999999999" x14ac:dyDescent="0.3">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399999999999999" x14ac:dyDescent="0.3">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399999999999999" x14ac:dyDescent="0.3">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399999999999999" x14ac:dyDescent="0.3">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399999999999999" x14ac:dyDescent="0.3">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399999999999999" x14ac:dyDescent="0.3">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399999999999999" x14ac:dyDescent="0.3">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399999999999999" x14ac:dyDescent="0.3">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399999999999999" x14ac:dyDescent="0.3">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399999999999999" x14ac:dyDescent="0.3">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399999999999999" x14ac:dyDescent="0.3">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399999999999999" x14ac:dyDescent="0.3">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399999999999999" x14ac:dyDescent="0.3">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399999999999999" x14ac:dyDescent="0.3">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399999999999999" x14ac:dyDescent="0.3">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399999999999999" x14ac:dyDescent="0.3">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399999999999999" x14ac:dyDescent="0.3">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399999999999999" x14ac:dyDescent="0.3">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399999999999999" x14ac:dyDescent="0.3">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399999999999999" x14ac:dyDescent="0.3">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399999999999999" x14ac:dyDescent="0.3">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399999999999999" x14ac:dyDescent="0.3">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399999999999999" x14ac:dyDescent="0.3">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399999999999999" x14ac:dyDescent="0.3">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399999999999999" x14ac:dyDescent="0.3">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399999999999999" x14ac:dyDescent="0.3">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399999999999999" x14ac:dyDescent="0.3">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399999999999999" x14ac:dyDescent="0.3">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399999999999999" x14ac:dyDescent="0.3">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399999999999999" x14ac:dyDescent="0.3">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399999999999999" x14ac:dyDescent="0.3">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399999999999999" x14ac:dyDescent="0.3">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399999999999999" x14ac:dyDescent="0.3">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399999999999999" x14ac:dyDescent="0.3">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399999999999999" x14ac:dyDescent="0.3">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399999999999999" x14ac:dyDescent="0.3">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399999999999999" x14ac:dyDescent="0.3">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399999999999999" x14ac:dyDescent="0.3">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399999999999999" x14ac:dyDescent="0.3">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399999999999999" x14ac:dyDescent="0.3">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399999999999999" x14ac:dyDescent="0.3">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399999999999999" x14ac:dyDescent="0.3">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399999999999999" x14ac:dyDescent="0.3">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399999999999999" x14ac:dyDescent="0.3">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399999999999999" x14ac:dyDescent="0.3">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399999999999999" x14ac:dyDescent="0.3">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399999999999999" x14ac:dyDescent="0.3">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399999999999999" x14ac:dyDescent="0.3">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399999999999999" x14ac:dyDescent="0.3">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399999999999999" x14ac:dyDescent="0.3">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399999999999999" x14ac:dyDescent="0.3">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399999999999999" x14ac:dyDescent="0.3">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399999999999999" x14ac:dyDescent="0.3">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399999999999999" x14ac:dyDescent="0.3">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399999999999999" x14ac:dyDescent="0.3">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399999999999999" x14ac:dyDescent="0.3">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399999999999999" x14ac:dyDescent="0.3">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0.399999999999999" x14ac:dyDescent="0.3">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0.399999999999999" x14ac:dyDescent="0.3">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399999999999999" x14ac:dyDescent="0.3">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399999999999999" x14ac:dyDescent="0.3">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0.399999999999999" x14ac:dyDescent="0.3">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399999999999999" x14ac:dyDescent="0.3">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399999999999999" x14ac:dyDescent="0.3">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6" x14ac:dyDescent="0.3">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399999999999999" x14ac:dyDescent="0.3">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399999999999999" x14ac:dyDescent="0.3">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399999999999999" x14ac:dyDescent="0.3">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399999999999999" x14ac:dyDescent="0.3">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0.399999999999999" x14ac:dyDescent="0.3">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399999999999999" x14ac:dyDescent="0.3">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399999999999999" x14ac:dyDescent="0.3">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399999999999999" x14ac:dyDescent="0.3">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0.399999999999999" x14ac:dyDescent="0.3">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399999999999999" x14ac:dyDescent="0.3">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399999999999999" x14ac:dyDescent="0.3">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399999999999999" x14ac:dyDescent="0.3">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399999999999999" x14ac:dyDescent="0.3">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399999999999999" x14ac:dyDescent="0.3">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399999999999999" x14ac:dyDescent="0.3">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399999999999999" x14ac:dyDescent="0.3">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399999999999999" x14ac:dyDescent="0.3">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399999999999999" x14ac:dyDescent="0.3">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399999999999999" x14ac:dyDescent="0.3">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399999999999999" x14ac:dyDescent="0.3">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399999999999999" x14ac:dyDescent="0.3">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399999999999999" x14ac:dyDescent="0.3">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399999999999999" x14ac:dyDescent="0.3">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399999999999999" x14ac:dyDescent="0.3">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399999999999999" x14ac:dyDescent="0.3">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399999999999999" x14ac:dyDescent="0.3">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399999999999999" x14ac:dyDescent="0.3">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399999999999999" x14ac:dyDescent="0.3">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399999999999999" x14ac:dyDescent="0.3">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399999999999999" x14ac:dyDescent="0.3">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0.399999999999999" x14ac:dyDescent="0.3">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0.399999999999999" x14ac:dyDescent="0.3">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0.399999999999999" x14ac:dyDescent="0.3">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0.399999999999999" x14ac:dyDescent="0.3">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0.399999999999999" x14ac:dyDescent="0.3">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0.399999999999999" x14ac:dyDescent="0.3">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0.399999999999999" x14ac:dyDescent="0.3">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0.399999999999999" x14ac:dyDescent="0.3">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0.399999999999999" x14ac:dyDescent="0.3">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0.399999999999999" x14ac:dyDescent="0.3">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0.399999999999999" x14ac:dyDescent="0.3">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0.399999999999999" x14ac:dyDescent="0.3">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0.399999999999999" x14ac:dyDescent="0.3">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0.399999999999999" x14ac:dyDescent="0.3">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0.399999999999999" x14ac:dyDescent="0.3">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0.399999999999999" x14ac:dyDescent="0.3">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0.399999999999999" x14ac:dyDescent="0.3">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0.399999999999999" x14ac:dyDescent="0.3">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0.399999999999999" x14ac:dyDescent="0.3">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0.399999999999999" x14ac:dyDescent="0.3">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0.399999999999999" x14ac:dyDescent="0.3">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0.399999999999999" x14ac:dyDescent="0.3">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0.399999999999999" x14ac:dyDescent="0.3">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0.399999999999999" x14ac:dyDescent="0.3">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0.399999999999999" x14ac:dyDescent="0.3">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0.399999999999999" x14ac:dyDescent="0.3">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399999999999999" x14ac:dyDescent="0.3">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399999999999999" x14ac:dyDescent="0.3">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399999999999999" x14ac:dyDescent="0.3">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0.399999999999999" x14ac:dyDescent="0.3">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0.399999999999999" x14ac:dyDescent="0.3">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399999999999999" x14ac:dyDescent="0.3">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0.399999999999999" x14ac:dyDescent="0.3">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0.399999999999999" x14ac:dyDescent="0.3">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399999999999999" x14ac:dyDescent="0.3">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0.399999999999999" x14ac:dyDescent="0.3">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0.399999999999999" x14ac:dyDescent="0.3">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0.399999999999999" x14ac:dyDescent="0.3">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0.399999999999999" x14ac:dyDescent="0.3">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399999999999999" x14ac:dyDescent="0.3">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0.399999999999999" x14ac:dyDescent="0.3">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0.399999999999999" x14ac:dyDescent="0.3">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0.399999999999999" x14ac:dyDescent="0.3">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0.399999999999999" x14ac:dyDescent="0.3">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0.399999999999999" x14ac:dyDescent="0.3">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0.399999999999999" x14ac:dyDescent="0.3">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0.399999999999999" x14ac:dyDescent="0.3">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0.399999999999999" x14ac:dyDescent="0.3">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399999999999999" x14ac:dyDescent="0.3">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399999999999999" x14ac:dyDescent="0.3">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0.399999999999999" x14ac:dyDescent="0.3">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0.399999999999999" x14ac:dyDescent="0.3">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0.399999999999999" x14ac:dyDescent="0.3">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399999999999999" x14ac:dyDescent="0.3">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399999999999999" x14ac:dyDescent="0.3">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399999999999999" x14ac:dyDescent="0.3">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399999999999999" x14ac:dyDescent="0.3">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399999999999999" x14ac:dyDescent="0.3">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399999999999999" x14ac:dyDescent="0.3">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399999999999999" x14ac:dyDescent="0.3">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399999999999999" x14ac:dyDescent="0.3">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399999999999999" x14ac:dyDescent="0.3">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399999999999999" x14ac:dyDescent="0.3">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399999999999999" x14ac:dyDescent="0.3">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399999999999999" x14ac:dyDescent="0.3">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399999999999999" x14ac:dyDescent="0.3">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399999999999999" x14ac:dyDescent="0.3">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399999999999999" x14ac:dyDescent="0.3">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399999999999999" x14ac:dyDescent="0.3">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399999999999999" x14ac:dyDescent="0.3">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399999999999999" x14ac:dyDescent="0.3">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399999999999999" x14ac:dyDescent="0.3">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399999999999999" x14ac:dyDescent="0.3">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399999999999999" x14ac:dyDescent="0.3">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399999999999999" x14ac:dyDescent="0.3">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399999999999999" x14ac:dyDescent="0.3">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399999999999999" x14ac:dyDescent="0.3">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399999999999999" x14ac:dyDescent="0.3">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399999999999999" x14ac:dyDescent="0.3">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399999999999999" x14ac:dyDescent="0.3">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399999999999999" x14ac:dyDescent="0.3">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399999999999999" x14ac:dyDescent="0.3">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399999999999999" x14ac:dyDescent="0.3">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399999999999999" x14ac:dyDescent="0.3">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399999999999999" x14ac:dyDescent="0.3">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399999999999999" x14ac:dyDescent="0.3">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399999999999999" x14ac:dyDescent="0.3">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399999999999999" x14ac:dyDescent="0.3">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399999999999999" x14ac:dyDescent="0.3">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0.399999999999999" x14ac:dyDescent="0.3">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399999999999999" x14ac:dyDescent="0.3">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399999999999999" x14ac:dyDescent="0.3">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399999999999999" x14ac:dyDescent="0.3">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0.399999999999999" x14ac:dyDescent="0.3">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399999999999999" x14ac:dyDescent="0.3">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0.399999999999999" x14ac:dyDescent="0.3">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0.399999999999999" x14ac:dyDescent="0.3">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0.399999999999999" x14ac:dyDescent="0.3">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399999999999999" x14ac:dyDescent="0.3">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399999999999999" x14ac:dyDescent="0.3">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0.399999999999999" x14ac:dyDescent="0.3">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0.399999999999999" x14ac:dyDescent="0.3">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0.399999999999999" x14ac:dyDescent="0.3">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399999999999999" x14ac:dyDescent="0.3">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0.399999999999999" x14ac:dyDescent="0.3">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0.399999999999999" x14ac:dyDescent="0.3">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0.399999999999999" x14ac:dyDescent="0.3">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399999999999999" x14ac:dyDescent="0.3">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399999999999999" x14ac:dyDescent="0.3">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399999999999999" x14ac:dyDescent="0.3">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399999999999999" x14ac:dyDescent="0.3">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399999999999999" x14ac:dyDescent="0.3">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399999999999999" x14ac:dyDescent="0.3">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399999999999999" x14ac:dyDescent="0.3">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399999999999999" x14ac:dyDescent="0.3">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399999999999999" x14ac:dyDescent="0.3">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399999999999999" x14ac:dyDescent="0.3">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399999999999999" x14ac:dyDescent="0.3">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0.399999999999999" x14ac:dyDescent="0.3">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0.399999999999999" x14ac:dyDescent="0.3">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0.399999999999999" x14ac:dyDescent="0.3">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399999999999999" x14ac:dyDescent="0.3">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399999999999999" x14ac:dyDescent="0.3">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399999999999999" x14ac:dyDescent="0.3">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399999999999999" x14ac:dyDescent="0.3">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0.399999999999999" x14ac:dyDescent="0.3">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0.399999999999999" x14ac:dyDescent="0.3">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0.399999999999999" x14ac:dyDescent="0.3">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399999999999999" x14ac:dyDescent="0.3">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399999999999999" x14ac:dyDescent="0.3">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399999999999999" x14ac:dyDescent="0.3">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399999999999999" x14ac:dyDescent="0.3">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399999999999999" x14ac:dyDescent="0.3">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0.399999999999999" x14ac:dyDescent="0.3">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0.399999999999999" x14ac:dyDescent="0.3">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0.399999999999999" x14ac:dyDescent="0.3">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399999999999999" x14ac:dyDescent="0.3">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0.399999999999999" x14ac:dyDescent="0.3">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0.399999999999999" x14ac:dyDescent="0.3">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0.399999999999999" x14ac:dyDescent="0.3">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399999999999999" x14ac:dyDescent="0.3">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399999999999999" x14ac:dyDescent="0.3">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399999999999999" x14ac:dyDescent="0.3">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399999999999999" x14ac:dyDescent="0.3">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399999999999999" x14ac:dyDescent="0.3">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399999999999999" x14ac:dyDescent="0.3">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399999999999999" x14ac:dyDescent="0.3">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399999999999999" x14ac:dyDescent="0.3">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399999999999999" x14ac:dyDescent="0.3">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399999999999999" x14ac:dyDescent="0.3">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399999999999999" x14ac:dyDescent="0.3">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399999999999999" x14ac:dyDescent="0.3">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399999999999999" x14ac:dyDescent="0.3">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399999999999999" x14ac:dyDescent="0.3">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399999999999999" x14ac:dyDescent="0.3">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399999999999999" x14ac:dyDescent="0.3">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399999999999999" x14ac:dyDescent="0.3">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399999999999999" x14ac:dyDescent="0.3">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399999999999999" x14ac:dyDescent="0.3">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399999999999999" x14ac:dyDescent="0.3">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399999999999999" x14ac:dyDescent="0.3">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399999999999999" x14ac:dyDescent="0.3">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399999999999999" x14ac:dyDescent="0.3">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399999999999999" x14ac:dyDescent="0.3">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399999999999999" x14ac:dyDescent="0.3">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399999999999999" x14ac:dyDescent="0.3">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399999999999999" x14ac:dyDescent="0.3">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399999999999999" x14ac:dyDescent="0.3">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399999999999999" x14ac:dyDescent="0.3">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399999999999999" x14ac:dyDescent="0.3">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399999999999999" x14ac:dyDescent="0.3">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399999999999999" x14ac:dyDescent="0.3">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399999999999999" x14ac:dyDescent="0.3">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399999999999999" x14ac:dyDescent="0.3">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399999999999999" x14ac:dyDescent="0.3">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399999999999999" x14ac:dyDescent="0.3">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399999999999999" x14ac:dyDescent="0.3">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399999999999999" x14ac:dyDescent="0.3">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399999999999999" x14ac:dyDescent="0.3">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399999999999999" x14ac:dyDescent="0.3">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399999999999999" x14ac:dyDescent="0.3">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399999999999999" x14ac:dyDescent="0.3">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399999999999999" x14ac:dyDescent="0.3">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399999999999999" x14ac:dyDescent="0.3">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399999999999999" x14ac:dyDescent="0.3">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399999999999999" x14ac:dyDescent="0.3">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399999999999999" x14ac:dyDescent="0.3">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399999999999999" x14ac:dyDescent="0.3">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399999999999999" x14ac:dyDescent="0.3">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399999999999999" x14ac:dyDescent="0.3">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399999999999999" x14ac:dyDescent="0.3">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399999999999999" x14ac:dyDescent="0.3">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399999999999999" x14ac:dyDescent="0.3">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399999999999999" x14ac:dyDescent="0.3">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399999999999999" x14ac:dyDescent="0.3">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399999999999999" x14ac:dyDescent="0.3">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399999999999999" x14ac:dyDescent="0.3">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399999999999999" x14ac:dyDescent="0.3">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399999999999999" x14ac:dyDescent="0.3">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399999999999999" x14ac:dyDescent="0.3">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0.399999999999999" x14ac:dyDescent="0.3">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0.399999999999999" x14ac:dyDescent="0.3">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0.399999999999999" x14ac:dyDescent="0.3">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0.399999999999999" x14ac:dyDescent="0.3">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0.399999999999999" x14ac:dyDescent="0.3">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0.399999999999999" x14ac:dyDescent="0.3">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399999999999999" x14ac:dyDescent="0.3">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0.399999999999999" x14ac:dyDescent="0.3">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0.399999999999999" x14ac:dyDescent="0.3">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0.399999999999999" x14ac:dyDescent="0.3">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0.399999999999999" x14ac:dyDescent="0.3">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399999999999999" x14ac:dyDescent="0.3">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0.399999999999999" x14ac:dyDescent="0.3">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399999999999999" x14ac:dyDescent="0.3">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0.399999999999999" x14ac:dyDescent="0.3">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399999999999999" x14ac:dyDescent="0.3">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399999999999999" x14ac:dyDescent="0.3">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399999999999999" x14ac:dyDescent="0.3">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0.399999999999999" x14ac:dyDescent="0.3">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0.399999999999999" x14ac:dyDescent="0.3">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0.399999999999999" x14ac:dyDescent="0.3">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399999999999999" x14ac:dyDescent="0.3">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0.399999999999999" x14ac:dyDescent="0.3">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399999999999999" x14ac:dyDescent="0.3">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0.399999999999999" x14ac:dyDescent="0.3">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6" x14ac:dyDescent="0.3">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6" x14ac:dyDescent="0.3">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6" x14ac:dyDescent="0.3">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6" x14ac:dyDescent="0.3">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6" x14ac:dyDescent="0.3">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6" x14ac:dyDescent="0.3">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6" x14ac:dyDescent="0.3">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6" x14ac:dyDescent="0.3">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6" x14ac:dyDescent="0.3">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6" x14ac:dyDescent="0.3">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6" x14ac:dyDescent="0.3">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6" x14ac:dyDescent="0.3">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0.799999999999997" x14ac:dyDescent="0.3">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6" x14ac:dyDescent="0.3">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6" x14ac:dyDescent="0.3">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6" x14ac:dyDescent="0.3">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6" x14ac:dyDescent="0.3">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0.799999999999997" x14ac:dyDescent="0.3">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0.799999999999997" x14ac:dyDescent="0.3">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0.799999999999997" x14ac:dyDescent="0.3">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6" x14ac:dyDescent="0.3">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6" x14ac:dyDescent="0.3">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6" x14ac:dyDescent="0.3">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6" x14ac:dyDescent="0.3">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799999999999997" x14ac:dyDescent="0.3">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6" x14ac:dyDescent="0.3">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6" x14ac:dyDescent="0.3">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6" x14ac:dyDescent="0.3">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0.799999999999997" x14ac:dyDescent="0.3">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0.799999999999997" x14ac:dyDescent="0.3">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0.799999999999997" x14ac:dyDescent="0.3">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0.799999999999997" x14ac:dyDescent="0.3">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0.799999999999997" x14ac:dyDescent="0.3">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6" x14ac:dyDescent="0.3">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6" x14ac:dyDescent="0.3">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6" x14ac:dyDescent="0.3">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6" x14ac:dyDescent="0.3">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6" x14ac:dyDescent="0.3">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6" x14ac:dyDescent="0.3">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6" x14ac:dyDescent="0.3">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6" x14ac:dyDescent="0.3">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6" x14ac:dyDescent="0.3">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6" x14ac:dyDescent="0.3">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6" x14ac:dyDescent="0.3">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6" x14ac:dyDescent="0.3">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6" x14ac:dyDescent="0.3">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6" x14ac:dyDescent="0.3">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6" x14ac:dyDescent="0.3">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6" x14ac:dyDescent="0.3">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6" x14ac:dyDescent="0.3">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6" x14ac:dyDescent="0.3">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6" x14ac:dyDescent="0.3">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6" x14ac:dyDescent="0.3">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6" x14ac:dyDescent="0.3">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6" x14ac:dyDescent="0.3">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6" x14ac:dyDescent="0.3">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6" x14ac:dyDescent="0.3">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6" x14ac:dyDescent="0.3">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6" x14ac:dyDescent="0.3">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0.799999999999997" x14ac:dyDescent="0.3">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0.799999999999997" x14ac:dyDescent="0.3">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0.799999999999997" x14ac:dyDescent="0.3">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0.799999999999997" x14ac:dyDescent="0.3">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799999999999997" x14ac:dyDescent="0.3">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799999999999997" x14ac:dyDescent="0.3">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6" x14ac:dyDescent="0.3">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6" x14ac:dyDescent="0.3">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6" x14ac:dyDescent="0.3">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6" x14ac:dyDescent="0.3">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6" x14ac:dyDescent="0.3">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6" x14ac:dyDescent="0.3">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6" x14ac:dyDescent="0.3">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6" x14ac:dyDescent="0.3">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6" x14ac:dyDescent="0.3">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6" x14ac:dyDescent="0.3">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6" x14ac:dyDescent="0.3">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6" x14ac:dyDescent="0.3">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6" x14ac:dyDescent="0.3">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6" x14ac:dyDescent="0.3">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6" x14ac:dyDescent="0.3">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6" x14ac:dyDescent="0.3">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6" x14ac:dyDescent="0.3">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6" x14ac:dyDescent="0.3">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6" x14ac:dyDescent="0.3">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6" x14ac:dyDescent="0.3">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6" x14ac:dyDescent="0.3">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0.799999999999997" x14ac:dyDescent="0.3">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0.799999999999997" x14ac:dyDescent="0.3">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6" x14ac:dyDescent="0.3">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6" x14ac:dyDescent="0.3">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6" x14ac:dyDescent="0.3">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6" x14ac:dyDescent="0.3">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6" x14ac:dyDescent="0.3">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6" x14ac:dyDescent="0.3">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6" x14ac:dyDescent="0.3">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6" x14ac:dyDescent="0.3">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6" x14ac:dyDescent="0.3">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0.799999999999997" x14ac:dyDescent="0.3">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0.799999999999997" x14ac:dyDescent="0.3">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6" x14ac:dyDescent="0.3">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6" x14ac:dyDescent="0.3">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6" x14ac:dyDescent="0.3">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6" x14ac:dyDescent="0.3">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0.799999999999997" x14ac:dyDescent="0.3">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0.799999999999997" x14ac:dyDescent="0.3">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6" x14ac:dyDescent="0.3">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6" x14ac:dyDescent="0.3">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0.799999999999997" x14ac:dyDescent="0.3">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0.799999999999997" x14ac:dyDescent="0.3">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0.799999999999997" x14ac:dyDescent="0.3">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0.799999999999997" x14ac:dyDescent="0.3">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6" x14ac:dyDescent="0.3">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6" x14ac:dyDescent="0.3">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6" x14ac:dyDescent="0.3">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6" x14ac:dyDescent="0.3">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6" x14ac:dyDescent="0.3">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6" x14ac:dyDescent="0.3">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6" x14ac:dyDescent="0.3">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6" x14ac:dyDescent="0.3">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0.799999999999997" x14ac:dyDescent="0.3">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799999999999997" x14ac:dyDescent="0.3">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799999999999997" x14ac:dyDescent="0.3">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6" x14ac:dyDescent="0.3">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6" x14ac:dyDescent="0.3">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6" x14ac:dyDescent="0.3">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6" x14ac:dyDescent="0.3">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6" x14ac:dyDescent="0.3">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6" x14ac:dyDescent="0.3">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6" x14ac:dyDescent="0.3">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0.799999999999997" x14ac:dyDescent="0.3">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0.799999999999997" x14ac:dyDescent="0.3">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0.799999999999997" x14ac:dyDescent="0.3">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6" x14ac:dyDescent="0.3">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6" x14ac:dyDescent="0.3">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6" x14ac:dyDescent="0.3">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0.799999999999997" x14ac:dyDescent="0.3">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0.799999999999997" x14ac:dyDescent="0.3">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0.799999999999997" x14ac:dyDescent="0.3">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6" x14ac:dyDescent="0.3">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6" x14ac:dyDescent="0.3">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6" x14ac:dyDescent="0.3">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6" x14ac:dyDescent="0.3">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6" x14ac:dyDescent="0.3">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6" x14ac:dyDescent="0.3">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6" x14ac:dyDescent="0.3">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6" x14ac:dyDescent="0.3">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6" x14ac:dyDescent="0.3">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6" x14ac:dyDescent="0.3">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6" x14ac:dyDescent="0.3">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6" x14ac:dyDescent="0.3">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6" x14ac:dyDescent="0.3">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6" x14ac:dyDescent="0.3">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6" x14ac:dyDescent="0.3">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6" x14ac:dyDescent="0.3">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6" x14ac:dyDescent="0.3">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6" x14ac:dyDescent="0.3">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6" x14ac:dyDescent="0.3">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6" x14ac:dyDescent="0.3">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6" x14ac:dyDescent="0.3">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6" x14ac:dyDescent="0.3">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6" x14ac:dyDescent="0.3">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6" x14ac:dyDescent="0.3">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6" x14ac:dyDescent="0.3">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6" x14ac:dyDescent="0.3">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6" x14ac:dyDescent="0.3">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6" x14ac:dyDescent="0.3">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6" x14ac:dyDescent="0.3">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6" x14ac:dyDescent="0.3">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6" x14ac:dyDescent="0.3">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6" x14ac:dyDescent="0.3">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6" x14ac:dyDescent="0.3">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6" x14ac:dyDescent="0.3">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6" x14ac:dyDescent="0.3">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6" x14ac:dyDescent="0.3">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6" x14ac:dyDescent="0.3">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6" x14ac:dyDescent="0.3">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6" x14ac:dyDescent="0.3">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6" x14ac:dyDescent="0.3">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6" x14ac:dyDescent="0.3">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6" x14ac:dyDescent="0.3">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6" x14ac:dyDescent="0.3">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6" x14ac:dyDescent="0.3">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6" x14ac:dyDescent="0.3">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6" x14ac:dyDescent="0.3">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6" x14ac:dyDescent="0.3">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6" x14ac:dyDescent="0.3">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6" x14ac:dyDescent="0.3">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6" x14ac:dyDescent="0.3">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6" x14ac:dyDescent="0.3">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6" x14ac:dyDescent="0.3">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6" x14ac:dyDescent="0.3">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6" x14ac:dyDescent="0.3">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6" x14ac:dyDescent="0.3">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6" x14ac:dyDescent="0.3">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6" x14ac:dyDescent="0.3">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6" x14ac:dyDescent="0.3">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6" x14ac:dyDescent="0.3">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6" x14ac:dyDescent="0.3">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6" x14ac:dyDescent="0.3">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6" x14ac:dyDescent="0.3">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6" x14ac:dyDescent="0.3">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6" x14ac:dyDescent="0.3">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6" x14ac:dyDescent="0.3">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6" x14ac:dyDescent="0.3">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6" x14ac:dyDescent="0.3">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6" x14ac:dyDescent="0.3">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6" x14ac:dyDescent="0.3">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6" x14ac:dyDescent="0.3">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6" x14ac:dyDescent="0.3">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6" x14ac:dyDescent="0.3">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6" x14ac:dyDescent="0.3">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6" x14ac:dyDescent="0.3">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6" x14ac:dyDescent="0.3">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6" x14ac:dyDescent="0.3">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6" x14ac:dyDescent="0.3">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6" x14ac:dyDescent="0.3">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6" x14ac:dyDescent="0.3">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6" x14ac:dyDescent="0.3">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6" x14ac:dyDescent="0.3">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6" x14ac:dyDescent="0.3">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6" x14ac:dyDescent="0.3">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6" x14ac:dyDescent="0.3">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6" x14ac:dyDescent="0.3">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6" x14ac:dyDescent="0.3">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6" x14ac:dyDescent="0.3">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6" x14ac:dyDescent="0.3">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6" x14ac:dyDescent="0.3">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6" x14ac:dyDescent="0.3">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6" x14ac:dyDescent="0.3">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6" x14ac:dyDescent="0.3">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6" x14ac:dyDescent="0.3">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6" x14ac:dyDescent="0.3">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6" x14ac:dyDescent="0.3">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6" x14ac:dyDescent="0.3">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6" x14ac:dyDescent="0.3">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6" x14ac:dyDescent="0.3">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6" x14ac:dyDescent="0.3">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6" x14ac:dyDescent="0.3">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6" x14ac:dyDescent="0.3">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6" x14ac:dyDescent="0.3">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6" x14ac:dyDescent="0.3">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6" x14ac:dyDescent="0.3">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6" x14ac:dyDescent="0.3">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6" x14ac:dyDescent="0.3">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6" x14ac:dyDescent="0.3">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6" x14ac:dyDescent="0.3">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6" x14ac:dyDescent="0.3">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6" x14ac:dyDescent="0.3">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6" x14ac:dyDescent="0.3">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6" x14ac:dyDescent="0.3">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6" x14ac:dyDescent="0.3">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6" x14ac:dyDescent="0.3">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6" x14ac:dyDescent="0.3">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6" x14ac:dyDescent="0.3">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6" x14ac:dyDescent="0.3">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6" x14ac:dyDescent="0.3">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6" x14ac:dyDescent="0.3">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6" x14ac:dyDescent="0.3">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6" x14ac:dyDescent="0.3">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6" x14ac:dyDescent="0.3">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6" x14ac:dyDescent="0.3">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6" x14ac:dyDescent="0.3">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6" x14ac:dyDescent="0.3">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6" x14ac:dyDescent="0.3">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6" x14ac:dyDescent="0.3">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6" x14ac:dyDescent="0.3">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6" x14ac:dyDescent="0.3">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6" x14ac:dyDescent="0.3">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6" x14ac:dyDescent="0.3">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6" x14ac:dyDescent="0.3">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6" x14ac:dyDescent="0.3">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6" x14ac:dyDescent="0.3">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6" x14ac:dyDescent="0.3">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6" x14ac:dyDescent="0.3">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6" x14ac:dyDescent="0.3">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6" x14ac:dyDescent="0.3">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6" x14ac:dyDescent="0.3">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6" x14ac:dyDescent="0.3">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6" x14ac:dyDescent="0.3">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6" x14ac:dyDescent="0.3">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6" x14ac:dyDescent="0.3">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6" x14ac:dyDescent="0.3">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6" x14ac:dyDescent="0.3">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6" x14ac:dyDescent="0.3">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6" x14ac:dyDescent="0.3">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6" x14ac:dyDescent="0.3">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6" x14ac:dyDescent="0.3">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6" x14ac:dyDescent="0.3">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6" x14ac:dyDescent="0.3">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6" x14ac:dyDescent="0.3">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6" x14ac:dyDescent="0.3">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6" x14ac:dyDescent="0.3">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6" x14ac:dyDescent="0.3">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6" x14ac:dyDescent="0.3">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6" x14ac:dyDescent="0.3">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6" x14ac:dyDescent="0.3">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6" x14ac:dyDescent="0.3">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6" x14ac:dyDescent="0.3">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6" x14ac:dyDescent="0.3">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6" x14ac:dyDescent="0.3">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6" x14ac:dyDescent="0.3">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6" x14ac:dyDescent="0.3">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6" x14ac:dyDescent="0.3">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6" x14ac:dyDescent="0.3">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6" x14ac:dyDescent="0.3">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6" x14ac:dyDescent="0.3">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6" x14ac:dyDescent="0.3">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6" x14ac:dyDescent="0.3">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6" x14ac:dyDescent="0.3">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6" x14ac:dyDescent="0.3">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6" x14ac:dyDescent="0.3">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6" x14ac:dyDescent="0.3">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6" x14ac:dyDescent="0.3">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6" x14ac:dyDescent="0.3">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6" x14ac:dyDescent="0.3">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6" x14ac:dyDescent="0.3">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6" x14ac:dyDescent="0.3">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6" x14ac:dyDescent="0.3">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6" x14ac:dyDescent="0.3">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6" x14ac:dyDescent="0.3">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6" x14ac:dyDescent="0.3">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6" x14ac:dyDescent="0.3">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6" x14ac:dyDescent="0.3">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6" x14ac:dyDescent="0.3">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6" x14ac:dyDescent="0.3">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6" x14ac:dyDescent="0.3">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6" x14ac:dyDescent="0.3">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6" x14ac:dyDescent="0.3">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6" x14ac:dyDescent="0.3">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6" x14ac:dyDescent="0.3">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6" x14ac:dyDescent="0.3">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6" x14ac:dyDescent="0.3">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6" x14ac:dyDescent="0.3">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6" x14ac:dyDescent="0.3">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6" x14ac:dyDescent="0.3">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6" x14ac:dyDescent="0.3">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6" x14ac:dyDescent="0.3">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6" x14ac:dyDescent="0.3">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6" x14ac:dyDescent="0.3">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6" x14ac:dyDescent="0.3">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6" x14ac:dyDescent="0.3">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6" x14ac:dyDescent="0.3">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6" x14ac:dyDescent="0.3">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6" x14ac:dyDescent="0.3">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6" x14ac:dyDescent="0.3">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6" x14ac:dyDescent="0.3">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6" x14ac:dyDescent="0.3">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6" x14ac:dyDescent="0.3">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6" x14ac:dyDescent="0.3">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6" x14ac:dyDescent="0.3">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6" x14ac:dyDescent="0.3">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6" x14ac:dyDescent="0.3">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6" x14ac:dyDescent="0.3">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6" x14ac:dyDescent="0.3">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6" x14ac:dyDescent="0.3">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6" x14ac:dyDescent="0.3">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6" x14ac:dyDescent="0.3">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6" x14ac:dyDescent="0.3">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6" x14ac:dyDescent="0.3">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6" x14ac:dyDescent="0.3">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6" x14ac:dyDescent="0.3">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6" x14ac:dyDescent="0.3">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6" x14ac:dyDescent="0.3">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6" x14ac:dyDescent="0.3">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6" x14ac:dyDescent="0.3">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6" x14ac:dyDescent="0.3">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6" x14ac:dyDescent="0.3">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6" x14ac:dyDescent="0.3">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6" x14ac:dyDescent="0.3">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6" x14ac:dyDescent="0.3">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6" x14ac:dyDescent="0.3">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6" x14ac:dyDescent="0.3">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6" x14ac:dyDescent="0.3">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6" x14ac:dyDescent="0.3">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6" x14ac:dyDescent="0.3">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6" x14ac:dyDescent="0.3">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6" x14ac:dyDescent="0.3">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6" x14ac:dyDescent="0.3">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6" x14ac:dyDescent="0.3">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6" x14ac:dyDescent="0.3">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6" x14ac:dyDescent="0.3">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6" x14ac:dyDescent="0.3">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6" x14ac:dyDescent="0.3">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6" x14ac:dyDescent="0.3">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6" x14ac:dyDescent="0.3">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6" x14ac:dyDescent="0.3">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6" x14ac:dyDescent="0.3">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6" x14ac:dyDescent="0.3">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6" x14ac:dyDescent="0.3">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6" x14ac:dyDescent="0.3">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6" x14ac:dyDescent="0.3">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799999999999997" x14ac:dyDescent="0.3">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6" x14ac:dyDescent="0.3">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6" x14ac:dyDescent="0.3">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6" x14ac:dyDescent="0.3">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6" x14ac:dyDescent="0.3">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6" x14ac:dyDescent="0.3">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6" x14ac:dyDescent="0.3">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6" x14ac:dyDescent="0.3">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6" x14ac:dyDescent="0.3">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6" x14ac:dyDescent="0.3">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6" x14ac:dyDescent="0.3">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6" x14ac:dyDescent="0.3">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6" x14ac:dyDescent="0.3">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6" x14ac:dyDescent="0.3">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6" x14ac:dyDescent="0.3">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6" x14ac:dyDescent="0.3">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6" x14ac:dyDescent="0.3">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6" x14ac:dyDescent="0.3">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6" x14ac:dyDescent="0.3">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6" x14ac:dyDescent="0.3">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6" x14ac:dyDescent="0.3">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6" x14ac:dyDescent="0.3">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6" x14ac:dyDescent="0.3">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6" x14ac:dyDescent="0.3">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6" x14ac:dyDescent="0.3">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6" x14ac:dyDescent="0.3">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6" x14ac:dyDescent="0.3">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6" x14ac:dyDescent="0.3">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6" x14ac:dyDescent="0.3">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6" x14ac:dyDescent="0.3">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6" x14ac:dyDescent="0.3">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6" x14ac:dyDescent="0.3">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6" x14ac:dyDescent="0.3">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6" x14ac:dyDescent="0.3">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6" x14ac:dyDescent="0.3">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6" x14ac:dyDescent="0.3">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6" x14ac:dyDescent="0.3">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6" x14ac:dyDescent="0.3">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6" x14ac:dyDescent="0.3">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6" x14ac:dyDescent="0.3">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6" x14ac:dyDescent="0.3">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6" x14ac:dyDescent="0.3">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6" x14ac:dyDescent="0.3">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6" x14ac:dyDescent="0.3">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6" x14ac:dyDescent="0.3">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6" x14ac:dyDescent="0.3">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6" x14ac:dyDescent="0.3">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6" x14ac:dyDescent="0.3">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6" x14ac:dyDescent="0.3">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6" x14ac:dyDescent="0.3">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6" x14ac:dyDescent="0.3">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6" x14ac:dyDescent="0.3">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6" x14ac:dyDescent="0.3">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6" x14ac:dyDescent="0.3">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6" x14ac:dyDescent="0.3">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6" x14ac:dyDescent="0.3">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6" x14ac:dyDescent="0.3">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6" x14ac:dyDescent="0.3">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6" x14ac:dyDescent="0.3">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6" x14ac:dyDescent="0.3">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6" x14ac:dyDescent="0.3">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6" x14ac:dyDescent="0.3">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6" x14ac:dyDescent="0.3">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6" x14ac:dyDescent="0.3">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6" x14ac:dyDescent="0.3">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6" x14ac:dyDescent="0.3">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6" x14ac:dyDescent="0.3">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6" x14ac:dyDescent="0.3">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6" x14ac:dyDescent="0.3">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6" x14ac:dyDescent="0.3">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6" x14ac:dyDescent="0.3">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6" x14ac:dyDescent="0.3">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6" x14ac:dyDescent="0.3">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6" x14ac:dyDescent="0.3">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6" x14ac:dyDescent="0.3">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6" x14ac:dyDescent="0.3">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6" x14ac:dyDescent="0.3">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6" x14ac:dyDescent="0.3">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6" x14ac:dyDescent="0.3">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6" x14ac:dyDescent="0.3">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6" x14ac:dyDescent="0.3">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6" x14ac:dyDescent="0.3">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6" x14ac:dyDescent="0.3">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6" x14ac:dyDescent="0.3">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6" x14ac:dyDescent="0.3">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6" x14ac:dyDescent="0.3">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0.799999999999997" x14ac:dyDescent="0.3">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6" x14ac:dyDescent="0.3">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0.799999999999997" x14ac:dyDescent="0.3">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0.799999999999997" x14ac:dyDescent="0.3">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0.799999999999997" x14ac:dyDescent="0.3">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6" x14ac:dyDescent="0.3">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6" x14ac:dyDescent="0.3">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6" x14ac:dyDescent="0.3">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6" x14ac:dyDescent="0.3">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6" x14ac:dyDescent="0.3">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6" x14ac:dyDescent="0.3">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6" x14ac:dyDescent="0.3">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6" x14ac:dyDescent="0.3">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6" x14ac:dyDescent="0.3">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6" x14ac:dyDescent="0.3">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6" x14ac:dyDescent="0.3">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6" x14ac:dyDescent="0.3">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6" x14ac:dyDescent="0.3">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6" x14ac:dyDescent="0.3">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6" x14ac:dyDescent="0.3">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6" x14ac:dyDescent="0.3">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6" x14ac:dyDescent="0.3">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6" x14ac:dyDescent="0.3">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6" x14ac:dyDescent="0.3">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6" x14ac:dyDescent="0.3">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6" x14ac:dyDescent="0.3">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6" x14ac:dyDescent="0.3">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6" x14ac:dyDescent="0.3">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6" x14ac:dyDescent="0.3">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6" x14ac:dyDescent="0.3">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6" x14ac:dyDescent="0.3">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6" x14ac:dyDescent="0.3">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6" x14ac:dyDescent="0.3">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6" x14ac:dyDescent="0.3">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6" x14ac:dyDescent="0.3">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6" x14ac:dyDescent="0.3">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6" x14ac:dyDescent="0.3">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6" x14ac:dyDescent="0.3">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6" x14ac:dyDescent="0.3">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6" x14ac:dyDescent="0.3">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6" x14ac:dyDescent="0.3">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6" x14ac:dyDescent="0.3">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6" x14ac:dyDescent="0.3">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6" x14ac:dyDescent="0.3">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6" x14ac:dyDescent="0.3">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6" x14ac:dyDescent="0.3">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6" x14ac:dyDescent="0.3">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6" x14ac:dyDescent="0.3">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6" x14ac:dyDescent="0.3">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6" x14ac:dyDescent="0.3">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6" x14ac:dyDescent="0.3">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6" x14ac:dyDescent="0.3">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6" x14ac:dyDescent="0.3">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6" x14ac:dyDescent="0.3">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6" x14ac:dyDescent="0.3">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6" x14ac:dyDescent="0.3">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6" x14ac:dyDescent="0.3">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6" x14ac:dyDescent="0.3">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6" x14ac:dyDescent="0.3">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6" x14ac:dyDescent="0.3">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6" x14ac:dyDescent="0.3">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6" x14ac:dyDescent="0.3">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6" x14ac:dyDescent="0.3">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6" x14ac:dyDescent="0.3">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6" x14ac:dyDescent="0.3">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6" x14ac:dyDescent="0.3">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6" x14ac:dyDescent="0.3">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6" x14ac:dyDescent="0.3">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6" x14ac:dyDescent="0.3">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6" x14ac:dyDescent="0.3">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6" x14ac:dyDescent="0.3">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6" x14ac:dyDescent="0.3">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6" x14ac:dyDescent="0.3">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6" x14ac:dyDescent="0.3">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6" x14ac:dyDescent="0.3">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6" x14ac:dyDescent="0.3">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6" x14ac:dyDescent="0.3">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6" x14ac:dyDescent="0.3">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6" x14ac:dyDescent="0.3">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6" x14ac:dyDescent="0.3">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6" x14ac:dyDescent="0.3">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6" x14ac:dyDescent="0.3">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6" x14ac:dyDescent="0.3">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6" x14ac:dyDescent="0.3">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6" x14ac:dyDescent="0.3">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6" x14ac:dyDescent="0.3">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6" x14ac:dyDescent="0.3">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6" x14ac:dyDescent="0.3">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6" x14ac:dyDescent="0.3">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6" x14ac:dyDescent="0.3">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6" x14ac:dyDescent="0.3">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6" x14ac:dyDescent="0.3">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6" x14ac:dyDescent="0.3">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6" x14ac:dyDescent="0.3">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6" x14ac:dyDescent="0.3">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6" x14ac:dyDescent="0.3">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6" x14ac:dyDescent="0.3">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6" x14ac:dyDescent="0.3">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6" x14ac:dyDescent="0.3">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6" x14ac:dyDescent="0.3">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6" x14ac:dyDescent="0.3">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6" x14ac:dyDescent="0.3">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6" x14ac:dyDescent="0.3">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6" x14ac:dyDescent="0.3">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6" x14ac:dyDescent="0.3">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6" x14ac:dyDescent="0.3">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6" x14ac:dyDescent="0.3">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6" x14ac:dyDescent="0.3">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6" x14ac:dyDescent="0.3">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6" x14ac:dyDescent="0.3">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6" x14ac:dyDescent="0.3">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6" x14ac:dyDescent="0.3">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6" x14ac:dyDescent="0.3">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6" x14ac:dyDescent="0.3">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6" x14ac:dyDescent="0.3">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6" x14ac:dyDescent="0.3">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6" x14ac:dyDescent="0.3">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6" x14ac:dyDescent="0.3">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6" x14ac:dyDescent="0.3">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6" x14ac:dyDescent="0.3">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6" x14ac:dyDescent="0.3">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6" x14ac:dyDescent="0.3">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6" x14ac:dyDescent="0.3">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6" x14ac:dyDescent="0.3">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6" x14ac:dyDescent="0.3">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6" x14ac:dyDescent="0.3">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6" x14ac:dyDescent="0.3">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6" x14ac:dyDescent="0.3">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6" x14ac:dyDescent="0.3">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6" x14ac:dyDescent="0.3">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6" x14ac:dyDescent="0.3">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6" x14ac:dyDescent="0.3">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6" x14ac:dyDescent="0.3">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6" x14ac:dyDescent="0.3">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6" x14ac:dyDescent="0.3">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6" x14ac:dyDescent="0.3">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6" x14ac:dyDescent="0.3">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6" x14ac:dyDescent="0.3">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6" x14ac:dyDescent="0.3">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6" x14ac:dyDescent="0.3">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6" x14ac:dyDescent="0.3">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6" x14ac:dyDescent="0.3">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6" x14ac:dyDescent="0.3">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6" x14ac:dyDescent="0.3">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6" x14ac:dyDescent="0.3">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6" x14ac:dyDescent="0.3">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6" x14ac:dyDescent="0.3">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6" x14ac:dyDescent="0.3">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6" x14ac:dyDescent="0.3">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6" x14ac:dyDescent="0.3">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6" x14ac:dyDescent="0.3">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6" x14ac:dyDescent="0.3">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6" x14ac:dyDescent="0.3">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6" x14ac:dyDescent="0.3">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6" x14ac:dyDescent="0.3">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6" x14ac:dyDescent="0.3">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6" x14ac:dyDescent="0.3">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6" x14ac:dyDescent="0.3">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6" x14ac:dyDescent="0.3">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6" x14ac:dyDescent="0.3">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6" x14ac:dyDescent="0.3">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6" x14ac:dyDescent="0.3">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6" x14ac:dyDescent="0.3">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0.799999999999997" x14ac:dyDescent="0.3">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6" x14ac:dyDescent="0.3">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6" x14ac:dyDescent="0.3">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6" x14ac:dyDescent="0.3">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6" x14ac:dyDescent="0.3">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6" x14ac:dyDescent="0.3">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6" x14ac:dyDescent="0.3">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6" x14ac:dyDescent="0.3">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6" x14ac:dyDescent="0.3">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6" x14ac:dyDescent="0.3">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6" x14ac:dyDescent="0.3">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6" x14ac:dyDescent="0.3">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6" x14ac:dyDescent="0.3">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6" x14ac:dyDescent="0.3">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6" x14ac:dyDescent="0.3">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6" x14ac:dyDescent="0.3">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6" x14ac:dyDescent="0.3">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6" x14ac:dyDescent="0.3">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6" x14ac:dyDescent="0.3">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6" x14ac:dyDescent="0.3">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0.799999999999997" x14ac:dyDescent="0.3">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0.799999999999997" x14ac:dyDescent="0.3">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0.799999999999997" x14ac:dyDescent="0.3">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0.799999999999997" x14ac:dyDescent="0.3">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0.799999999999997" x14ac:dyDescent="0.3">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799999999999997" x14ac:dyDescent="0.3">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799999999999997" x14ac:dyDescent="0.3">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6" x14ac:dyDescent="0.3">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6" x14ac:dyDescent="0.3">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6" x14ac:dyDescent="0.3">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6" x14ac:dyDescent="0.3">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0.799999999999997" x14ac:dyDescent="0.3">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6" x14ac:dyDescent="0.3">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6" x14ac:dyDescent="0.3">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6" x14ac:dyDescent="0.3">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6" x14ac:dyDescent="0.3">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0.799999999999997" x14ac:dyDescent="0.3">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0.799999999999997" x14ac:dyDescent="0.3">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0.799999999999997" x14ac:dyDescent="0.3">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0.799999999999997" x14ac:dyDescent="0.3">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6" x14ac:dyDescent="0.3">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6" x14ac:dyDescent="0.3">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6" x14ac:dyDescent="0.3">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6" x14ac:dyDescent="0.3">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6" x14ac:dyDescent="0.3">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6" x14ac:dyDescent="0.3">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6" x14ac:dyDescent="0.3">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6" x14ac:dyDescent="0.3">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6" x14ac:dyDescent="0.3">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6" x14ac:dyDescent="0.3">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6" x14ac:dyDescent="0.3">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6" x14ac:dyDescent="0.3">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6" x14ac:dyDescent="0.3">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6" x14ac:dyDescent="0.3">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6" x14ac:dyDescent="0.3">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6" x14ac:dyDescent="0.3">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6" x14ac:dyDescent="0.3">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6" x14ac:dyDescent="0.3">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6" x14ac:dyDescent="0.3">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6" x14ac:dyDescent="0.3">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6" x14ac:dyDescent="0.3">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6" x14ac:dyDescent="0.3">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6" x14ac:dyDescent="0.3">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6" x14ac:dyDescent="0.3">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6" x14ac:dyDescent="0.3">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6" x14ac:dyDescent="0.3">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6" x14ac:dyDescent="0.3">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6" x14ac:dyDescent="0.3">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6" x14ac:dyDescent="0.3">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6" x14ac:dyDescent="0.3">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6" x14ac:dyDescent="0.3">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6" x14ac:dyDescent="0.3">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6" x14ac:dyDescent="0.3">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6" x14ac:dyDescent="0.3">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6" x14ac:dyDescent="0.3">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6" x14ac:dyDescent="0.3">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6" x14ac:dyDescent="0.3">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6" x14ac:dyDescent="0.3">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6" x14ac:dyDescent="0.3">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6" x14ac:dyDescent="0.3">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6" x14ac:dyDescent="0.3">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6" x14ac:dyDescent="0.3">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6" x14ac:dyDescent="0.3">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6" x14ac:dyDescent="0.3">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6" x14ac:dyDescent="0.3">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6" x14ac:dyDescent="0.3">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6" x14ac:dyDescent="0.3">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6" x14ac:dyDescent="0.3">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6" x14ac:dyDescent="0.3">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6" x14ac:dyDescent="0.3">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6" x14ac:dyDescent="0.3">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799999999999997" x14ac:dyDescent="0.3">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6" x14ac:dyDescent="0.3">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6" x14ac:dyDescent="0.3">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6" x14ac:dyDescent="0.3">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399999999999999" x14ac:dyDescent="0.3">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799999999999997" x14ac:dyDescent="0.3">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799999999999997" x14ac:dyDescent="0.3">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1" x14ac:dyDescent="0.3">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799999999999997" x14ac:dyDescent="0.3">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799999999999997" x14ac:dyDescent="0.3">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799999999999997" x14ac:dyDescent="0.3">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1" x14ac:dyDescent="0.3">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799999999999997" x14ac:dyDescent="0.3">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799999999999997" x14ac:dyDescent="0.3">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799999999999997" x14ac:dyDescent="0.3">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799999999999997" x14ac:dyDescent="0.3">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1" x14ac:dyDescent="0.3">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799999999999997" x14ac:dyDescent="0.3">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1" x14ac:dyDescent="0.3">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799999999999997" x14ac:dyDescent="0.3">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799999999999997" x14ac:dyDescent="0.3">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799999999999997" x14ac:dyDescent="0.3">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799999999999997" x14ac:dyDescent="0.3">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799999999999997" x14ac:dyDescent="0.3">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799999999999997" x14ac:dyDescent="0.3">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799999999999997" x14ac:dyDescent="0.3">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1" x14ac:dyDescent="0.3">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799999999999997" x14ac:dyDescent="0.3">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1" x14ac:dyDescent="0.3">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6" x14ac:dyDescent="0.3">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799999999999997" x14ac:dyDescent="0.3">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6" x14ac:dyDescent="0.3">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6" x14ac:dyDescent="0.3">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6" x14ac:dyDescent="0.3">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6" x14ac:dyDescent="0.3">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6" x14ac:dyDescent="0.3">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6" x14ac:dyDescent="0.3">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6" x14ac:dyDescent="0.3">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1" x14ac:dyDescent="0.3">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799999999999997" x14ac:dyDescent="0.3">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799999999999997" x14ac:dyDescent="0.3">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1" x14ac:dyDescent="0.3">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1" x14ac:dyDescent="0.3">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1" x14ac:dyDescent="0.3">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6" x14ac:dyDescent="0.3">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1" x14ac:dyDescent="0.3">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6" x14ac:dyDescent="0.3">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6" x14ac:dyDescent="0.3">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1" x14ac:dyDescent="0.3">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1" x14ac:dyDescent="0.3">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799999999999997" x14ac:dyDescent="0.3">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1" x14ac:dyDescent="0.3">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6" x14ac:dyDescent="0.3">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6" x14ac:dyDescent="0.3">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6" x14ac:dyDescent="0.3">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799999999999997" x14ac:dyDescent="0.3">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799999999999997" x14ac:dyDescent="0.3">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6" x14ac:dyDescent="0.3">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6" x14ac:dyDescent="0.3">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1" x14ac:dyDescent="0.3">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6" x14ac:dyDescent="0.3">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6" x14ac:dyDescent="0.3">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6" x14ac:dyDescent="0.3">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799999999999997" x14ac:dyDescent="0.3">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799999999999997" x14ac:dyDescent="0.3">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6" x14ac:dyDescent="0.3">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799999999999997" x14ac:dyDescent="0.3">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799999999999997" x14ac:dyDescent="0.3">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799999999999997" x14ac:dyDescent="0.3">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799999999999997" x14ac:dyDescent="0.3">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799999999999997" x14ac:dyDescent="0.3">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799999999999997" x14ac:dyDescent="0.3">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6" x14ac:dyDescent="0.3">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799999999999997" x14ac:dyDescent="0.3">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6" x14ac:dyDescent="0.3">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799999999999997" x14ac:dyDescent="0.3">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6" x14ac:dyDescent="0.3">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799999999999997" x14ac:dyDescent="0.3">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799999999999997" x14ac:dyDescent="0.3">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0.799999999999997" x14ac:dyDescent="0.3">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799999999999997" x14ac:dyDescent="0.3">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799999999999997" x14ac:dyDescent="0.3">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0.799999999999997" x14ac:dyDescent="0.3">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799999999999997" x14ac:dyDescent="0.3">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6" x14ac:dyDescent="0.3">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0.799999999999997" x14ac:dyDescent="0.3">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6" x14ac:dyDescent="0.3">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0.799999999999997" x14ac:dyDescent="0.3">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799999999999997" x14ac:dyDescent="0.3">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799999999999997" x14ac:dyDescent="0.3">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799999999999997" x14ac:dyDescent="0.3">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799999999999997" x14ac:dyDescent="0.3">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799999999999997" x14ac:dyDescent="0.3">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799999999999997" x14ac:dyDescent="0.3">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799999999999997" x14ac:dyDescent="0.3">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799999999999997" x14ac:dyDescent="0.3">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799999999999997" x14ac:dyDescent="0.3">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799999999999997" x14ac:dyDescent="0.3">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799999999999997" x14ac:dyDescent="0.3">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799999999999997" x14ac:dyDescent="0.3">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6" x14ac:dyDescent="0.3">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799999999999997" x14ac:dyDescent="0.3">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799999999999997" x14ac:dyDescent="0.3">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799999999999997" x14ac:dyDescent="0.3">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0.799999999999997" x14ac:dyDescent="0.3">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799999999999997" x14ac:dyDescent="0.3">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799999999999997" x14ac:dyDescent="0.3">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799999999999997" x14ac:dyDescent="0.3">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799999999999997" x14ac:dyDescent="0.3">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799999999999997" x14ac:dyDescent="0.3">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799999999999997" x14ac:dyDescent="0.3">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799999999999997" x14ac:dyDescent="0.3">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799999999999997" x14ac:dyDescent="0.3">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799999999999997" x14ac:dyDescent="0.3">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0.799999999999997" x14ac:dyDescent="0.3">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799999999999997" x14ac:dyDescent="0.3">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799999999999997" x14ac:dyDescent="0.3">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799999999999997" x14ac:dyDescent="0.3">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799999999999997" x14ac:dyDescent="0.3">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799999999999997" x14ac:dyDescent="0.3">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799999999999997" x14ac:dyDescent="0.3">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799999999999997" x14ac:dyDescent="0.3">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799999999999997" x14ac:dyDescent="0.3">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6" x14ac:dyDescent="0.3">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799999999999997" x14ac:dyDescent="0.3">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799999999999997" x14ac:dyDescent="0.3">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799999999999997" x14ac:dyDescent="0.3">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799999999999997" x14ac:dyDescent="0.3">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1" x14ac:dyDescent="0.3">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799999999999997" x14ac:dyDescent="0.3">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799999999999997" x14ac:dyDescent="0.3">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799999999999997" x14ac:dyDescent="0.3">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799999999999997" x14ac:dyDescent="0.3">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799999999999997" x14ac:dyDescent="0.3">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1" x14ac:dyDescent="0.3">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1" x14ac:dyDescent="0.3">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6" x14ac:dyDescent="0.3">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6" x14ac:dyDescent="0.3">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6" x14ac:dyDescent="0.3">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6" x14ac:dyDescent="0.3">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6" x14ac:dyDescent="0.3">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6" x14ac:dyDescent="0.3">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6" x14ac:dyDescent="0.3">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6" x14ac:dyDescent="0.3">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6" x14ac:dyDescent="0.3">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6" x14ac:dyDescent="0.3">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6" x14ac:dyDescent="0.3">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6" x14ac:dyDescent="0.3">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6" x14ac:dyDescent="0.3">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6" x14ac:dyDescent="0.3">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6" x14ac:dyDescent="0.3">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6" x14ac:dyDescent="0.3">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6" x14ac:dyDescent="0.3">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6" x14ac:dyDescent="0.3">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6" x14ac:dyDescent="0.3">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6" x14ac:dyDescent="0.3">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6" x14ac:dyDescent="0.3">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6" x14ac:dyDescent="0.3">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6" x14ac:dyDescent="0.3">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6" x14ac:dyDescent="0.3">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6" x14ac:dyDescent="0.3">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6" x14ac:dyDescent="0.3">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6" x14ac:dyDescent="0.3">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6" x14ac:dyDescent="0.3">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6" x14ac:dyDescent="0.3">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6" x14ac:dyDescent="0.3">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6" x14ac:dyDescent="0.3">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6" x14ac:dyDescent="0.3">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6" x14ac:dyDescent="0.3">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6" x14ac:dyDescent="0.3">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6" x14ac:dyDescent="0.3">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6" x14ac:dyDescent="0.3">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6" x14ac:dyDescent="0.3">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6" x14ac:dyDescent="0.3">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6" x14ac:dyDescent="0.3">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6" x14ac:dyDescent="0.3">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6" x14ac:dyDescent="0.3">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6" x14ac:dyDescent="0.3">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6" x14ac:dyDescent="0.3">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6" x14ac:dyDescent="0.3">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6" x14ac:dyDescent="0.3">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6" x14ac:dyDescent="0.3">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6" x14ac:dyDescent="0.3">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6" x14ac:dyDescent="0.3">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6" x14ac:dyDescent="0.3">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6" x14ac:dyDescent="0.3">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6" x14ac:dyDescent="0.3">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6" x14ac:dyDescent="0.3">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6" x14ac:dyDescent="0.3">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6" x14ac:dyDescent="0.3">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6" x14ac:dyDescent="0.3">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6" x14ac:dyDescent="0.3">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6" x14ac:dyDescent="0.3">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6" x14ac:dyDescent="0.3">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6" x14ac:dyDescent="0.3">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6" x14ac:dyDescent="0.3">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6" x14ac:dyDescent="0.3">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6" x14ac:dyDescent="0.3">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6" x14ac:dyDescent="0.3">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6" x14ac:dyDescent="0.3">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6" x14ac:dyDescent="0.3">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6" x14ac:dyDescent="0.3">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6" x14ac:dyDescent="0.3">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6" x14ac:dyDescent="0.3">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6" x14ac:dyDescent="0.3">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6" x14ac:dyDescent="0.3">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6" x14ac:dyDescent="0.3">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6" x14ac:dyDescent="0.3">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0.399999999999999" x14ac:dyDescent="0.3">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0.399999999999999" x14ac:dyDescent="0.3">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0.399999999999999" x14ac:dyDescent="0.3">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0.399999999999999" x14ac:dyDescent="0.3">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0.399999999999999" x14ac:dyDescent="0.3">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399999999999999" x14ac:dyDescent="0.3">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399999999999999" x14ac:dyDescent="0.3">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0.399999999999999" x14ac:dyDescent="0.3">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0.399999999999999" x14ac:dyDescent="0.3">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399999999999999" x14ac:dyDescent="0.3">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399999999999999" x14ac:dyDescent="0.3">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399999999999999" x14ac:dyDescent="0.3">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399999999999999" x14ac:dyDescent="0.3">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0.399999999999999" x14ac:dyDescent="0.3">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399999999999999" x14ac:dyDescent="0.3">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399999999999999" x14ac:dyDescent="0.3">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399999999999999" x14ac:dyDescent="0.3">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399999999999999" x14ac:dyDescent="0.3">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399999999999999" x14ac:dyDescent="0.3">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0.399999999999999" x14ac:dyDescent="0.3">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0.399999999999999" x14ac:dyDescent="0.3">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0.399999999999999" x14ac:dyDescent="0.3">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0.399999999999999" x14ac:dyDescent="0.3">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399999999999999" x14ac:dyDescent="0.3">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399999999999999" x14ac:dyDescent="0.3">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399999999999999" x14ac:dyDescent="0.3">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399999999999999" x14ac:dyDescent="0.3">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399999999999999" x14ac:dyDescent="0.3">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399999999999999" x14ac:dyDescent="0.3">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399999999999999" x14ac:dyDescent="0.3">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399999999999999" x14ac:dyDescent="0.3">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399999999999999" x14ac:dyDescent="0.3">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399999999999999" x14ac:dyDescent="0.3">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399999999999999" x14ac:dyDescent="0.3">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399999999999999" x14ac:dyDescent="0.3">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399999999999999" x14ac:dyDescent="0.3">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399999999999999" x14ac:dyDescent="0.3">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399999999999999" x14ac:dyDescent="0.3">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399999999999999" x14ac:dyDescent="0.3">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399999999999999" x14ac:dyDescent="0.3">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399999999999999" x14ac:dyDescent="0.3">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399999999999999" x14ac:dyDescent="0.3">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399999999999999" x14ac:dyDescent="0.3">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399999999999999" x14ac:dyDescent="0.3">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399999999999999" x14ac:dyDescent="0.3">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399999999999999" x14ac:dyDescent="0.3">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399999999999999" x14ac:dyDescent="0.3">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399999999999999" x14ac:dyDescent="0.3">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399999999999999" x14ac:dyDescent="0.3">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399999999999999" x14ac:dyDescent="0.3">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399999999999999" x14ac:dyDescent="0.3">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399999999999999" x14ac:dyDescent="0.3">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399999999999999" x14ac:dyDescent="0.3">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399999999999999" x14ac:dyDescent="0.3">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399999999999999" x14ac:dyDescent="0.3">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399999999999999" x14ac:dyDescent="0.3">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399999999999999" x14ac:dyDescent="0.3">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399999999999999" x14ac:dyDescent="0.3">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399999999999999" x14ac:dyDescent="0.3">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399999999999999" x14ac:dyDescent="0.3">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399999999999999" x14ac:dyDescent="0.3">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399999999999999" x14ac:dyDescent="0.3">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399999999999999" x14ac:dyDescent="0.3">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399999999999999" x14ac:dyDescent="0.3">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399999999999999" x14ac:dyDescent="0.3">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399999999999999" x14ac:dyDescent="0.3">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399999999999999" x14ac:dyDescent="0.3">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399999999999999" x14ac:dyDescent="0.3">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399999999999999" x14ac:dyDescent="0.3">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399999999999999" x14ac:dyDescent="0.3">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399999999999999" x14ac:dyDescent="0.3">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399999999999999" x14ac:dyDescent="0.3">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399999999999999" x14ac:dyDescent="0.3">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399999999999999" x14ac:dyDescent="0.3">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399999999999999" x14ac:dyDescent="0.3">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399999999999999" x14ac:dyDescent="0.3">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399999999999999" x14ac:dyDescent="0.3">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399999999999999" x14ac:dyDescent="0.3">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399999999999999" x14ac:dyDescent="0.3">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399999999999999" x14ac:dyDescent="0.3">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399999999999999" x14ac:dyDescent="0.3">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399999999999999" x14ac:dyDescent="0.3">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399999999999999" x14ac:dyDescent="0.3">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399999999999999" x14ac:dyDescent="0.3">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399999999999999" x14ac:dyDescent="0.3">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399999999999999" x14ac:dyDescent="0.3">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399999999999999" x14ac:dyDescent="0.3">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399999999999999" x14ac:dyDescent="0.3">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399999999999999" x14ac:dyDescent="0.3">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0.399999999999999" x14ac:dyDescent="0.3">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399999999999999" x14ac:dyDescent="0.3">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399999999999999" x14ac:dyDescent="0.3">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399999999999999" x14ac:dyDescent="0.3">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399999999999999" x14ac:dyDescent="0.3">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399999999999999" x14ac:dyDescent="0.3">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399999999999999" x14ac:dyDescent="0.3">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399999999999999" x14ac:dyDescent="0.3">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399999999999999" x14ac:dyDescent="0.3">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399999999999999" x14ac:dyDescent="0.3">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399999999999999" x14ac:dyDescent="0.3">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399999999999999" x14ac:dyDescent="0.3">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399999999999999" x14ac:dyDescent="0.3">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399999999999999" x14ac:dyDescent="0.3">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399999999999999" x14ac:dyDescent="0.3">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399999999999999" x14ac:dyDescent="0.3">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399999999999999" x14ac:dyDescent="0.3">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399999999999999" x14ac:dyDescent="0.3">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399999999999999" x14ac:dyDescent="0.3">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399999999999999" x14ac:dyDescent="0.3">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399999999999999" x14ac:dyDescent="0.3">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399999999999999" x14ac:dyDescent="0.3">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399999999999999" x14ac:dyDescent="0.3">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399999999999999" x14ac:dyDescent="0.3">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399999999999999" x14ac:dyDescent="0.3">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399999999999999" x14ac:dyDescent="0.3">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399999999999999" x14ac:dyDescent="0.3">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399999999999999" x14ac:dyDescent="0.3">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399999999999999" x14ac:dyDescent="0.3">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399999999999999" x14ac:dyDescent="0.3">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399999999999999" x14ac:dyDescent="0.3">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399999999999999" x14ac:dyDescent="0.3">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399999999999999" x14ac:dyDescent="0.3">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399999999999999" x14ac:dyDescent="0.3">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399999999999999" x14ac:dyDescent="0.3">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399999999999999" x14ac:dyDescent="0.3">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399999999999999" x14ac:dyDescent="0.3">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399999999999999" x14ac:dyDescent="0.3">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399999999999999" x14ac:dyDescent="0.3">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399999999999999" x14ac:dyDescent="0.3">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399999999999999" x14ac:dyDescent="0.3">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399999999999999" x14ac:dyDescent="0.3">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399999999999999" x14ac:dyDescent="0.3">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399999999999999" x14ac:dyDescent="0.3">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399999999999999" x14ac:dyDescent="0.3">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399999999999999" x14ac:dyDescent="0.3">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399999999999999" x14ac:dyDescent="0.3">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399999999999999" x14ac:dyDescent="0.3">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399999999999999" x14ac:dyDescent="0.3">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399999999999999" x14ac:dyDescent="0.3">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399999999999999" x14ac:dyDescent="0.3">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399999999999999" x14ac:dyDescent="0.3">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399999999999999" x14ac:dyDescent="0.3">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399999999999999" x14ac:dyDescent="0.3">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399999999999999" x14ac:dyDescent="0.3">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399999999999999" x14ac:dyDescent="0.3">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399999999999999" x14ac:dyDescent="0.3">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399999999999999" x14ac:dyDescent="0.3">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399999999999999" x14ac:dyDescent="0.3">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399999999999999" x14ac:dyDescent="0.3">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399999999999999" x14ac:dyDescent="0.3">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399999999999999" x14ac:dyDescent="0.3">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399999999999999" x14ac:dyDescent="0.3">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399999999999999" x14ac:dyDescent="0.3">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399999999999999" x14ac:dyDescent="0.3">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399999999999999" x14ac:dyDescent="0.3">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399999999999999" x14ac:dyDescent="0.3">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399999999999999" x14ac:dyDescent="0.3">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399999999999999" x14ac:dyDescent="0.3">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399999999999999" x14ac:dyDescent="0.3">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399999999999999" x14ac:dyDescent="0.3">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399999999999999" x14ac:dyDescent="0.3">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399999999999999" x14ac:dyDescent="0.3">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399999999999999" x14ac:dyDescent="0.3">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399999999999999" x14ac:dyDescent="0.3">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399999999999999" x14ac:dyDescent="0.3">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399999999999999" x14ac:dyDescent="0.3">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399999999999999" x14ac:dyDescent="0.3">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399999999999999" x14ac:dyDescent="0.3">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399999999999999" x14ac:dyDescent="0.3">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399999999999999" x14ac:dyDescent="0.3">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399999999999999" x14ac:dyDescent="0.3">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399999999999999" x14ac:dyDescent="0.3">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399999999999999" x14ac:dyDescent="0.3">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399999999999999" x14ac:dyDescent="0.3">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399999999999999" x14ac:dyDescent="0.3">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399999999999999" x14ac:dyDescent="0.3">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399999999999999" x14ac:dyDescent="0.3">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399999999999999" x14ac:dyDescent="0.3">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399999999999999" x14ac:dyDescent="0.3">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399999999999999" x14ac:dyDescent="0.3">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399999999999999" x14ac:dyDescent="0.3">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399999999999999" x14ac:dyDescent="0.3">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399999999999999" x14ac:dyDescent="0.3">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399999999999999" x14ac:dyDescent="0.3">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399999999999999" x14ac:dyDescent="0.3">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399999999999999" x14ac:dyDescent="0.3">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399999999999999" x14ac:dyDescent="0.3">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399999999999999" x14ac:dyDescent="0.3">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399999999999999" x14ac:dyDescent="0.3">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399999999999999" x14ac:dyDescent="0.3">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399999999999999" x14ac:dyDescent="0.3">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399999999999999" x14ac:dyDescent="0.3">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399999999999999" x14ac:dyDescent="0.3">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399999999999999" x14ac:dyDescent="0.3">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399999999999999" x14ac:dyDescent="0.3">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399999999999999" x14ac:dyDescent="0.3">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399999999999999" x14ac:dyDescent="0.3">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399999999999999" x14ac:dyDescent="0.3">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399999999999999" x14ac:dyDescent="0.3">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399999999999999" x14ac:dyDescent="0.3">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399999999999999" x14ac:dyDescent="0.3">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399999999999999" x14ac:dyDescent="0.3">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399999999999999" x14ac:dyDescent="0.3">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399999999999999" x14ac:dyDescent="0.3">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399999999999999" x14ac:dyDescent="0.3">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399999999999999" x14ac:dyDescent="0.3">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399999999999999" x14ac:dyDescent="0.3">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399999999999999" x14ac:dyDescent="0.3">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399999999999999" x14ac:dyDescent="0.3">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399999999999999" x14ac:dyDescent="0.3">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399999999999999" x14ac:dyDescent="0.3">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399999999999999" x14ac:dyDescent="0.3">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399999999999999" x14ac:dyDescent="0.3">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399999999999999" x14ac:dyDescent="0.3">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399999999999999" x14ac:dyDescent="0.3">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399999999999999" x14ac:dyDescent="0.3">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399999999999999" x14ac:dyDescent="0.3">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399999999999999" x14ac:dyDescent="0.3">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399999999999999" x14ac:dyDescent="0.3">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399999999999999" x14ac:dyDescent="0.3">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399999999999999" x14ac:dyDescent="0.3">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399999999999999" x14ac:dyDescent="0.3">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399999999999999" x14ac:dyDescent="0.3">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399999999999999" x14ac:dyDescent="0.3">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399999999999999" x14ac:dyDescent="0.3">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399999999999999" x14ac:dyDescent="0.3">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399999999999999" x14ac:dyDescent="0.3">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399999999999999" x14ac:dyDescent="0.3">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399999999999999" x14ac:dyDescent="0.3">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399999999999999" x14ac:dyDescent="0.3">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399999999999999" x14ac:dyDescent="0.3">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399999999999999" x14ac:dyDescent="0.3">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399999999999999" x14ac:dyDescent="0.3">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399999999999999" x14ac:dyDescent="0.3">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399999999999999" x14ac:dyDescent="0.3">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399999999999999" x14ac:dyDescent="0.3">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399999999999999" x14ac:dyDescent="0.3">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399999999999999" x14ac:dyDescent="0.3">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399999999999999" x14ac:dyDescent="0.3">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399999999999999" x14ac:dyDescent="0.3">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399999999999999" x14ac:dyDescent="0.3">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399999999999999" x14ac:dyDescent="0.3">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399999999999999" x14ac:dyDescent="0.3">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399999999999999" x14ac:dyDescent="0.3">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399999999999999" x14ac:dyDescent="0.3">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399999999999999" x14ac:dyDescent="0.3">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399999999999999" x14ac:dyDescent="0.3">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399999999999999" x14ac:dyDescent="0.3">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399999999999999" x14ac:dyDescent="0.3">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399999999999999" x14ac:dyDescent="0.3">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399999999999999" x14ac:dyDescent="0.3">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399999999999999" x14ac:dyDescent="0.3">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399999999999999" x14ac:dyDescent="0.3">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399999999999999" x14ac:dyDescent="0.3">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399999999999999" x14ac:dyDescent="0.3">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399999999999999" x14ac:dyDescent="0.3">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399999999999999" x14ac:dyDescent="0.3">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399999999999999" x14ac:dyDescent="0.3">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399999999999999" x14ac:dyDescent="0.3">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399999999999999" x14ac:dyDescent="0.3">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399999999999999" x14ac:dyDescent="0.3">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399999999999999" x14ac:dyDescent="0.3">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399999999999999" x14ac:dyDescent="0.3">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399999999999999" x14ac:dyDescent="0.3">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399999999999999" x14ac:dyDescent="0.3">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399999999999999" x14ac:dyDescent="0.3">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399999999999999" x14ac:dyDescent="0.3">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399999999999999" x14ac:dyDescent="0.3">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399999999999999" x14ac:dyDescent="0.3">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399999999999999" x14ac:dyDescent="0.3">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399999999999999" x14ac:dyDescent="0.3">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399999999999999" x14ac:dyDescent="0.3">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399999999999999" x14ac:dyDescent="0.3">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399999999999999" x14ac:dyDescent="0.3">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399999999999999" x14ac:dyDescent="0.3">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399999999999999" x14ac:dyDescent="0.3">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399999999999999" x14ac:dyDescent="0.3">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399999999999999" x14ac:dyDescent="0.3">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399999999999999" x14ac:dyDescent="0.3">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399999999999999" x14ac:dyDescent="0.3">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399999999999999" x14ac:dyDescent="0.3">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399999999999999" x14ac:dyDescent="0.3">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399999999999999" x14ac:dyDescent="0.3">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399999999999999" x14ac:dyDescent="0.3">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399999999999999" x14ac:dyDescent="0.3">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399999999999999" x14ac:dyDescent="0.3">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399999999999999" x14ac:dyDescent="0.3">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399999999999999" x14ac:dyDescent="0.3">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399999999999999" x14ac:dyDescent="0.3">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399999999999999" x14ac:dyDescent="0.3">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399999999999999" x14ac:dyDescent="0.3">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399999999999999" x14ac:dyDescent="0.3">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399999999999999" x14ac:dyDescent="0.3">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399999999999999" x14ac:dyDescent="0.3">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399999999999999" x14ac:dyDescent="0.3">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399999999999999" x14ac:dyDescent="0.3">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399999999999999" x14ac:dyDescent="0.3">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399999999999999" x14ac:dyDescent="0.3">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399999999999999" x14ac:dyDescent="0.3">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399999999999999" x14ac:dyDescent="0.3">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399999999999999" x14ac:dyDescent="0.3">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399999999999999" x14ac:dyDescent="0.3">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399999999999999" x14ac:dyDescent="0.3">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399999999999999" x14ac:dyDescent="0.3">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399999999999999" x14ac:dyDescent="0.3">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399999999999999" x14ac:dyDescent="0.3">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399999999999999" x14ac:dyDescent="0.3">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399999999999999" x14ac:dyDescent="0.3">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399999999999999" x14ac:dyDescent="0.3">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399999999999999" x14ac:dyDescent="0.3">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399999999999999" x14ac:dyDescent="0.3">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399999999999999" x14ac:dyDescent="0.3">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399999999999999" x14ac:dyDescent="0.3">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399999999999999" x14ac:dyDescent="0.3">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399999999999999" x14ac:dyDescent="0.3">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399999999999999" x14ac:dyDescent="0.3">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399999999999999" x14ac:dyDescent="0.3">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399999999999999" x14ac:dyDescent="0.3">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399999999999999" x14ac:dyDescent="0.3">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399999999999999" x14ac:dyDescent="0.3">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399999999999999" x14ac:dyDescent="0.3">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399999999999999" x14ac:dyDescent="0.3">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399999999999999" x14ac:dyDescent="0.3">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399999999999999" x14ac:dyDescent="0.3">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399999999999999" x14ac:dyDescent="0.3">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399999999999999" x14ac:dyDescent="0.3">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399999999999999" x14ac:dyDescent="0.3">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399999999999999" x14ac:dyDescent="0.3">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399999999999999" x14ac:dyDescent="0.3">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399999999999999" x14ac:dyDescent="0.3">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399999999999999" x14ac:dyDescent="0.3">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399999999999999" x14ac:dyDescent="0.3">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399999999999999" x14ac:dyDescent="0.3">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399999999999999" x14ac:dyDescent="0.3">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399999999999999" x14ac:dyDescent="0.3">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399999999999999" x14ac:dyDescent="0.3">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399999999999999" x14ac:dyDescent="0.3">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399999999999999" x14ac:dyDescent="0.3">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399999999999999" x14ac:dyDescent="0.3">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399999999999999" x14ac:dyDescent="0.3">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399999999999999" x14ac:dyDescent="0.3">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399999999999999" x14ac:dyDescent="0.3">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399999999999999" x14ac:dyDescent="0.3">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399999999999999" x14ac:dyDescent="0.3">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399999999999999" x14ac:dyDescent="0.3">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399999999999999" x14ac:dyDescent="0.3">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399999999999999" x14ac:dyDescent="0.3">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399999999999999" x14ac:dyDescent="0.3">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399999999999999" x14ac:dyDescent="0.3">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399999999999999" x14ac:dyDescent="0.3">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399999999999999" x14ac:dyDescent="0.3">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399999999999999" x14ac:dyDescent="0.3">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399999999999999" x14ac:dyDescent="0.3">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399999999999999" x14ac:dyDescent="0.3">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399999999999999" x14ac:dyDescent="0.3">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399999999999999" x14ac:dyDescent="0.3">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399999999999999" x14ac:dyDescent="0.3">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399999999999999" x14ac:dyDescent="0.3">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399999999999999" x14ac:dyDescent="0.3">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399999999999999" x14ac:dyDescent="0.3">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399999999999999" x14ac:dyDescent="0.3">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399999999999999" x14ac:dyDescent="0.3">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399999999999999" x14ac:dyDescent="0.3">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399999999999999" x14ac:dyDescent="0.3">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399999999999999" x14ac:dyDescent="0.3">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399999999999999" x14ac:dyDescent="0.3">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399999999999999" x14ac:dyDescent="0.3">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399999999999999" x14ac:dyDescent="0.3">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399999999999999" x14ac:dyDescent="0.3">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399999999999999" x14ac:dyDescent="0.3">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399999999999999" x14ac:dyDescent="0.3">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399999999999999" x14ac:dyDescent="0.3">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399999999999999" x14ac:dyDescent="0.3">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399999999999999" x14ac:dyDescent="0.3">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399999999999999" x14ac:dyDescent="0.3">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399999999999999" x14ac:dyDescent="0.3">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399999999999999" x14ac:dyDescent="0.3">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399999999999999" x14ac:dyDescent="0.3">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399999999999999" x14ac:dyDescent="0.3">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399999999999999" x14ac:dyDescent="0.3">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399999999999999" x14ac:dyDescent="0.3">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399999999999999" x14ac:dyDescent="0.3">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399999999999999" x14ac:dyDescent="0.3">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399999999999999" x14ac:dyDescent="0.3">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399999999999999" x14ac:dyDescent="0.3">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399999999999999" x14ac:dyDescent="0.3">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399999999999999" x14ac:dyDescent="0.3">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399999999999999" x14ac:dyDescent="0.3">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399999999999999" x14ac:dyDescent="0.3">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399999999999999" x14ac:dyDescent="0.3">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399999999999999" x14ac:dyDescent="0.3">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399999999999999" x14ac:dyDescent="0.3">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399999999999999" x14ac:dyDescent="0.3">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399999999999999" x14ac:dyDescent="0.3">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399999999999999" x14ac:dyDescent="0.3">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399999999999999" x14ac:dyDescent="0.3">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399999999999999" x14ac:dyDescent="0.3">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399999999999999" x14ac:dyDescent="0.3">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399999999999999" x14ac:dyDescent="0.3">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399999999999999" x14ac:dyDescent="0.3">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399999999999999" x14ac:dyDescent="0.3">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399999999999999" x14ac:dyDescent="0.3">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399999999999999" x14ac:dyDescent="0.3">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399999999999999" x14ac:dyDescent="0.3">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399999999999999" x14ac:dyDescent="0.3">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399999999999999" x14ac:dyDescent="0.3">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399999999999999" x14ac:dyDescent="0.3">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399999999999999" x14ac:dyDescent="0.3">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399999999999999" x14ac:dyDescent="0.3">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399999999999999" x14ac:dyDescent="0.3">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399999999999999" x14ac:dyDescent="0.3">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399999999999999" x14ac:dyDescent="0.3">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399999999999999" x14ac:dyDescent="0.3">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399999999999999" x14ac:dyDescent="0.3">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399999999999999" x14ac:dyDescent="0.3">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399999999999999" x14ac:dyDescent="0.3">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399999999999999" x14ac:dyDescent="0.3">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399999999999999" x14ac:dyDescent="0.3">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399999999999999" x14ac:dyDescent="0.3">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399999999999999" x14ac:dyDescent="0.3">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399999999999999" x14ac:dyDescent="0.3">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399999999999999" x14ac:dyDescent="0.3">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399999999999999" x14ac:dyDescent="0.3">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399999999999999" x14ac:dyDescent="0.3">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399999999999999" x14ac:dyDescent="0.3">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399999999999999" x14ac:dyDescent="0.3">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399999999999999" x14ac:dyDescent="0.3">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399999999999999" x14ac:dyDescent="0.3">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399999999999999" x14ac:dyDescent="0.3">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399999999999999" x14ac:dyDescent="0.3">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399999999999999" x14ac:dyDescent="0.3">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399999999999999" x14ac:dyDescent="0.3">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399999999999999" x14ac:dyDescent="0.3">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399999999999999" x14ac:dyDescent="0.3">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399999999999999" x14ac:dyDescent="0.3">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399999999999999" x14ac:dyDescent="0.3">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399999999999999" x14ac:dyDescent="0.3">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399999999999999" x14ac:dyDescent="0.3">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399999999999999" x14ac:dyDescent="0.3">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399999999999999" x14ac:dyDescent="0.3">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399999999999999" x14ac:dyDescent="0.3">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399999999999999" x14ac:dyDescent="0.3">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399999999999999" x14ac:dyDescent="0.3">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399999999999999" x14ac:dyDescent="0.3">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399999999999999" x14ac:dyDescent="0.3">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399999999999999" x14ac:dyDescent="0.3">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399999999999999" x14ac:dyDescent="0.3">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399999999999999" x14ac:dyDescent="0.3">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399999999999999" x14ac:dyDescent="0.3">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399999999999999" x14ac:dyDescent="0.3">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399999999999999" x14ac:dyDescent="0.3">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399999999999999" x14ac:dyDescent="0.3">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399999999999999" x14ac:dyDescent="0.3">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399999999999999" x14ac:dyDescent="0.3">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399999999999999" x14ac:dyDescent="0.3">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399999999999999" x14ac:dyDescent="0.3">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399999999999999" x14ac:dyDescent="0.3">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399999999999999" x14ac:dyDescent="0.3">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399999999999999" x14ac:dyDescent="0.3">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399999999999999" x14ac:dyDescent="0.3">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399999999999999" x14ac:dyDescent="0.3">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399999999999999" x14ac:dyDescent="0.3">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399999999999999" x14ac:dyDescent="0.3">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399999999999999" x14ac:dyDescent="0.3">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399999999999999" x14ac:dyDescent="0.3">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399999999999999" x14ac:dyDescent="0.3">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399999999999999" x14ac:dyDescent="0.3">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399999999999999" x14ac:dyDescent="0.3">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399999999999999" x14ac:dyDescent="0.3">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399999999999999" x14ac:dyDescent="0.3">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399999999999999" x14ac:dyDescent="0.3">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399999999999999" x14ac:dyDescent="0.3">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399999999999999" x14ac:dyDescent="0.3">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399999999999999" x14ac:dyDescent="0.3">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399999999999999" x14ac:dyDescent="0.3">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399999999999999" x14ac:dyDescent="0.3">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399999999999999" x14ac:dyDescent="0.3">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399999999999999" x14ac:dyDescent="0.3">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399999999999999" x14ac:dyDescent="0.3">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399999999999999" x14ac:dyDescent="0.3">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399999999999999" x14ac:dyDescent="0.3">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399999999999999" x14ac:dyDescent="0.3">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399999999999999" x14ac:dyDescent="0.3">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399999999999999" x14ac:dyDescent="0.3">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399999999999999" x14ac:dyDescent="0.3">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399999999999999" x14ac:dyDescent="0.3">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399999999999999" x14ac:dyDescent="0.3">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399999999999999" x14ac:dyDescent="0.3">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399999999999999" x14ac:dyDescent="0.3">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399999999999999" x14ac:dyDescent="0.3">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399999999999999" x14ac:dyDescent="0.3">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399999999999999" x14ac:dyDescent="0.3">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399999999999999" x14ac:dyDescent="0.3">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399999999999999" x14ac:dyDescent="0.3">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399999999999999" x14ac:dyDescent="0.3">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399999999999999" x14ac:dyDescent="0.3">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399999999999999" x14ac:dyDescent="0.3">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399999999999999" x14ac:dyDescent="0.3">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399999999999999" x14ac:dyDescent="0.3">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399999999999999" x14ac:dyDescent="0.3">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399999999999999" x14ac:dyDescent="0.3">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399999999999999" x14ac:dyDescent="0.3">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399999999999999" x14ac:dyDescent="0.3">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399999999999999" x14ac:dyDescent="0.3">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399999999999999" x14ac:dyDescent="0.3">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399999999999999" x14ac:dyDescent="0.3">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399999999999999" x14ac:dyDescent="0.3">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399999999999999" x14ac:dyDescent="0.3">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399999999999999" x14ac:dyDescent="0.3">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399999999999999" x14ac:dyDescent="0.3">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399999999999999" x14ac:dyDescent="0.3">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399999999999999" x14ac:dyDescent="0.3">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399999999999999" x14ac:dyDescent="0.3">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399999999999999" x14ac:dyDescent="0.3">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399999999999999" x14ac:dyDescent="0.3">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399999999999999" x14ac:dyDescent="0.3">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399999999999999" x14ac:dyDescent="0.3">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399999999999999" x14ac:dyDescent="0.3">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399999999999999" x14ac:dyDescent="0.3">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399999999999999" x14ac:dyDescent="0.3">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399999999999999" x14ac:dyDescent="0.3">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399999999999999" x14ac:dyDescent="0.3">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399999999999999" x14ac:dyDescent="0.3">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399999999999999" x14ac:dyDescent="0.3">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399999999999999" x14ac:dyDescent="0.3">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399999999999999" x14ac:dyDescent="0.3">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399999999999999" x14ac:dyDescent="0.3">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399999999999999" x14ac:dyDescent="0.3">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399999999999999" x14ac:dyDescent="0.3">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399999999999999" x14ac:dyDescent="0.3">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399999999999999" x14ac:dyDescent="0.3">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399999999999999" x14ac:dyDescent="0.3">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399999999999999" x14ac:dyDescent="0.3">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399999999999999" x14ac:dyDescent="0.3">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399999999999999" x14ac:dyDescent="0.3">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399999999999999" x14ac:dyDescent="0.3">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399999999999999" x14ac:dyDescent="0.3">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399999999999999" x14ac:dyDescent="0.3">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399999999999999" x14ac:dyDescent="0.3">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399999999999999" x14ac:dyDescent="0.3">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399999999999999" x14ac:dyDescent="0.3">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399999999999999" x14ac:dyDescent="0.3">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399999999999999" x14ac:dyDescent="0.3">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399999999999999" x14ac:dyDescent="0.3">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399999999999999" x14ac:dyDescent="0.3">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399999999999999" x14ac:dyDescent="0.3">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399999999999999" x14ac:dyDescent="0.3">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399999999999999" x14ac:dyDescent="0.3">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399999999999999" x14ac:dyDescent="0.3">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399999999999999" x14ac:dyDescent="0.3">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399999999999999" x14ac:dyDescent="0.3">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399999999999999" x14ac:dyDescent="0.3">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399999999999999" x14ac:dyDescent="0.3">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399999999999999" x14ac:dyDescent="0.3">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399999999999999" x14ac:dyDescent="0.3">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399999999999999" x14ac:dyDescent="0.3">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399999999999999" x14ac:dyDescent="0.3">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399999999999999" x14ac:dyDescent="0.3">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399999999999999" x14ac:dyDescent="0.3">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399999999999999" x14ac:dyDescent="0.3">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399999999999999" x14ac:dyDescent="0.3">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399999999999999" x14ac:dyDescent="0.3">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399999999999999" x14ac:dyDescent="0.3">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399999999999999" x14ac:dyDescent="0.3">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399999999999999" x14ac:dyDescent="0.3">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399999999999999" x14ac:dyDescent="0.3">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399999999999999" x14ac:dyDescent="0.3">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399999999999999" x14ac:dyDescent="0.3">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399999999999999" x14ac:dyDescent="0.3">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399999999999999" x14ac:dyDescent="0.3">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399999999999999" x14ac:dyDescent="0.3">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399999999999999" x14ac:dyDescent="0.3">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399999999999999" x14ac:dyDescent="0.3">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399999999999999" x14ac:dyDescent="0.3">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399999999999999" x14ac:dyDescent="0.3">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399999999999999" x14ac:dyDescent="0.3">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399999999999999" x14ac:dyDescent="0.3">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399999999999999" x14ac:dyDescent="0.3">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399999999999999" x14ac:dyDescent="0.3">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399999999999999" x14ac:dyDescent="0.3">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399999999999999" x14ac:dyDescent="0.3">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399999999999999" x14ac:dyDescent="0.3">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399999999999999" x14ac:dyDescent="0.3">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399999999999999" x14ac:dyDescent="0.3">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399999999999999" x14ac:dyDescent="0.3">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399999999999999" x14ac:dyDescent="0.3">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399999999999999" x14ac:dyDescent="0.3">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399999999999999" x14ac:dyDescent="0.3">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399999999999999" x14ac:dyDescent="0.3">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399999999999999" x14ac:dyDescent="0.3">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399999999999999" x14ac:dyDescent="0.3">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399999999999999" x14ac:dyDescent="0.3">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399999999999999" x14ac:dyDescent="0.3">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399999999999999" x14ac:dyDescent="0.3">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399999999999999" x14ac:dyDescent="0.3">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399999999999999" x14ac:dyDescent="0.3">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399999999999999" x14ac:dyDescent="0.3">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399999999999999" x14ac:dyDescent="0.3">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399999999999999" x14ac:dyDescent="0.3">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399999999999999" x14ac:dyDescent="0.3">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399999999999999" x14ac:dyDescent="0.3">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399999999999999" x14ac:dyDescent="0.3">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399999999999999" x14ac:dyDescent="0.3">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399999999999999" x14ac:dyDescent="0.3">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399999999999999" x14ac:dyDescent="0.3">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399999999999999" x14ac:dyDescent="0.3">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399999999999999" x14ac:dyDescent="0.3">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399999999999999" x14ac:dyDescent="0.3">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399999999999999" x14ac:dyDescent="0.3">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399999999999999" x14ac:dyDescent="0.3">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399999999999999" x14ac:dyDescent="0.3">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399999999999999" x14ac:dyDescent="0.3">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399999999999999" x14ac:dyDescent="0.3">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399999999999999" x14ac:dyDescent="0.3">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399999999999999" x14ac:dyDescent="0.3">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399999999999999" x14ac:dyDescent="0.3">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399999999999999" x14ac:dyDescent="0.3">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399999999999999" x14ac:dyDescent="0.3">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399999999999999" x14ac:dyDescent="0.3">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399999999999999" x14ac:dyDescent="0.3">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399999999999999" x14ac:dyDescent="0.3">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399999999999999" x14ac:dyDescent="0.3">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399999999999999" x14ac:dyDescent="0.3">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399999999999999" x14ac:dyDescent="0.3">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399999999999999" x14ac:dyDescent="0.3">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399999999999999" x14ac:dyDescent="0.3">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399999999999999" x14ac:dyDescent="0.3">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399999999999999" x14ac:dyDescent="0.3">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399999999999999" x14ac:dyDescent="0.3">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399999999999999" x14ac:dyDescent="0.3">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399999999999999" x14ac:dyDescent="0.3">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399999999999999" x14ac:dyDescent="0.3">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399999999999999" x14ac:dyDescent="0.3">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399999999999999" x14ac:dyDescent="0.3">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399999999999999" x14ac:dyDescent="0.3">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399999999999999" x14ac:dyDescent="0.3">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399999999999999" x14ac:dyDescent="0.3">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399999999999999" x14ac:dyDescent="0.3">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399999999999999" x14ac:dyDescent="0.3">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399999999999999" x14ac:dyDescent="0.3">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399999999999999" x14ac:dyDescent="0.3">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399999999999999" x14ac:dyDescent="0.3">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399999999999999" x14ac:dyDescent="0.3">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399999999999999" x14ac:dyDescent="0.3">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399999999999999" x14ac:dyDescent="0.3">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399999999999999" x14ac:dyDescent="0.3">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399999999999999" x14ac:dyDescent="0.3">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399999999999999" x14ac:dyDescent="0.3">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399999999999999" x14ac:dyDescent="0.3">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399999999999999" x14ac:dyDescent="0.3">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399999999999999" x14ac:dyDescent="0.3">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399999999999999" x14ac:dyDescent="0.3">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399999999999999" x14ac:dyDescent="0.3">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399999999999999" x14ac:dyDescent="0.3">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399999999999999" x14ac:dyDescent="0.3">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399999999999999" x14ac:dyDescent="0.3">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399999999999999" x14ac:dyDescent="0.3">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399999999999999" x14ac:dyDescent="0.3">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399999999999999" x14ac:dyDescent="0.3">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399999999999999" x14ac:dyDescent="0.3">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399999999999999" x14ac:dyDescent="0.3">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399999999999999" x14ac:dyDescent="0.3">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399999999999999" x14ac:dyDescent="0.3">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399999999999999" x14ac:dyDescent="0.3">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399999999999999" x14ac:dyDescent="0.3">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399999999999999" x14ac:dyDescent="0.3">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399999999999999" x14ac:dyDescent="0.3">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399999999999999" x14ac:dyDescent="0.3">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399999999999999" x14ac:dyDescent="0.3">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399999999999999" x14ac:dyDescent="0.3">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399999999999999" x14ac:dyDescent="0.3">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399999999999999" x14ac:dyDescent="0.3">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399999999999999" x14ac:dyDescent="0.3">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399999999999999" x14ac:dyDescent="0.3">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399999999999999" x14ac:dyDescent="0.3">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399999999999999" x14ac:dyDescent="0.3">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399999999999999" x14ac:dyDescent="0.3">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399999999999999" x14ac:dyDescent="0.3">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399999999999999" x14ac:dyDescent="0.3">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399999999999999" x14ac:dyDescent="0.3">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399999999999999" x14ac:dyDescent="0.3">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399999999999999" x14ac:dyDescent="0.3">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399999999999999" x14ac:dyDescent="0.3">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399999999999999" x14ac:dyDescent="0.3">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399999999999999" x14ac:dyDescent="0.3">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399999999999999" x14ac:dyDescent="0.3">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399999999999999" x14ac:dyDescent="0.3">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399999999999999" x14ac:dyDescent="0.3">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399999999999999" x14ac:dyDescent="0.3">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399999999999999" x14ac:dyDescent="0.3">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399999999999999" x14ac:dyDescent="0.3">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399999999999999" x14ac:dyDescent="0.3">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399999999999999" x14ac:dyDescent="0.3">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399999999999999" x14ac:dyDescent="0.3">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399999999999999" x14ac:dyDescent="0.3">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399999999999999" x14ac:dyDescent="0.3">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399999999999999" x14ac:dyDescent="0.3">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399999999999999" x14ac:dyDescent="0.3">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399999999999999" x14ac:dyDescent="0.3">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399999999999999" x14ac:dyDescent="0.3">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399999999999999" x14ac:dyDescent="0.3">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399999999999999" x14ac:dyDescent="0.3">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399999999999999" x14ac:dyDescent="0.3">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399999999999999" x14ac:dyDescent="0.3">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399999999999999" x14ac:dyDescent="0.3">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399999999999999" x14ac:dyDescent="0.3">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399999999999999" x14ac:dyDescent="0.3">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399999999999999" x14ac:dyDescent="0.3">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399999999999999" x14ac:dyDescent="0.3">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399999999999999" x14ac:dyDescent="0.3">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399999999999999" x14ac:dyDescent="0.3">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399999999999999" x14ac:dyDescent="0.3">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399999999999999" x14ac:dyDescent="0.3">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399999999999999" x14ac:dyDescent="0.3">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399999999999999" x14ac:dyDescent="0.3">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399999999999999" x14ac:dyDescent="0.3">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399999999999999" x14ac:dyDescent="0.3">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399999999999999" x14ac:dyDescent="0.3">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399999999999999" x14ac:dyDescent="0.3">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399999999999999" x14ac:dyDescent="0.3">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399999999999999" x14ac:dyDescent="0.3">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399999999999999" x14ac:dyDescent="0.3">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399999999999999" x14ac:dyDescent="0.3">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399999999999999" x14ac:dyDescent="0.3">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399999999999999" x14ac:dyDescent="0.3">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399999999999999" x14ac:dyDescent="0.3">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399999999999999" x14ac:dyDescent="0.3">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399999999999999" x14ac:dyDescent="0.3">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0.399999999999999" x14ac:dyDescent="0.3">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399999999999999" x14ac:dyDescent="0.3">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399999999999999" x14ac:dyDescent="0.3">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399999999999999" x14ac:dyDescent="0.3">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399999999999999" x14ac:dyDescent="0.3">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399999999999999" x14ac:dyDescent="0.3">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399999999999999" x14ac:dyDescent="0.3">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399999999999999" x14ac:dyDescent="0.3">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399999999999999" x14ac:dyDescent="0.3">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399999999999999" x14ac:dyDescent="0.3">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399999999999999" x14ac:dyDescent="0.3">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399999999999999" x14ac:dyDescent="0.3">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399999999999999" x14ac:dyDescent="0.3">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399999999999999" x14ac:dyDescent="0.3">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399999999999999" x14ac:dyDescent="0.3">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399999999999999" x14ac:dyDescent="0.3">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399999999999999" x14ac:dyDescent="0.3">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399999999999999" x14ac:dyDescent="0.3">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399999999999999" x14ac:dyDescent="0.3">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399999999999999" x14ac:dyDescent="0.3">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399999999999999" x14ac:dyDescent="0.3">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399999999999999" x14ac:dyDescent="0.3">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399999999999999" x14ac:dyDescent="0.3">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399999999999999" x14ac:dyDescent="0.3">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399999999999999" x14ac:dyDescent="0.3">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399999999999999" x14ac:dyDescent="0.3">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399999999999999" x14ac:dyDescent="0.3">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399999999999999" x14ac:dyDescent="0.3">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399999999999999" x14ac:dyDescent="0.3">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399999999999999" x14ac:dyDescent="0.3">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399999999999999" x14ac:dyDescent="0.3">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399999999999999" x14ac:dyDescent="0.3">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399999999999999" x14ac:dyDescent="0.3">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0.399999999999999" x14ac:dyDescent="0.3">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399999999999999" x14ac:dyDescent="0.3">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399999999999999" x14ac:dyDescent="0.3">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399999999999999" x14ac:dyDescent="0.3">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399999999999999" x14ac:dyDescent="0.3">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399999999999999" x14ac:dyDescent="0.3">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399999999999999" x14ac:dyDescent="0.3">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0.399999999999999" x14ac:dyDescent="0.3">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399999999999999" x14ac:dyDescent="0.3">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399999999999999" x14ac:dyDescent="0.3">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399999999999999" x14ac:dyDescent="0.3">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399999999999999" x14ac:dyDescent="0.3">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399999999999999" x14ac:dyDescent="0.3">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399999999999999" x14ac:dyDescent="0.3">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399999999999999" x14ac:dyDescent="0.3">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399999999999999" x14ac:dyDescent="0.3">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399999999999999" x14ac:dyDescent="0.3">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399999999999999" x14ac:dyDescent="0.3">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399999999999999" x14ac:dyDescent="0.3">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399999999999999" x14ac:dyDescent="0.3">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399999999999999" x14ac:dyDescent="0.3">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399999999999999" x14ac:dyDescent="0.3">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399999999999999" x14ac:dyDescent="0.3">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399999999999999" x14ac:dyDescent="0.3">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399999999999999" x14ac:dyDescent="0.3">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399999999999999" x14ac:dyDescent="0.3">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399999999999999" x14ac:dyDescent="0.3">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399999999999999" x14ac:dyDescent="0.3">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399999999999999" x14ac:dyDescent="0.3">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399999999999999" x14ac:dyDescent="0.3">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399999999999999" x14ac:dyDescent="0.3">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399999999999999" x14ac:dyDescent="0.3">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399999999999999" x14ac:dyDescent="0.3">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399999999999999" x14ac:dyDescent="0.3">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399999999999999" x14ac:dyDescent="0.3">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399999999999999" x14ac:dyDescent="0.3">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399999999999999" x14ac:dyDescent="0.3">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399999999999999" x14ac:dyDescent="0.3">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399999999999999" x14ac:dyDescent="0.3">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399999999999999" x14ac:dyDescent="0.3">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399999999999999" x14ac:dyDescent="0.3">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399999999999999" x14ac:dyDescent="0.3">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399999999999999" x14ac:dyDescent="0.3">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399999999999999" x14ac:dyDescent="0.3">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399999999999999" x14ac:dyDescent="0.3">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0.399999999999999" x14ac:dyDescent="0.3">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399999999999999" x14ac:dyDescent="0.3">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399999999999999" x14ac:dyDescent="0.3">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399999999999999" x14ac:dyDescent="0.3">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399999999999999" x14ac:dyDescent="0.3">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399999999999999" x14ac:dyDescent="0.3">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399999999999999" x14ac:dyDescent="0.3">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0.399999999999999" x14ac:dyDescent="0.3">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399999999999999" x14ac:dyDescent="0.3">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399999999999999" x14ac:dyDescent="0.3">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399999999999999" x14ac:dyDescent="0.3">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399999999999999" x14ac:dyDescent="0.3">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399999999999999" x14ac:dyDescent="0.3">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399999999999999" x14ac:dyDescent="0.3">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399999999999999" x14ac:dyDescent="0.3">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399999999999999" x14ac:dyDescent="0.3">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399999999999999" x14ac:dyDescent="0.3">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399999999999999" x14ac:dyDescent="0.3">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399999999999999" x14ac:dyDescent="0.3">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399999999999999" x14ac:dyDescent="0.3">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399999999999999" x14ac:dyDescent="0.3">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399999999999999" x14ac:dyDescent="0.3">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399999999999999" x14ac:dyDescent="0.3">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399999999999999" x14ac:dyDescent="0.3">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399999999999999" x14ac:dyDescent="0.3">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399999999999999" x14ac:dyDescent="0.3">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399999999999999" x14ac:dyDescent="0.3">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399999999999999" x14ac:dyDescent="0.3">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399999999999999" x14ac:dyDescent="0.3">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399999999999999" x14ac:dyDescent="0.3">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399999999999999" x14ac:dyDescent="0.3">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399999999999999" x14ac:dyDescent="0.3">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399999999999999" x14ac:dyDescent="0.3">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399999999999999" x14ac:dyDescent="0.3">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399999999999999" x14ac:dyDescent="0.3">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399999999999999" x14ac:dyDescent="0.3">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399999999999999" x14ac:dyDescent="0.3">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399999999999999" x14ac:dyDescent="0.3">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399999999999999" x14ac:dyDescent="0.3">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399999999999999" x14ac:dyDescent="0.3">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399999999999999" x14ac:dyDescent="0.3">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399999999999999" x14ac:dyDescent="0.3">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399999999999999" x14ac:dyDescent="0.3">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399999999999999" x14ac:dyDescent="0.3">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399999999999999" x14ac:dyDescent="0.3">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399999999999999" x14ac:dyDescent="0.3">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399999999999999" x14ac:dyDescent="0.3">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399999999999999" x14ac:dyDescent="0.3">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399999999999999" x14ac:dyDescent="0.3">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399999999999999" x14ac:dyDescent="0.3">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399999999999999" x14ac:dyDescent="0.3">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399999999999999" x14ac:dyDescent="0.3">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399999999999999" x14ac:dyDescent="0.3">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399999999999999" x14ac:dyDescent="0.3">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399999999999999" x14ac:dyDescent="0.3">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399999999999999" x14ac:dyDescent="0.3">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399999999999999" x14ac:dyDescent="0.3">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399999999999999" x14ac:dyDescent="0.3">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399999999999999" x14ac:dyDescent="0.3">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399999999999999" x14ac:dyDescent="0.3">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399999999999999" x14ac:dyDescent="0.3">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399999999999999" x14ac:dyDescent="0.3">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399999999999999" x14ac:dyDescent="0.3">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399999999999999" x14ac:dyDescent="0.3">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399999999999999" x14ac:dyDescent="0.3">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399999999999999" x14ac:dyDescent="0.3">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399999999999999" x14ac:dyDescent="0.3">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399999999999999" x14ac:dyDescent="0.3">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399999999999999" x14ac:dyDescent="0.3">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399999999999999" x14ac:dyDescent="0.3">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399999999999999" x14ac:dyDescent="0.3">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399999999999999" x14ac:dyDescent="0.3">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399999999999999" x14ac:dyDescent="0.3">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399999999999999" x14ac:dyDescent="0.3">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399999999999999" x14ac:dyDescent="0.3">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399999999999999" x14ac:dyDescent="0.3">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399999999999999" x14ac:dyDescent="0.3">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399999999999999" x14ac:dyDescent="0.3">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399999999999999" x14ac:dyDescent="0.3">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399999999999999" x14ac:dyDescent="0.3">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399999999999999" x14ac:dyDescent="0.3">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399999999999999" x14ac:dyDescent="0.3">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399999999999999" x14ac:dyDescent="0.3">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399999999999999" x14ac:dyDescent="0.3">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399999999999999" x14ac:dyDescent="0.3">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399999999999999" x14ac:dyDescent="0.3">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399999999999999" x14ac:dyDescent="0.3">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399999999999999" x14ac:dyDescent="0.3">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399999999999999" x14ac:dyDescent="0.3">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399999999999999" x14ac:dyDescent="0.3">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399999999999999" x14ac:dyDescent="0.3">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399999999999999" x14ac:dyDescent="0.3">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399999999999999" x14ac:dyDescent="0.3">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399999999999999" x14ac:dyDescent="0.3">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399999999999999" x14ac:dyDescent="0.3">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399999999999999" x14ac:dyDescent="0.3">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399999999999999" x14ac:dyDescent="0.3">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399999999999999" x14ac:dyDescent="0.3">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399999999999999" x14ac:dyDescent="0.3">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399999999999999" x14ac:dyDescent="0.3">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399999999999999" x14ac:dyDescent="0.3">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399999999999999" x14ac:dyDescent="0.3">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399999999999999" x14ac:dyDescent="0.3">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399999999999999" x14ac:dyDescent="0.3">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399999999999999" x14ac:dyDescent="0.3">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399999999999999" x14ac:dyDescent="0.3">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399999999999999" x14ac:dyDescent="0.3">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399999999999999" x14ac:dyDescent="0.3">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399999999999999" x14ac:dyDescent="0.3">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399999999999999" x14ac:dyDescent="0.3">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399999999999999" x14ac:dyDescent="0.3">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399999999999999" x14ac:dyDescent="0.3">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399999999999999" x14ac:dyDescent="0.3">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399999999999999" x14ac:dyDescent="0.3">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399999999999999" x14ac:dyDescent="0.3">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399999999999999" x14ac:dyDescent="0.3">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399999999999999" x14ac:dyDescent="0.3">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399999999999999" x14ac:dyDescent="0.3">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399999999999999" x14ac:dyDescent="0.3">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399999999999999" x14ac:dyDescent="0.3">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399999999999999" x14ac:dyDescent="0.3">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399999999999999" x14ac:dyDescent="0.3">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399999999999999" x14ac:dyDescent="0.3">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399999999999999" x14ac:dyDescent="0.3">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399999999999999" x14ac:dyDescent="0.3">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399999999999999" x14ac:dyDescent="0.3">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399999999999999" x14ac:dyDescent="0.3">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399999999999999" x14ac:dyDescent="0.3">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399999999999999" x14ac:dyDescent="0.3">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399999999999999" x14ac:dyDescent="0.3">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399999999999999" x14ac:dyDescent="0.3">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399999999999999" x14ac:dyDescent="0.3">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399999999999999" x14ac:dyDescent="0.3">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399999999999999" x14ac:dyDescent="0.3">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399999999999999" x14ac:dyDescent="0.3">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399999999999999" x14ac:dyDescent="0.3">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399999999999999" x14ac:dyDescent="0.3">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399999999999999" x14ac:dyDescent="0.3">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399999999999999" x14ac:dyDescent="0.3">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399999999999999" x14ac:dyDescent="0.3">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399999999999999" x14ac:dyDescent="0.3">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399999999999999" x14ac:dyDescent="0.3">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399999999999999" x14ac:dyDescent="0.3">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399999999999999" x14ac:dyDescent="0.3">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399999999999999" x14ac:dyDescent="0.3">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399999999999999" x14ac:dyDescent="0.3">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399999999999999" x14ac:dyDescent="0.3">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399999999999999" x14ac:dyDescent="0.3">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399999999999999" x14ac:dyDescent="0.3">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399999999999999" x14ac:dyDescent="0.3">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399999999999999" x14ac:dyDescent="0.3">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399999999999999" x14ac:dyDescent="0.3">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399999999999999" x14ac:dyDescent="0.3">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399999999999999" x14ac:dyDescent="0.3">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399999999999999" x14ac:dyDescent="0.3">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399999999999999" x14ac:dyDescent="0.3">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399999999999999" x14ac:dyDescent="0.3">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399999999999999" x14ac:dyDescent="0.3">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399999999999999" x14ac:dyDescent="0.3">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399999999999999" x14ac:dyDescent="0.3">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399999999999999" x14ac:dyDescent="0.3">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399999999999999" x14ac:dyDescent="0.3">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399999999999999" x14ac:dyDescent="0.3">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399999999999999" x14ac:dyDescent="0.3">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399999999999999" x14ac:dyDescent="0.3">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399999999999999" x14ac:dyDescent="0.3">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399999999999999" x14ac:dyDescent="0.3">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399999999999999" x14ac:dyDescent="0.3">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399999999999999" x14ac:dyDescent="0.3">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399999999999999" x14ac:dyDescent="0.3">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399999999999999" x14ac:dyDescent="0.3">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399999999999999" x14ac:dyDescent="0.3">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399999999999999" x14ac:dyDescent="0.3">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399999999999999" x14ac:dyDescent="0.3">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399999999999999" x14ac:dyDescent="0.3">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399999999999999" x14ac:dyDescent="0.3">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399999999999999" x14ac:dyDescent="0.3">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399999999999999" x14ac:dyDescent="0.3">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399999999999999" x14ac:dyDescent="0.3">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399999999999999" x14ac:dyDescent="0.3">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399999999999999" x14ac:dyDescent="0.3">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399999999999999" x14ac:dyDescent="0.3">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399999999999999" x14ac:dyDescent="0.3">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399999999999999" x14ac:dyDescent="0.3">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399999999999999" x14ac:dyDescent="0.3">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399999999999999" x14ac:dyDescent="0.3">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399999999999999" x14ac:dyDescent="0.3">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399999999999999" x14ac:dyDescent="0.3">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399999999999999" x14ac:dyDescent="0.3">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399999999999999" x14ac:dyDescent="0.3">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399999999999999" x14ac:dyDescent="0.3">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399999999999999" x14ac:dyDescent="0.3">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399999999999999" x14ac:dyDescent="0.3">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399999999999999" x14ac:dyDescent="0.3">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399999999999999" x14ac:dyDescent="0.3">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399999999999999" x14ac:dyDescent="0.3">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399999999999999" x14ac:dyDescent="0.3">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399999999999999" x14ac:dyDescent="0.3">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399999999999999" x14ac:dyDescent="0.3">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399999999999999" x14ac:dyDescent="0.3">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399999999999999" x14ac:dyDescent="0.3">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399999999999999" x14ac:dyDescent="0.3">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399999999999999" x14ac:dyDescent="0.3">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399999999999999" x14ac:dyDescent="0.3">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399999999999999" x14ac:dyDescent="0.3">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399999999999999" x14ac:dyDescent="0.3">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399999999999999" x14ac:dyDescent="0.3">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399999999999999" x14ac:dyDescent="0.3">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399999999999999" x14ac:dyDescent="0.3">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399999999999999" x14ac:dyDescent="0.3">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399999999999999" x14ac:dyDescent="0.3">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399999999999999" x14ac:dyDescent="0.3">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399999999999999" x14ac:dyDescent="0.3">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399999999999999" x14ac:dyDescent="0.3">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399999999999999" x14ac:dyDescent="0.3">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399999999999999" x14ac:dyDescent="0.3">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399999999999999" x14ac:dyDescent="0.3">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399999999999999" x14ac:dyDescent="0.3">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399999999999999" x14ac:dyDescent="0.3">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399999999999999" x14ac:dyDescent="0.3">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399999999999999" x14ac:dyDescent="0.3">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399999999999999" x14ac:dyDescent="0.3">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399999999999999" x14ac:dyDescent="0.3">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399999999999999" x14ac:dyDescent="0.3">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399999999999999" x14ac:dyDescent="0.3">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399999999999999" x14ac:dyDescent="0.3">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399999999999999" x14ac:dyDescent="0.3">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399999999999999" x14ac:dyDescent="0.3">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399999999999999" x14ac:dyDescent="0.3">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399999999999999" x14ac:dyDescent="0.3">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399999999999999" x14ac:dyDescent="0.3">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399999999999999" x14ac:dyDescent="0.3">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399999999999999" x14ac:dyDescent="0.3">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399999999999999" x14ac:dyDescent="0.3">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399999999999999" x14ac:dyDescent="0.3">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399999999999999" x14ac:dyDescent="0.3">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399999999999999" x14ac:dyDescent="0.3">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399999999999999" x14ac:dyDescent="0.3">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399999999999999" x14ac:dyDescent="0.3">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399999999999999" x14ac:dyDescent="0.3">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399999999999999" x14ac:dyDescent="0.3">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399999999999999" x14ac:dyDescent="0.3">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399999999999999" x14ac:dyDescent="0.3">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399999999999999" x14ac:dyDescent="0.3">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399999999999999" x14ac:dyDescent="0.3">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399999999999999" x14ac:dyDescent="0.3">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399999999999999" x14ac:dyDescent="0.3">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399999999999999" x14ac:dyDescent="0.3">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399999999999999" x14ac:dyDescent="0.3">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399999999999999" x14ac:dyDescent="0.3">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399999999999999" x14ac:dyDescent="0.3">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399999999999999" x14ac:dyDescent="0.3">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399999999999999" x14ac:dyDescent="0.3">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399999999999999" x14ac:dyDescent="0.3">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399999999999999" x14ac:dyDescent="0.3">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399999999999999" x14ac:dyDescent="0.3">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399999999999999" x14ac:dyDescent="0.3">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399999999999999" x14ac:dyDescent="0.3">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399999999999999" x14ac:dyDescent="0.3">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399999999999999" x14ac:dyDescent="0.3">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399999999999999" x14ac:dyDescent="0.3">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399999999999999" x14ac:dyDescent="0.3">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399999999999999" x14ac:dyDescent="0.3">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399999999999999" x14ac:dyDescent="0.3">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399999999999999" x14ac:dyDescent="0.3">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399999999999999" x14ac:dyDescent="0.3">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399999999999999" x14ac:dyDescent="0.3">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399999999999999" x14ac:dyDescent="0.3">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399999999999999" x14ac:dyDescent="0.3">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399999999999999" x14ac:dyDescent="0.3">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399999999999999" x14ac:dyDescent="0.3">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399999999999999" x14ac:dyDescent="0.3">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399999999999999" x14ac:dyDescent="0.3">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399999999999999" x14ac:dyDescent="0.3">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399999999999999" x14ac:dyDescent="0.3">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399999999999999" x14ac:dyDescent="0.3">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399999999999999" x14ac:dyDescent="0.3">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399999999999999" x14ac:dyDescent="0.3">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399999999999999" x14ac:dyDescent="0.3">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399999999999999" x14ac:dyDescent="0.3">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399999999999999" x14ac:dyDescent="0.3">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399999999999999" x14ac:dyDescent="0.3">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399999999999999" x14ac:dyDescent="0.3">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399999999999999" x14ac:dyDescent="0.3">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399999999999999" x14ac:dyDescent="0.3">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399999999999999" x14ac:dyDescent="0.3">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399999999999999" x14ac:dyDescent="0.3">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399999999999999" x14ac:dyDescent="0.3">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399999999999999" x14ac:dyDescent="0.3">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399999999999999" x14ac:dyDescent="0.3">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399999999999999" x14ac:dyDescent="0.3">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399999999999999" x14ac:dyDescent="0.3">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399999999999999" x14ac:dyDescent="0.3">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399999999999999" x14ac:dyDescent="0.3">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399999999999999" x14ac:dyDescent="0.3">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399999999999999" x14ac:dyDescent="0.3">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399999999999999" x14ac:dyDescent="0.3">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399999999999999" x14ac:dyDescent="0.3">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399999999999999" x14ac:dyDescent="0.3">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399999999999999" x14ac:dyDescent="0.3">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399999999999999" x14ac:dyDescent="0.3">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399999999999999" x14ac:dyDescent="0.3">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399999999999999" x14ac:dyDescent="0.3">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399999999999999" x14ac:dyDescent="0.3">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399999999999999" x14ac:dyDescent="0.3">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399999999999999" x14ac:dyDescent="0.3">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399999999999999" x14ac:dyDescent="0.3">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399999999999999" x14ac:dyDescent="0.3">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399999999999999" x14ac:dyDescent="0.3">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399999999999999" x14ac:dyDescent="0.3">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399999999999999" x14ac:dyDescent="0.3">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399999999999999" x14ac:dyDescent="0.3">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399999999999999" x14ac:dyDescent="0.3">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399999999999999" x14ac:dyDescent="0.3">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399999999999999" x14ac:dyDescent="0.3">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399999999999999" x14ac:dyDescent="0.3">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399999999999999" x14ac:dyDescent="0.3">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399999999999999" x14ac:dyDescent="0.3">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399999999999999" x14ac:dyDescent="0.3">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399999999999999" x14ac:dyDescent="0.3">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399999999999999" x14ac:dyDescent="0.3">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399999999999999" x14ac:dyDescent="0.3">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399999999999999" x14ac:dyDescent="0.3">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399999999999999" x14ac:dyDescent="0.3">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399999999999999" x14ac:dyDescent="0.3">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399999999999999" x14ac:dyDescent="0.3">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399999999999999" x14ac:dyDescent="0.3">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399999999999999" x14ac:dyDescent="0.3">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399999999999999" x14ac:dyDescent="0.3">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399999999999999" x14ac:dyDescent="0.3">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399999999999999" x14ac:dyDescent="0.3">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399999999999999" x14ac:dyDescent="0.3">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399999999999999" x14ac:dyDescent="0.3">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399999999999999" x14ac:dyDescent="0.3">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399999999999999" x14ac:dyDescent="0.3">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399999999999999" x14ac:dyDescent="0.3">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399999999999999" x14ac:dyDescent="0.3">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399999999999999" x14ac:dyDescent="0.3">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399999999999999" x14ac:dyDescent="0.3">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399999999999999" x14ac:dyDescent="0.3">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399999999999999" x14ac:dyDescent="0.3">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399999999999999" x14ac:dyDescent="0.3">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399999999999999" x14ac:dyDescent="0.3">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399999999999999" x14ac:dyDescent="0.3">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399999999999999" x14ac:dyDescent="0.3">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399999999999999" x14ac:dyDescent="0.3">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399999999999999" x14ac:dyDescent="0.3">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399999999999999" x14ac:dyDescent="0.3">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399999999999999" x14ac:dyDescent="0.3">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399999999999999" x14ac:dyDescent="0.3">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399999999999999" x14ac:dyDescent="0.3">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399999999999999" x14ac:dyDescent="0.3">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399999999999999" x14ac:dyDescent="0.3">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399999999999999" x14ac:dyDescent="0.3">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399999999999999" x14ac:dyDescent="0.3">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399999999999999" x14ac:dyDescent="0.3">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399999999999999" x14ac:dyDescent="0.3">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399999999999999" x14ac:dyDescent="0.3">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399999999999999" x14ac:dyDescent="0.3">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399999999999999" x14ac:dyDescent="0.3">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399999999999999" x14ac:dyDescent="0.3">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399999999999999" x14ac:dyDescent="0.3">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399999999999999" x14ac:dyDescent="0.3">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399999999999999" x14ac:dyDescent="0.3">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399999999999999" x14ac:dyDescent="0.3">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399999999999999" x14ac:dyDescent="0.3">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399999999999999" x14ac:dyDescent="0.3">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399999999999999" x14ac:dyDescent="0.3">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399999999999999" x14ac:dyDescent="0.3">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399999999999999" x14ac:dyDescent="0.3">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399999999999999" x14ac:dyDescent="0.3">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399999999999999" x14ac:dyDescent="0.3">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399999999999999" x14ac:dyDescent="0.3">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399999999999999" x14ac:dyDescent="0.3">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399999999999999" x14ac:dyDescent="0.3">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399999999999999" x14ac:dyDescent="0.3">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399999999999999" x14ac:dyDescent="0.3">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399999999999999" x14ac:dyDescent="0.3">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399999999999999" x14ac:dyDescent="0.3">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399999999999999" x14ac:dyDescent="0.3">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399999999999999" x14ac:dyDescent="0.3">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399999999999999" x14ac:dyDescent="0.3">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399999999999999" x14ac:dyDescent="0.3">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399999999999999" x14ac:dyDescent="0.3">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399999999999999" x14ac:dyDescent="0.3">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399999999999999" x14ac:dyDescent="0.3">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399999999999999" x14ac:dyDescent="0.3">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399999999999999" x14ac:dyDescent="0.3">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399999999999999" x14ac:dyDescent="0.3">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399999999999999" x14ac:dyDescent="0.3">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399999999999999" x14ac:dyDescent="0.3">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399999999999999" x14ac:dyDescent="0.3">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399999999999999" x14ac:dyDescent="0.3">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399999999999999" x14ac:dyDescent="0.3">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399999999999999" x14ac:dyDescent="0.3">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399999999999999" x14ac:dyDescent="0.3">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399999999999999" x14ac:dyDescent="0.3">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399999999999999" x14ac:dyDescent="0.3">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399999999999999" x14ac:dyDescent="0.3">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399999999999999" x14ac:dyDescent="0.3">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399999999999999" x14ac:dyDescent="0.3">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399999999999999" x14ac:dyDescent="0.3">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399999999999999" x14ac:dyDescent="0.3">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399999999999999" x14ac:dyDescent="0.3">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399999999999999" x14ac:dyDescent="0.3">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399999999999999" x14ac:dyDescent="0.3">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399999999999999" x14ac:dyDescent="0.3">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399999999999999" x14ac:dyDescent="0.3">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399999999999999" x14ac:dyDescent="0.3">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399999999999999" x14ac:dyDescent="0.3">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399999999999999" x14ac:dyDescent="0.3">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399999999999999" x14ac:dyDescent="0.3">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399999999999999" x14ac:dyDescent="0.3">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399999999999999" x14ac:dyDescent="0.3">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399999999999999" x14ac:dyDescent="0.3">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399999999999999" x14ac:dyDescent="0.3">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399999999999999" x14ac:dyDescent="0.3">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399999999999999" x14ac:dyDescent="0.3">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399999999999999" x14ac:dyDescent="0.3">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399999999999999" x14ac:dyDescent="0.3">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399999999999999" x14ac:dyDescent="0.3">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399999999999999" x14ac:dyDescent="0.3">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399999999999999" x14ac:dyDescent="0.3">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399999999999999" x14ac:dyDescent="0.3">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399999999999999" x14ac:dyDescent="0.3">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399999999999999" x14ac:dyDescent="0.3">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399999999999999" x14ac:dyDescent="0.3">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399999999999999" x14ac:dyDescent="0.3">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399999999999999" x14ac:dyDescent="0.3">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399999999999999" x14ac:dyDescent="0.3">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399999999999999" x14ac:dyDescent="0.3">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399999999999999" x14ac:dyDescent="0.3">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399999999999999" x14ac:dyDescent="0.3">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399999999999999" x14ac:dyDescent="0.3">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399999999999999" x14ac:dyDescent="0.3">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399999999999999" x14ac:dyDescent="0.3">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399999999999999" x14ac:dyDescent="0.3">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399999999999999" x14ac:dyDescent="0.3">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399999999999999" x14ac:dyDescent="0.3">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399999999999999" x14ac:dyDescent="0.3">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399999999999999" x14ac:dyDescent="0.3">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399999999999999" x14ac:dyDescent="0.3">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6" x14ac:dyDescent="0.3">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6" x14ac:dyDescent="0.3">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6" x14ac:dyDescent="0.3">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6" x14ac:dyDescent="0.3">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6" x14ac:dyDescent="0.3">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6" x14ac:dyDescent="0.3">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6" x14ac:dyDescent="0.3">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6" x14ac:dyDescent="0.3">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6" x14ac:dyDescent="0.3">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6" x14ac:dyDescent="0.3">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6" x14ac:dyDescent="0.3">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6" x14ac:dyDescent="0.3">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6" x14ac:dyDescent="0.3">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6" x14ac:dyDescent="0.3">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6" x14ac:dyDescent="0.3">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6" x14ac:dyDescent="0.3">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6" x14ac:dyDescent="0.3">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6" x14ac:dyDescent="0.3">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6" x14ac:dyDescent="0.3">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6" x14ac:dyDescent="0.3">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6" x14ac:dyDescent="0.3">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6" x14ac:dyDescent="0.3">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6" x14ac:dyDescent="0.3">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6" x14ac:dyDescent="0.3">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6" x14ac:dyDescent="0.3">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6" x14ac:dyDescent="0.3">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6" x14ac:dyDescent="0.3">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6" x14ac:dyDescent="0.3">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6" x14ac:dyDescent="0.3">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6" x14ac:dyDescent="0.3">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6" x14ac:dyDescent="0.3">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6" x14ac:dyDescent="0.3">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6" x14ac:dyDescent="0.3">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6" x14ac:dyDescent="0.3">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6" x14ac:dyDescent="0.3">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6" x14ac:dyDescent="0.3">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6" x14ac:dyDescent="0.3">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6" x14ac:dyDescent="0.3">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6" x14ac:dyDescent="0.3">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6" x14ac:dyDescent="0.3">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6" x14ac:dyDescent="0.3">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6" x14ac:dyDescent="0.3">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6" x14ac:dyDescent="0.3">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6" x14ac:dyDescent="0.3">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6" x14ac:dyDescent="0.3">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6" x14ac:dyDescent="0.3">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6" x14ac:dyDescent="0.3">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6" x14ac:dyDescent="0.3">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6" x14ac:dyDescent="0.3">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6" x14ac:dyDescent="0.3">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6" x14ac:dyDescent="0.3">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6" x14ac:dyDescent="0.3">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6" x14ac:dyDescent="0.3">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6" x14ac:dyDescent="0.3">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6" x14ac:dyDescent="0.3">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6" x14ac:dyDescent="0.3">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6" x14ac:dyDescent="0.3">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6" x14ac:dyDescent="0.3">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6" x14ac:dyDescent="0.3">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6" x14ac:dyDescent="0.3">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6" x14ac:dyDescent="0.3">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6" x14ac:dyDescent="0.3">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6" x14ac:dyDescent="0.3">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6" x14ac:dyDescent="0.3">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6" x14ac:dyDescent="0.3">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6" x14ac:dyDescent="0.3">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6" x14ac:dyDescent="0.3">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0.6" x14ac:dyDescent="0.3">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0.6" x14ac:dyDescent="0.3">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6" x14ac:dyDescent="0.3">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0.6" x14ac:dyDescent="0.3">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6" x14ac:dyDescent="0.3">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0.6" x14ac:dyDescent="0.3">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0.6" x14ac:dyDescent="0.3">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6" x14ac:dyDescent="0.3">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0.6" x14ac:dyDescent="0.3">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6" x14ac:dyDescent="0.3">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0.6" x14ac:dyDescent="0.3">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0.6" x14ac:dyDescent="0.3">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0.6" x14ac:dyDescent="0.3">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0.6" x14ac:dyDescent="0.3">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6" x14ac:dyDescent="0.3">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6" x14ac:dyDescent="0.3">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0.6" x14ac:dyDescent="0.3">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6" x14ac:dyDescent="0.3">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6" x14ac:dyDescent="0.3">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0.6" x14ac:dyDescent="0.3">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0.6" x14ac:dyDescent="0.3">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0.6" x14ac:dyDescent="0.3">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6" x14ac:dyDescent="0.3">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0.6" x14ac:dyDescent="0.3">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0.6" x14ac:dyDescent="0.3">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6" x14ac:dyDescent="0.3">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0.6" x14ac:dyDescent="0.3">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6" x14ac:dyDescent="0.3">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0.6" x14ac:dyDescent="0.3">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6" x14ac:dyDescent="0.3">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6" x14ac:dyDescent="0.3">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0.6" x14ac:dyDescent="0.3">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0.6" x14ac:dyDescent="0.3">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0.6" x14ac:dyDescent="0.3">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0.6" x14ac:dyDescent="0.3">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6" x14ac:dyDescent="0.3">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6" x14ac:dyDescent="0.3">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0.6" x14ac:dyDescent="0.3">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6" x14ac:dyDescent="0.3">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0.6" x14ac:dyDescent="0.3">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6" x14ac:dyDescent="0.3">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0.6" x14ac:dyDescent="0.3">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0.6" x14ac:dyDescent="0.3">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6" x14ac:dyDescent="0.3">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6" x14ac:dyDescent="0.3">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0.6" x14ac:dyDescent="0.3">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0.6" x14ac:dyDescent="0.3">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6" x14ac:dyDescent="0.3">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0.6" x14ac:dyDescent="0.3">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0.6" x14ac:dyDescent="0.3">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0.6" x14ac:dyDescent="0.3">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0.6" x14ac:dyDescent="0.3">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0.6" x14ac:dyDescent="0.3">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0.6" x14ac:dyDescent="0.3">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6" x14ac:dyDescent="0.3">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0.6" x14ac:dyDescent="0.3">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399999999999999" x14ac:dyDescent="0.3">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399999999999999" x14ac:dyDescent="0.3">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399999999999999" x14ac:dyDescent="0.3">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399999999999999" x14ac:dyDescent="0.3">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399999999999999" x14ac:dyDescent="0.3">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399999999999999" x14ac:dyDescent="0.3">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399999999999999" x14ac:dyDescent="0.3">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399999999999999" x14ac:dyDescent="0.3">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399999999999999" x14ac:dyDescent="0.3">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399999999999999" x14ac:dyDescent="0.3">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399999999999999" x14ac:dyDescent="0.3">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399999999999999" x14ac:dyDescent="0.3">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399999999999999" x14ac:dyDescent="0.3">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399999999999999" x14ac:dyDescent="0.3">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399999999999999" x14ac:dyDescent="0.3">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399999999999999" x14ac:dyDescent="0.3">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399999999999999" x14ac:dyDescent="0.3">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399999999999999" x14ac:dyDescent="0.3">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399999999999999" x14ac:dyDescent="0.3">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399999999999999" x14ac:dyDescent="0.3">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399999999999999" x14ac:dyDescent="0.3">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399999999999999" x14ac:dyDescent="0.3">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399999999999999" x14ac:dyDescent="0.3">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399999999999999" x14ac:dyDescent="0.3">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399999999999999" x14ac:dyDescent="0.3">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399999999999999" x14ac:dyDescent="0.3">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399999999999999" x14ac:dyDescent="0.3">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399999999999999" x14ac:dyDescent="0.3">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399999999999999" x14ac:dyDescent="0.3">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399999999999999" x14ac:dyDescent="0.3">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399999999999999" x14ac:dyDescent="0.3">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399999999999999" x14ac:dyDescent="0.3">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399999999999999" x14ac:dyDescent="0.3">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399999999999999" x14ac:dyDescent="0.3">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399999999999999" x14ac:dyDescent="0.3">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0.399999999999999" x14ac:dyDescent="0.3">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0.399999999999999" x14ac:dyDescent="0.3">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0.399999999999999" x14ac:dyDescent="0.3">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0.399999999999999" x14ac:dyDescent="0.3">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0.399999999999999" x14ac:dyDescent="0.3">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399999999999999" x14ac:dyDescent="0.3">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399999999999999" x14ac:dyDescent="0.3">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399999999999999" x14ac:dyDescent="0.3">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399999999999999" x14ac:dyDescent="0.3">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399999999999999" x14ac:dyDescent="0.3">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399999999999999" x14ac:dyDescent="0.3">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399999999999999" x14ac:dyDescent="0.3">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399999999999999" x14ac:dyDescent="0.3">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399999999999999" x14ac:dyDescent="0.3">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799999999999997" x14ac:dyDescent="0.3">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799999999999997" x14ac:dyDescent="0.3">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799999999999997" x14ac:dyDescent="0.3">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1" x14ac:dyDescent="0.3">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1" customWidth="1"/>
    <col min="2" max="2" width="57.88671875" style="19" customWidth="1"/>
    <col min="3" max="3" width="2.5546875" style="19" customWidth="1"/>
    <col min="4" max="4" width="134.44140625" style="20" customWidth="1"/>
    <col min="5" max="5" width="2.5546875" style="21" customWidth="1"/>
    <col min="6" max="6" width="22.33203125" style="21" customWidth="1"/>
    <col min="7" max="7" width="2.5546875" style="21" customWidth="1"/>
    <col min="8" max="8" width="54" style="21" customWidth="1"/>
    <col min="9" max="9" width="2.5546875" style="21" customWidth="1"/>
    <col min="10" max="10" width="59.33203125" style="21" customWidth="1"/>
    <col min="11" max="11" width="4.5546875" style="21" customWidth="1"/>
    <col min="12" max="12" width="50.88671875" style="21" customWidth="1"/>
    <col min="13" max="13" width="5.6640625" style="21" customWidth="1"/>
    <col min="14" max="14" width="51.6640625" style="21" customWidth="1"/>
    <col min="15" max="15" width="5.6640625" style="21" customWidth="1"/>
    <col min="16" max="16" width="51.33203125" style="21" customWidth="1"/>
    <col min="17" max="16384" width="8.88671875" style="21"/>
  </cols>
  <sheetData>
    <row r="1" spans="2:10" ht="37.5" customHeight="1" x14ac:dyDescent="0.3">
      <c r="B1" s="18" t="s">
        <v>10597</v>
      </c>
    </row>
    <row r="2" spans="2:10" s="22" customFormat="1" ht="31.5" customHeight="1" x14ac:dyDescent="0.3">
      <c r="B2" s="22">
        <v>1</v>
      </c>
      <c r="D2" s="22">
        <v>2</v>
      </c>
      <c r="F2" s="22">
        <v>3</v>
      </c>
    </row>
    <row r="3" spans="2:10" s="13" customFormat="1" ht="28.5" customHeight="1" x14ac:dyDescent="0.3">
      <c r="B3" s="23" t="s">
        <v>10598</v>
      </c>
      <c r="C3" s="23"/>
      <c r="D3" s="23" t="s">
        <v>10599</v>
      </c>
      <c r="E3" s="23"/>
      <c r="F3" s="23" t="s">
        <v>10600</v>
      </c>
      <c r="G3" s="23"/>
      <c r="H3" s="23"/>
    </row>
    <row r="4" spans="2:10" ht="19.5" customHeight="1" x14ac:dyDescent="0.3">
      <c r="B4" s="52" t="s">
        <v>10601</v>
      </c>
      <c r="F4" s="24" t="s">
        <v>10602</v>
      </c>
      <c r="G4" s="24" t="s">
        <v>10603</v>
      </c>
      <c r="H4" s="20" t="s">
        <v>10604</v>
      </c>
    </row>
    <row r="5" spans="2:10" ht="19.5" customHeight="1" x14ac:dyDescent="0.3">
      <c r="B5" s="52"/>
      <c r="F5" s="25" t="s">
        <v>10605</v>
      </c>
      <c r="G5" s="25"/>
      <c r="H5" s="26" t="s">
        <v>10606</v>
      </c>
    </row>
    <row r="6" spans="2:10" ht="19.5" customHeight="1" x14ac:dyDescent="0.3">
      <c r="F6" s="25" t="s">
        <v>10607</v>
      </c>
      <c r="G6" s="25"/>
      <c r="H6" s="26" t="s">
        <v>6828</v>
      </c>
    </row>
    <row r="7" spans="2:10" ht="19.5" customHeight="1" x14ac:dyDescent="0.3">
      <c r="F7" s="25" t="s">
        <v>10608</v>
      </c>
      <c r="G7" s="25"/>
      <c r="H7" s="26" t="s">
        <v>10609</v>
      </c>
    </row>
    <row r="8" spans="2:10" ht="19.5" customHeight="1" x14ac:dyDescent="0.3">
      <c r="F8" s="25" t="s">
        <v>10610</v>
      </c>
      <c r="G8" s="25"/>
      <c r="H8" s="26">
        <v>5432</v>
      </c>
    </row>
    <row r="9" spans="2:10" ht="19.5" customHeight="1" x14ac:dyDescent="0.3">
      <c r="F9" s="25" t="s">
        <v>10611</v>
      </c>
      <c r="G9" s="25"/>
      <c r="H9" s="26" t="s">
        <v>10612</v>
      </c>
    </row>
    <row r="10" spans="2:10" ht="19.5" customHeight="1" x14ac:dyDescent="0.3">
      <c r="F10" s="25" t="s">
        <v>10613</v>
      </c>
      <c r="G10" s="25"/>
      <c r="H10" s="26" t="s">
        <v>10614</v>
      </c>
      <c r="J10" s="13"/>
    </row>
    <row r="11" spans="2:10" ht="20.25" customHeight="1" x14ac:dyDescent="0.3">
      <c r="J11" s="13"/>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8" t="s">
        <v>10615</v>
      </c>
      <c r="C27" s="21"/>
      <c r="D27" s="21"/>
    </row>
    <row r="28" spans="2:8" ht="33" customHeight="1" x14ac:dyDescent="0.3">
      <c r="B28" s="22">
        <v>4</v>
      </c>
      <c r="C28" s="22"/>
      <c r="D28" s="22"/>
      <c r="E28" s="22"/>
      <c r="F28" s="22"/>
      <c r="G28" s="22"/>
      <c r="H28" s="22"/>
    </row>
    <row r="29" spans="2:8" ht="30.6" x14ac:dyDescent="0.3">
      <c r="B29" s="13" t="s">
        <v>10616</v>
      </c>
      <c r="C29" s="13"/>
      <c r="D29" s="13"/>
      <c r="E29" s="13"/>
      <c r="F29" s="13"/>
      <c r="G29" s="13"/>
      <c r="H29" s="13"/>
    </row>
    <row r="30" spans="2:8" ht="19.5" customHeight="1" x14ac:dyDescent="0.3">
      <c r="B30" s="13"/>
      <c r="C30" s="21"/>
      <c r="D30" s="13"/>
      <c r="F30" s="13"/>
      <c r="H30" s="13"/>
    </row>
    <row r="31" spans="2:8" ht="19.5" customHeight="1" x14ac:dyDescent="0.3">
      <c r="B31" s="13"/>
      <c r="C31" s="21"/>
      <c r="D31" s="13"/>
      <c r="F31" s="13"/>
      <c r="H31" s="13"/>
    </row>
    <row r="32" spans="2:8" ht="19.5" customHeight="1" x14ac:dyDescent="0.3">
      <c r="B32" s="13"/>
      <c r="C32" s="21"/>
      <c r="D32" s="13"/>
      <c r="F32" s="13"/>
      <c r="H32" s="13"/>
    </row>
    <row r="33" spans="2:8" ht="19.5" customHeight="1" x14ac:dyDescent="0.3">
      <c r="B33" s="13"/>
      <c r="C33" s="21"/>
      <c r="D33" s="13"/>
      <c r="F33" s="13"/>
      <c r="H33" s="13"/>
    </row>
    <row r="34" spans="2:8" ht="19.5" customHeight="1" x14ac:dyDescent="0.3">
      <c r="B34" s="13"/>
      <c r="C34" s="21"/>
      <c r="D34" s="13"/>
      <c r="F34" s="13"/>
      <c r="H34" s="13"/>
    </row>
    <row r="35" spans="2:8" ht="19.5" customHeight="1" x14ac:dyDescent="0.3">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2.xml><?xml version="1.0" encoding="utf-8"?>
<ds:datastoreItem xmlns:ds="http://schemas.openxmlformats.org/officeDocument/2006/customXml" ds:itemID="{B883214E-AA8E-498F-9F1F-C1138F34B079}">
  <ds:schemaRefs>
    <ds:schemaRef ds:uri="http://schemas.microsoft.com/DataMashup"/>
  </ds:schemaRefs>
</ds:datastoreItem>
</file>

<file path=customXml/itemProps3.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Kelsey Yen</cp:lastModifiedBy>
  <cp:revision/>
  <dcterms:created xsi:type="dcterms:W3CDTF">2022-11-07T18:03:41Z</dcterms:created>
  <dcterms:modified xsi:type="dcterms:W3CDTF">2026-06-10T22:37:32Z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