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D-EPP\scripts\data transformation\"/>
    </mc:Choice>
  </mc:AlternateContent>
  <xr:revisionPtr revIDLastSave="0" documentId="13_ncr:1_{2F99F294-7E08-4254-8A2B-548D062053AA}" xr6:coauthVersionLast="47" xr6:coauthVersionMax="47" xr10:uidLastSave="{00000000-0000-0000-0000-000000000000}"/>
  <bookViews>
    <workbookView xWindow="-120" yWindow="-120" windowWidth="29040" windowHeight="15720" firstSheet="2"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Measure_list!$A$5:$AG$843</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5" i="1" l="1"/>
  <c r="F846" i="1"/>
  <c r="F847" i="1"/>
  <c r="F844" i="1"/>
  <c r="H844" i="1"/>
  <c r="H845" i="1"/>
  <c r="H846" i="1"/>
  <c r="H847" i="1"/>
  <c r="I847" i="1"/>
  <c r="I844" i="1"/>
  <c r="I845" i="1"/>
  <c r="I846" i="1"/>
  <c r="J844" i="1"/>
  <c r="J845" i="1"/>
  <c r="J846" i="1"/>
  <c r="J847" i="1"/>
  <c r="T847" i="1" l="1"/>
  <c r="N847" i="1" s="1"/>
  <c r="U847" i="1"/>
  <c r="D847" i="1"/>
  <c r="E847" i="1"/>
  <c r="G847" i="1"/>
  <c r="T846" i="1"/>
  <c r="N846" i="1" s="1"/>
  <c r="U846" i="1"/>
  <c r="G846" i="1"/>
  <c r="D846" i="1"/>
  <c r="E846" i="1"/>
  <c r="E845" i="1"/>
  <c r="E844" i="1"/>
  <c r="U845" i="1"/>
  <c r="T845" i="1"/>
  <c r="N845" i="1" s="1"/>
  <c r="U844" i="1"/>
  <c r="T844" i="1"/>
  <c r="N844" i="1" s="1"/>
  <c r="G844" i="1"/>
  <c r="G845" i="1"/>
  <c r="D844" i="1"/>
  <c r="D845" i="1"/>
  <c r="D843" i="1"/>
  <c r="E843" i="1"/>
  <c r="T843" i="1"/>
  <c r="N843" i="1" s="1"/>
  <c r="U843" i="1"/>
  <c r="J843" i="1"/>
  <c r="H843" i="1"/>
  <c r="F843" i="1" s="1"/>
  <c r="G843" i="1" s="1"/>
  <c r="U842" i="1"/>
  <c r="T842" i="1"/>
  <c r="N842" i="1" s="1"/>
  <c r="J842" i="1"/>
  <c r="H842" i="1"/>
  <c r="D842" i="1"/>
  <c r="E842" i="1" s="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s="1"/>
  <c r="J786" i="1"/>
  <c r="H786" i="1"/>
  <c r="D786" i="1"/>
  <c r="E786" i="1" s="1"/>
  <c r="U785" i="1"/>
  <c r="T785" i="1"/>
  <c r="N785" i="1" s="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s="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N709" i="1" l="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U702" i="1"/>
  <c r="T702" i="1"/>
  <c r="U701" i="1"/>
  <c r="T701" i="1"/>
  <c r="U700" i="1"/>
  <c r="T700" i="1"/>
  <c r="U699" i="1"/>
  <c r="T699" i="1"/>
  <c r="U698" i="1"/>
  <c r="T698" i="1"/>
  <c r="U697" i="1"/>
  <c r="T697" i="1"/>
  <c r="U696" i="1"/>
  <c r="T696" i="1"/>
  <c r="G707" i="1"/>
  <c r="G706" i="1"/>
  <c r="G705" i="1"/>
  <c r="G704" i="1"/>
  <c r="G703" i="1"/>
  <c r="G702" i="1"/>
  <c r="G701" i="1"/>
  <c r="G700" i="1"/>
  <c r="G699" i="1"/>
  <c r="G698" i="1"/>
  <c r="G697" i="1"/>
  <c r="G696" i="1"/>
  <c r="S698" i="1" l="1"/>
  <c r="N698" i="1" s="1"/>
  <c r="S701" i="1"/>
  <c r="N701" i="1" s="1"/>
  <c r="S703" i="1"/>
  <c r="N703" i="1" s="1"/>
  <c r="S704" i="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76" i="1"/>
  <c r="E676" i="1" s="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87" i="1" l="1"/>
  <c r="N687" i="1" s="1"/>
  <c r="S695" i="1"/>
  <c r="N695" i="1" s="1"/>
  <c r="S683" i="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S379" i="1" s="1"/>
  <c r="N379" i="1" s="1"/>
  <c r="T380" i="1"/>
  <c r="S380" i="1" s="1"/>
  <c r="N380" i="1" s="1"/>
  <c r="T381" i="1"/>
  <c r="S381" i="1" s="1"/>
  <c r="N381" i="1" s="1"/>
  <c r="T382" i="1"/>
  <c r="S382" i="1" s="1"/>
  <c r="N382" i="1" s="1"/>
  <c r="T383" i="1"/>
  <c r="S383" i="1" s="1"/>
  <c r="N383" i="1" s="1"/>
  <c r="T384" i="1"/>
  <c r="S384" i="1" s="1"/>
  <c r="N384" i="1" s="1"/>
  <c r="T385" i="1"/>
  <c r="S385" i="1" s="1"/>
  <c r="N385" i="1" s="1"/>
  <c r="T386" i="1"/>
  <c r="T387" i="1"/>
  <c r="S387" i="1" s="1"/>
  <c r="N387" i="1" s="1"/>
  <c r="T388" i="1"/>
  <c r="S388" i="1" s="1"/>
  <c r="N388" i="1" s="1"/>
  <c r="T389" i="1"/>
  <c r="T390" i="1"/>
  <c r="T391" i="1"/>
  <c r="T392" i="1"/>
  <c r="T393" i="1"/>
  <c r="T394" i="1"/>
  <c r="T395" i="1"/>
  <c r="T396" i="1"/>
  <c r="T397" i="1"/>
  <c r="T398" i="1"/>
  <c r="S398" i="1" s="1"/>
  <c r="N398" i="1" s="1"/>
  <c r="T399" i="1"/>
  <c r="T400" i="1"/>
  <c r="S400" i="1" s="1"/>
  <c r="N400" i="1" s="1"/>
  <c r="T401" i="1"/>
  <c r="S401" i="1" s="1"/>
  <c r="N401" i="1" s="1"/>
  <c r="T402" i="1"/>
  <c r="S402" i="1" s="1"/>
  <c r="N402" i="1" s="1"/>
  <c r="T403" i="1"/>
  <c r="S403" i="1" s="1"/>
  <c r="N403" i="1" s="1"/>
  <c r="T404" i="1"/>
  <c r="S404" i="1" s="1"/>
  <c r="N404" i="1" s="1"/>
  <c r="T405" i="1"/>
  <c r="S405" i="1" s="1"/>
  <c r="N405" i="1" s="1"/>
  <c r="T406" i="1"/>
  <c r="T407" i="1"/>
  <c r="S407" i="1" s="1"/>
  <c r="N407" i="1" s="1"/>
  <c r="T408" i="1"/>
  <c r="S408" i="1" s="1"/>
  <c r="N408" i="1" s="1"/>
  <c r="T409" i="1"/>
  <c r="T410" i="1"/>
  <c r="T411" i="1"/>
  <c r="T412" i="1"/>
  <c r="T413" i="1"/>
  <c r="T414" i="1"/>
  <c r="T415" i="1"/>
  <c r="T416" i="1"/>
  <c r="T417" i="1"/>
  <c r="T418" i="1"/>
  <c r="S418" i="1" s="1"/>
  <c r="N418" i="1" s="1"/>
  <c r="T419" i="1"/>
  <c r="S419" i="1" s="1"/>
  <c r="N419" i="1" s="1"/>
  <c r="T420" i="1"/>
  <c r="S420" i="1" s="1"/>
  <c r="N420" i="1" s="1"/>
  <c r="T421" i="1"/>
  <c r="S421" i="1" s="1"/>
  <c r="N421" i="1" s="1"/>
  <c r="T422" i="1"/>
  <c r="S422" i="1" s="1"/>
  <c r="N422" i="1" s="1"/>
  <c r="T423" i="1"/>
  <c r="S423" i="1" s="1"/>
  <c r="N423" i="1" s="1"/>
  <c r="T424" i="1"/>
  <c r="T425" i="1"/>
  <c r="S425" i="1" s="1"/>
  <c r="N425" i="1" s="1"/>
  <c r="T426" i="1"/>
  <c r="T427" i="1"/>
  <c r="S427" i="1" s="1"/>
  <c r="N427" i="1" s="1"/>
  <c r="T428" i="1"/>
  <c r="S428" i="1" s="1"/>
  <c r="N428" i="1" s="1"/>
  <c r="T429" i="1"/>
  <c r="T430" i="1"/>
  <c r="T431" i="1"/>
  <c r="T432" i="1"/>
  <c r="T433" i="1"/>
  <c r="T434" i="1"/>
  <c r="T435" i="1"/>
  <c r="T436" i="1"/>
  <c r="T437" i="1"/>
  <c r="T438" i="1"/>
  <c r="S438" i="1" s="1"/>
  <c r="N438" i="1" s="1"/>
  <c r="T439" i="1"/>
  <c r="S439" i="1" s="1"/>
  <c r="N439" i="1" s="1"/>
  <c r="T440" i="1"/>
  <c r="S440" i="1" s="1"/>
  <c r="N440" i="1" s="1"/>
  <c r="T441" i="1"/>
  <c r="S441" i="1" s="1"/>
  <c r="N441" i="1" s="1"/>
  <c r="T442" i="1"/>
  <c r="S442" i="1" s="1"/>
  <c r="N442" i="1" s="1"/>
  <c r="T443" i="1"/>
  <c r="S443" i="1" s="1"/>
  <c r="N443" i="1" s="1"/>
  <c r="T444" i="1"/>
  <c r="T445" i="1"/>
  <c r="S445" i="1" s="1"/>
  <c r="N445" i="1" s="1"/>
  <c r="T446" i="1"/>
  <c r="T447" i="1"/>
  <c r="S447" i="1" s="1"/>
  <c r="N447" i="1" s="1"/>
  <c r="T448" i="1"/>
  <c r="S448" i="1" s="1"/>
  <c r="N448" i="1" s="1"/>
  <c r="T449" i="1"/>
  <c r="T450" i="1"/>
  <c r="T451" i="1"/>
  <c r="T452" i="1"/>
  <c r="T453" i="1"/>
  <c r="T454" i="1"/>
  <c r="T455" i="1"/>
  <c r="T456" i="1"/>
  <c r="T457" i="1"/>
  <c r="T458" i="1"/>
  <c r="S458" i="1" s="1"/>
  <c r="N458" i="1" s="1"/>
  <c r="T459" i="1"/>
  <c r="S459" i="1" s="1"/>
  <c r="N459" i="1" s="1"/>
  <c r="T460" i="1"/>
  <c r="S460" i="1" s="1"/>
  <c r="N460" i="1" s="1"/>
  <c r="T461" i="1"/>
  <c r="S461" i="1" s="1"/>
  <c r="N461" i="1" s="1"/>
  <c r="T462" i="1"/>
  <c r="S462" i="1" s="1"/>
  <c r="N462" i="1" s="1"/>
  <c r="T463" i="1"/>
  <c r="S463" i="1" s="1"/>
  <c r="N463" i="1" s="1"/>
  <c r="T464" i="1"/>
  <c r="S464" i="1" s="1"/>
  <c r="N464" i="1" s="1"/>
  <c r="T465" i="1"/>
  <c r="S465" i="1" s="1"/>
  <c r="N465" i="1" s="1"/>
  <c r="T466" i="1"/>
  <c r="T467" i="1"/>
  <c r="S467" i="1" s="1"/>
  <c r="N467" i="1" s="1"/>
  <c r="T468" i="1"/>
  <c r="S468" i="1" s="1"/>
  <c r="N468" i="1" s="1"/>
  <c r="T469" i="1"/>
  <c r="T470" i="1"/>
  <c r="T471" i="1"/>
  <c r="T472" i="1"/>
  <c r="T473" i="1"/>
  <c r="T474" i="1"/>
  <c r="T475" i="1"/>
  <c r="T476" i="1"/>
  <c r="T477" i="1"/>
  <c r="T478" i="1"/>
  <c r="S478" i="1" s="1"/>
  <c r="N478" i="1" s="1"/>
  <c r="T479" i="1"/>
  <c r="S479" i="1" s="1"/>
  <c r="N479" i="1" s="1"/>
  <c r="T480" i="1"/>
  <c r="S480" i="1" s="1"/>
  <c r="N480" i="1" s="1"/>
  <c r="T481" i="1"/>
  <c r="S481" i="1" s="1"/>
  <c r="N481" i="1" s="1"/>
  <c r="T482" i="1"/>
  <c r="S482" i="1" s="1"/>
  <c r="N482" i="1" s="1"/>
  <c r="T483" i="1"/>
  <c r="T484" i="1"/>
  <c r="S484" i="1" s="1"/>
  <c r="N484" i="1" s="1"/>
  <c r="T485" i="1"/>
  <c r="S485" i="1" s="1"/>
  <c r="N485" i="1" s="1"/>
  <c r="T486" i="1"/>
  <c r="T487" i="1"/>
  <c r="T488" i="1"/>
  <c r="S488" i="1" s="1"/>
  <c r="N488" i="1" s="1"/>
  <c r="T489" i="1"/>
  <c r="T490" i="1"/>
  <c r="T491" i="1"/>
  <c r="T492" i="1"/>
  <c r="T493" i="1"/>
  <c r="T494" i="1"/>
  <c r="T495" i="1"/>
  <c r="T496" i="1"/>
  <c r="T497" i="1"/>
  <c r="T498" i="1"/>
  <c r="S498" i="1" s="1"/>
  <c r="N498" i="1" s="1"/>
  <c r="T499" i="1"/>
  <c r="S499" i="1" s="1"/>
  <c r="N499" i="1" s="1"/>
  <c r="T500" i="1"/>
  <c r="S500" i="1" s="1"/>
  <c r="N500" i="1" s="1"/>
  <c r="T501" i="1"/>
  <c r="S501" i="1" s="1"/>
  <c r="N501" i="1" s="1"/>
  <c r="T502" i="1"/>
  <c r="S502" i="1" s="1"/>
  <c r="N502" i="1" s="1"/>
  <c r="T503" i="1"/>
  <c r="S503" i="1" s="1"/>
  <c r="N503" i="1" s="1"/>
  <c r="T504" i="1"/>
  <c r="S504" i="1" s="1"/>
  <c r="N504" i="1" s="1"/>
  <c r="T505" i="1"/>
  <c r="T506" i="1"/>
  <c r="T507" i="1"/>
  <c r="S507" i="1" s="1"/>
  <c r="N507" i="1" s="1"/>
  <c r="T508" i="1"/>
  <c r="S508" i="1" s="1"/>
  <c r="N508" i="1" s="1"/>
  <c r="T509" i="1"/>
  <c r="T510" i="1"/>
  <c r="T511" i="1"/>
  <c r="T512" i="1"/>
  <c r="T513" i="1"/>
  <c r="T514" i="1"/>
  <c r="T515" i="1"/>
  <c r="T516" i="1"/>
  <c r="T517" i="1"/>
  <c r="T518" i="1"/>
  <c r="S518" i="1" s="1"/>
  <c r="N518" i="1" s="1"/>
  <c r="T519" i="1"/>
  <c r="T520" i="1"/>
  <c r="S520" i="1" s="1"/>
  <c r="N520" i="1" s="1"/>
  <c r="T521" i="1"/>
  <c r="S521" i="1" s="1"/>
  <c r="N521" i="1" s="1"/>
  <c r="T522" i="1"/>
  <c r="S522" i="1" s="1"/>
  <c r="N522" i="1" s="1"/>
  <c r="T523" i="1"/>
  <c r="S523" i="1" s="1"/>
  <c r="N523" i="1" s="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S547" i="1" s="1"/>
  <c r="N547" i="1" s="1"/>
  <c r="T548" i="1"/>
  <c r="S548" i="1" s="1"/>
  <c r="N548" i="1" s="1"/>
  <c r="T549" i="1"/>
  <c r="T550" i="1"/>
  <c r="T551" i="1"/>
  <c r="T552" i="1"/>
  <c r="T553" i="1"/>
  <c r="T554" i="1"/>
  <c r="T555" i="1"/>
  <c r="T556" i="1"/>
  <c r="T557" i="1"/>
  <c r="T558" i="1"/>
  <c r="S558" i="1" s="1"/>
  <c r="N558" i="1" s="1"/>
  <c r="T559" i="1"/>
  <c r="S559" i="1" s="1"/>
  <c r="N559" i="1" s="1"/>
  <c r="T560" i="1"/>
  <c r="S560" i="1" s="1"/>
  <c r="N560" i="1" s="1"/>
  <c r="T561" i="1"/>
  <c r="S561" i="1" s="1"/>
  <c r="N561" i="1" s="1"/>
  <c r="T562" i="1"/>
  <c r="S562" i="1" s="1"/>
  <c r="N562" i="1" s="1"/>
  <c r="T563" i="1"/>
  <c r="T564" i="1"/>
  <c r="T565" i="1"/>
  <c r="S565" i="1" s="1"/>
  <c r="N565" i="1" s="1"/>
  <c r="T566" i="1"/>
  <c r="T567" i="1"/>
  <c r="S567" i="1" s="1"/>
  <c r="N567" i="1" s="1"/>
  <c r="T568" i="1"/>
  <c r="S568" i="1" s="1"/>
  <c r="N568" i="1" s="1"/>
  <c r="T569" i="1"/>
  <c r="T570" i="1"/>
  <c r="T571" i="1"/>
  <c r="T572" i="1"/>
  <c r="T573" i="1"/>
  <c r="T574" i="1"/>
  <c r="T575" i="1"/>
  <c r="T576" i="1"/>
  <c r="T577" i="1"/>
  <c r="T578" i="1"/>
  <c r="S578" i="1" s="1"/>
  <c r="N578" i="1" s="1"/>
  <c r="T579" i="1"/>
  <c r="S579" i="1" s="1"/>
  <c r="N579" i="1" s="1"/>
  <c r="T580" i="1"/>
  <c r="S580" i="1" s="1"/>
  <c r="N580" i="1" s="1"/>
  <c r="T581" i="1"/>
  <c r="S581" i="1" s="1"/>
  <c r="N581" i="1" s="1"/>
  <c r="T582" i="1"/>
  <c r="S582" i="1" s="1"/>
  <c r="N582" i="1" s="1"/>
  <c r="T583" i="1"/>
  <c r="S583" i="1" s="1"/>
  <c r="N583" i="1" s="1"/>
  <c r="T584" i="1"/>
  <c r="S584" i="1" s="1"/>
  <c r="N584" i="1" s="1"/>
  <c r="T585" i="1"/>
  <c r="S585" i="1" s="1"/>
  <c r="N585" i="1" s="1"/>
  <c r="T586" i="1"/>
  <c r="T587" i="1"/>
  <c r="S587" i="1" s="1"/>
  <c r="N587" i="1" s="1"/>
  <c r="T588" i="1"/>
  <c r="S588" i="1" s="1"/>
  <c r="N588" i="1" s="1"/>
  <c r="T589" i="1"/>
  <c r="T590" i="1"/>
  <c r="T591" i="1"/>
  <c r="T592" i="1"/>
  <c r="T593" i="1"/>
  <c r="T594" i="1"/>
  <c r="T595" i="1"/>
  <c r="T596" i="1"/>
  <c r="T597" i="1"/>
  <c r="T598" i="1"/>
  <c r="T599" i="1"/>
  <c r="S599" i="1" s="1"/>
  <c r="N599" i="1" s="1"/>
  <c r="T600" i="1"/>
  <c r="S600" i="1" s="1"/>
  <c r="N600" i="1" s="1"/>
  <c r="T601" i="1"/>
  <c r="S601" i="1" s="1"/>
  <c r="N601" i="1" s="1"/>
  <c r="T602" i="1"/>
  <c r="S602" i="1" s="1"/>
  <c r="N602" i="1" s="1"/>
  <c r="T603" i="1"/>
  <c r="S603" i="1" s="1"/>
  <c r="N603" i="1" s="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S638" i="1" s="1"/>
  <c r="N638" i="1" s="1"/>
  <c r="T639" i="1"/>
  <c r="S639" i="1" s="1"/>
  <c r="N639" i="1" s="1"/>
  <c r="T640" i="1"/>
  <c r="S640" i="1" s="1"/>
  <c r="N640" i="1" s="1"/>
  <c r="T641" i="1"/>
  <c r="S641" i="1" s="1"/>
  <c r="N641" i="1" s="1"/>
  <c r="T642" i="1"/>
  <c r="S642" i="1" s="1"/>
  <c r="N642" i="1" s="1"/>
  <c r="T643" i="1"/>
  <c r="S643" i="1" s="1"/>
  <c r="N643" i="1" s="1"/>
  <c r="T644" i="1"/>
  <c r="S644" i="1" s="1"/>
  <c r="N644" i="1" s="1"/>
  <c r="T645" i="1"/>
  <c r="S645" i="1" s="1"/>
  <c r="N645" i="1" s="1"/>
  <c r="T646" i="1"/>
  <c r="T647" i="1"/>
  <c r="S647" i="1" s="1"/>
  <c r="N647" i="1" s="1"/>
  <c r="T648" i="1"/>
  <c r="S648" i="1" s="1"/>
  <c r="N648" i="1" s="1"/>
  <c r="T649" i="1"/>
  <c r="T650" i="1"/>
  <c r="T651" i="1"/>
  <c r="T652" i="1"/>
  <c r="T653" i="1"/>
  <c r="T654" i="1"/>
  <c r="T655" i="1"/>
  <c r="T656" i="1"/>
  <c r="T657" i="1"/>
  <c r="T658" i="1"/>
  <c r="S658" i="1" s="1"/>
  <c r="N658" i="1" s="1"/>
  <c r="T659" i="1"/>
  <c r="S659" i="1" s="1"/>
  <c r="N659" i="1" s="1"/>
  <c r="T660" i="1"/>
  <c r="S660" i="1" s="1"/>
  <c r="N660" i="1" s="1"/>
  <c r="T661" i="1"/>
  <c r="S661" i="1" s="1"/>
  <c r="N661" i="1" s="1"/>
  <c r="T662" i="1"/>
  <c r="S662" i="1" s="1"/>
  <c r="N662" i="1" s="1"/>
  <c r="T663" i="1"/>
  <c r="S663" i="1" s="1"/>
  <c r="N663" i="1" s="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598" i="1" l="1"/>
  <c r="N598" i="1" s="1"/>
  <c r="S399" i="1"/>
  <c r="N399" i="1" s="1"/>
  <c r="S617" i="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<sst xmlns="http://schemas.openxmlformats.org/spreadsheetml/2006/main" count="78031" uniqueCount="10778">
  <si>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</si>
  <si>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</si>
  <si>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</si>
  <si>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</si>
  <si>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</si>
  <si>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</si>
  <si>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</si>
  <si>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</si>
  <si>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</si>
  <si>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</si>
  <si>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</si>
  <si>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</si>
  <si>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</si>
  <si>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</si>
  <si>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</si>
  <si>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</si>
  <si>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</si>
  <si>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</si>
  <si>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</si>
  <si>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</si>
  <si>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</si>
  <si>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</si>
  <si>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</si>
  <si>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</si>
  <si>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</si>
  <si>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</si>
  <si>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</si>
  <si>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</si>
  <si>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</si>
  <si>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</si>
  <si>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</si>
  <si>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</si>
  <si>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</si>
  <si>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</si>
  <si>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</si>
  <si>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</si>
  <si>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</si>
  <si>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</si>
  <si>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</si>
  <si>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</si>
  <si>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</si>
  <si>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</si>
  <si>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</si>
  <si>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</si>
  <si>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</si>
  <si>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</si>
  <si>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</si>
  <si>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</si>
  <si>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</si>
  <si>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</si>
  <si>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</si>
  <si>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</si>
  <si>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</si>
  <si>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</si>
  <si>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</si>
  <si>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</si>
  <si>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</si>
  <si>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</si>
  <si>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</si>
  <si>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</si>
  <si>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</si>
  <si>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</si>
  <si>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</si>
  <si>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</si>
  <si>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</si>
  <si>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</si>
  <si>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</si>
  <si>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</si>
  <si>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</si>
  <si>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</si>
  <si>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</si>
  <si>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</si>
  <si>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</si>
  <si>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</si>
  <si>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</si>
  <si>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</si>
  <si>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</si>
  <si>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</si>
  <si>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</si>
  <si>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</si>
  <si>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</si>
  <si>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</si>
  <si>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</si>
  <si>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</si>
  <si>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</si>
  <si>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</si>
  <si>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</si>
  <si>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</si>
  <si>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</si>
  <si>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</si>
  <si>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</si>
  <si>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</si>
  <si>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</si>
  <si>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</si>
  <si>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</si>
  <si>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</si>
  <si>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</si>
  <si>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</si>
  <si>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</si>
  <si>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</si>
  <si>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</si>
  <si>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</si>
  <si>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</si>
  <si>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</si>
  <si>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</si>
  <si>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</si>
  <si>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</si>
  <si>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</si>
  <si>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</si>
  <si>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</si>
  <si>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</si>
  <si>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</si>
  <si>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</si>
  <si>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</si>
  <si>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</si>
  <si>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</si>
  <si>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</si>
  <si>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</si>
  <si>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</si>
  <si>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</si>
  <si>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</si>
  <si>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</si>
  <si>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</si>
  <si>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</si>
  <si>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</si>
  <si>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</si>
  <si>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</si>
  <si>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</si>
  <si>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</si>
  <si>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</si>
  <si>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</si>
  <si>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</si>
  <si>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</si>
  <si>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</si>
  <si>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</si>
  <si>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</si>
  <si>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</si>
  <si>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</si>
  <si>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</si>
  <si>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</si>
  <si>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</si>
  <si>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</si>
  <si>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</si>
  <si>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</si>
  <si>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</si>
  <si>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</si>
  <si>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</si>
  <si>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</si>
  <si>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</si>
  <si>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</si>
  <si>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</si>
  <si>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</si>
  <si>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</si>
  <si>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</si>
  <si>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</si>
  <si>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</si>
  <si>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</si>
  <si>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</si>
  <si>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</si>
  <si>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</si>
  <si>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</si>
  <si>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</si>
  <si>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</si>
  <si>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</si>
  <si>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</si>
  <si>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</si>
  <si>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</si>
  <si>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</si>
  <si>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</si>
  <si>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</si>
  <si>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</si>
  <si>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</si>
  <si>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</si>
  <si>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</si>
  <si>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</si>
  <si>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</si>
  <si>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</si>
  <si>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</si>
  <si>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</si>
  <si>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</si>
  <si>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</si>
  <si>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</si>
  <si>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</si>
  <si>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</si>
  <si>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</si>
  <si>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</si>
  <si>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</si>
  <si>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</si>
  <si>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</si>
  <si>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</si>
  <si>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</si>
  <si>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</si>
  <si>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</si>
  <si>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</si>
  <si>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</si>
  <si>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</si>
  <si>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</si>
  <si>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</si>
  <si>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</si>
  <si>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</si>
  <si>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</si>
  <si>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</si>
  <si>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</si>
  <si>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</si>
  <si>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</si>
  <si>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</si>
  <si>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</si>
  <si>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</si>
  <si>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</si>
  <si>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</si>
  <si>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</si>
  <si>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</si>
  <si>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</si>
  <si>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</si>
  <si>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</si>
  <si>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</si>
  <si>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</si>
  <si>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</si>
  <si>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</si>
  <si>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</si>
  <si>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</si>
  <si>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</si>
  <si>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</si>
  <si>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</si>
  <si>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</si>
  <si>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</si>
  <si>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</si>
  <si>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</si>
  <si>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</si>
  <si>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</si>
  <si>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</si>
  <si>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</si>
  <si>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</si>
  <si>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</si>
  <si>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</si>
  <si>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</si>
  <si>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</si>
  <si>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</si>
  <si>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</si>
  <si>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</si>
  <si>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</si>
  <si>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</si>
  <si>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</si>
  <si>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</si>
  <si>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</si>
  <si>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</si>
  <si>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</si>
  <si>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</si>
  <si>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</si>
  <si>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</si>
  <si>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</si>
  <si>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</si>
  <si>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</si>
  <si>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</si>
  <si>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</si>
  <si>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</si>
  <si>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</si>
  <si>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</si>
  <si>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</si>
  <si>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</si>
  <si>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</si>
  <si>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</si>
  <si>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</si>
  <si>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</si>
  <si>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</si>
  <si>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</si>
  <si>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</si>
  <si>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</si>
  <si>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</si>
  <si>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</si>
  <si>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</si>
  <si>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</si>
  <si>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</si>
  <si>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</si>
  <si>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</si>
  <si>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</si>
  <si>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</si>
  <si>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</si>
  <si>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</si>
  <si>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</si>
  <si>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</si>
  <si>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</si>
  <si>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</si>
  <si>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</si>
  <si>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</si>
  <si>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</si>
  <si>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</si>
  <si>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</si>
  <si>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</si>
  <si>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</si>
  <si>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</si>
  <si>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</si>
  <si>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</si>
  <si>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</si>
  <si>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</si>
  <si>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</si>
  <si>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</si>
  <si>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</si>
  <si>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</si>
  <si>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</si>
  <si>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</si>
  <si>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</si>
  <si>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</si>
  <si>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</si>
  <si>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</si>
  <si>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</si>
  <si>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</si>
  <si>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</si>
  <si>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</si>
  <si>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</si>
  <si>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</si>
  <si>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</si>
  <si>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</si>
  <si>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</si>
  <si>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</si>
  <si>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</si>
  <si>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</si>
  <si>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</si>
  <si>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</si>
  <si>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</si>
  <si>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</si>
  <si>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</si>
  <si>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</si>
  <si>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</si>
  <si>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</si>
  <si>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</si>
  <si>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</si>
  <si>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</si>
  <si>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</si>
  <si>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</si>
  <si>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</si>
  <si>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</si>
  <si>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</si>
  <si>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</si>
  <si>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</si>
  <si>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</si>
  <si>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</si>
  <si>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</si>
  <si>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</si>
  <si>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</si>
  <si>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</si>
  <si>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</si>
  <si>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</si>
  <si>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</si>
  <si>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</si>
  <si>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</si>
  <si>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</si>
  <si>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</si>
  <si>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</si>
  <si>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</si>
  <si>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</si>
  <si>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</si>
  <si>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</si>
  <si>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</si>
  <si>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</si>
  <si>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</si>
  <si>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</si>
  <si>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</si>
  <si>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</si>
  <si>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</si>
  <si>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</si>
  <si>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</si>
  <si>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</si>
  <si>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</si>
  <si>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</si>
  <si>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</si>
  <si>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</si>
  <si>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</si>
  <si>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</si>
  <si>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</si>
  <si>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</si>
  <si>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</si>
  <si>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</si>
  <si>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</si>
  <si>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</si>
  <si>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</si>
  <si>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</si>
  <si>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</si>
  <si>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</si>
  <si>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</si>
  <si>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</si>
  <si>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</si>
  <si>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</si>
  <si>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</si>
  <si>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</si>
  <si>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</si>
  <si>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</si>
  <si>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</si>
  <si>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</si>
  <si>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</si>
  <si>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</si>
  <si>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</si>
  <si>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</si>
  <si>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</si>
  <si>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</si>
  <si>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</si>
  <si>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</si>
  <si>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</si>
  <si>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</si>
  <si>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</si>
  <si>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</si>
  <si>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</si>
  <si>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</si>
  <si>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</si>
  <si>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</si>
  <si>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</si>
  <si>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</si>
  <si>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</si>
  <si>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</si>
  <si>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</si>
  <si>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</si>
  <si>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</si>
  <si>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</si>
  <si>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</si>
  <si>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</si>
  <si>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</si>
  <si>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</si>
  <si>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</si>
  <si>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</si>
  <si>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</si>
  <si>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</si>
  <si>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</si>
  <si>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</si>
  <si>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</si>
  <si>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</si>
  <si>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</si>
  <si>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</si>
  <si>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</si>
  <si>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</si>
  <si>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</si>
  <si>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</si>
  <si>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</si>
  <si>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</si>
  <si>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</si>
  <si>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</si>
  <si>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</si>
  <si>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</si>
  <si>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</si>
  <si>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</si>
  <si>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</si>
  <si>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</si>
  <si>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</si>
  <si>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</si>
  <si>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</si>
  <si>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</si>
  <si>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</si>
  <si>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</si>
  <si>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</si>
  <si>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</si>
  <si>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</si>
  <si>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</si>
  <si>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</si>
  <si>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</si>
  <si>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</si>
  <si>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</si>
  <si>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</si>
  <si>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</si>
  <si>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</si>
  <si>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</si>
  <si>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</si>
  <si>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</si>
  <si>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</si>
  <si>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</si>
  <si>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</si>
  <si>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</si>
  <si>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</si>
  <si>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</si>
  <si>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</si>
  <si>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</si>
  <si>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</si>
  <si>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</si>
  <si>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</si>
  <si>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</si>
  <si>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</si>
  <si>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</si>
  <si>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</si>
  <si>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</si>
  <si>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</si>
  <si>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</si>
  <si>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</si>
  <si>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</si>
  <si>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</si>
  <si>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</si>
  <si>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</si>
  <si>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</si>
  <si>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</si>
  <si>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</si>
  <si>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</si>
  <si>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</si>
  <si>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</si>
  <si>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</si>
  <si>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</si>
  <si>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</si>
  <si>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</si>
  <si>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</si>
  <si>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</si>
  <si>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</si>
  <si>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</si>
  <si>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</si>
  <si>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</si>
  <si>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</si>
  <si>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</si>
  <si>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</si>
  <si>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</si>
  <si>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</si>
  <si>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</si>
  <si>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</si>
  <si>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</si>
  <si>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</si>
  <si>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</si>
  <si>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</si>
  <si>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</si>
  <si>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</si>
  <si>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</si>
  <si>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</si>
  <si>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</si>
  <si>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</si>
  <si>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</si>
  <si>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</si>
  <si>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</si>
  <si>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</si>
  <si>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</si>
  <si>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</si>
  <si>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</si>
  <si>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</si>
  <si>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</si>
  <si>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</si>
  <si>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</si>
  <si>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</si>
  <si>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</si>
  <si>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</si>
  <si>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</si>
  <si>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</si>
  <si>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</si>
  <si>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</si>
  <si>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</si>
  <si>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</si>
  <si>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</si>
  <si>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</si>
  <si>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</si>
  <si>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</si>
  <si>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</si>
  <si>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</si>
  <si>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</si>
  <si>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</si>
  <si>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</si>
  <si>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</si>
  <si>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</si>
  <si>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</si>
  <si>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</si>
  <si>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</si>
  <si>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</si>
  <si>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</si>
  <si>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</si>
  <si>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</si>
  <si>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</si>
  <si>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</si>
  <si>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</si>
  <si>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</si>
  <si>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</si>
  <si>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</si>
  <si>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</si>
  <si>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</si>
  <si>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</si>
  <si>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</si>
  <si>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</si>
  <si>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</si>
  <si>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</si>
  <si>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</si>
  <si>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</si>
  <si>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</si>
  <si>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</si>
  <si>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</si>
  <si>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</si>
  <si>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</si>
  <si>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</si>
  <si>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</si>
  <si>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</si>
  <si>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</si>
  <si>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</si>
  <si>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</si>
  <si>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</si>
  <si>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</si>
  <si>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</si>
  <si>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</si>
  <si>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</si>
  <si>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</si>
  <si>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</si>
  <si>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</si>
  <si>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</si>
  <si>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</si>
  <si>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</si>
  <si>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</si>
  <si>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</si>
  <si>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</si>
  <si>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</si>
  <si>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</si>
  <si>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</si>
  <si>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</si>
  <si>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</si>
  <si>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</si>
  <si>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</si>
  <si>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</si>
  <si>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</si>
  <si>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</si>
  <si>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</si>
  <si>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</si>
  <si>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</si>
  <si>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</si>
  <si>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</si>
  <si>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</si>
  <si>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</si>
  <si>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</si>
  <si>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</si>
  <si>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</si>
  <si>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</si>
  <si>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</si>
  <si>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</si>
  <si>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</si>
  <si>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</si>
  <si>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</si>
  <si>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</si>
  <si>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</si>
  <si>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</si>
  <si>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</si>
  <si>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</si>
  <si>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</si>
  <si>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</si>
  <si>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</si>
  <si>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</si>
  <si>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</si>
  <si>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</si>
  <si>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</si>
  <si>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</si>
  <si>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</si>
  <si>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</si>
  <si>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</si>
  <si>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</si>
  <si>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</si>
  <si>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</si>
  <si>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</si>
  <si>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</si>
  <si>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</si>
  <si>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</si>
  <si>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</si>
  <si>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</si>
  <si>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</si>
  <si>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</si>
  <si>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</si>
  <si>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</si>
  <si>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</si>
  <si>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</si>
  <si>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</si>
  <si>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</si>
  <si>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</si>
  <si>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</si>
  <si>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</si>
  <si>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</si>
  <si>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</si>
  <si>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</si>
  <si>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</si>
  <si>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</si>
  <si>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</si>
  <si>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</si>
  <si>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</si>
  <si>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</si>
  <si>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</si>
  <si>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</si>
  <si>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</si>
  <si>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</si>
  <si>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</si>
  <si>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</si>
  <si>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</si>
  <si>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</si>
  <si>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</si>
  <si>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</si>
  <si>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</si>
  <si>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</si>
  <si>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</si>
  <si>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</si>
  <si>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</si>
  <si>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</si>
  <si>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</si>
  <si>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</si>
  <si>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</si>
  <si>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</si>
  <si>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</si>
  <si>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</si>
  <si>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</si>
  <si>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</si>
  <si>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</si>
  <si>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</si>
  <si>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</si>
  <si>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</si>
  <si>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</si>
  <si>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</si>
  <si>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</si>
  <si>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</si>
  <si>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</si>
  <si>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</si>
  <si>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</si>
  <si>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</si>
  <si>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</si>
  <si>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</si>
  <si>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</si>
  <si>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</si>
  <si>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</si>
  <si>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</si>
  <si>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</si>
  <si>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</si>
  <si>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</si>
  <si>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</si>
  <si>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</si>
  <si>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</si>
  <si>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</si>
  <si>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</si>
  <si>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</si>
  <si>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</si>
  <si>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</si>
  <si>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</si>
  <si>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</si>
  <si>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</si>
  <si>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</si>
  <si>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</si>
  <si>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</si>
  <si>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</si>
  <si>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</si>
  <si>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</si>
  <si>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</si>
  <si>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</si>
  <si>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</si>
  <si>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</si>
  <si>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</si>
  <si>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</si>
  <si>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</si>
  <si>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</si>
  <si>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</si>
  <si>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</si>
  <si>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</si>
  <si>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</si>
  <si>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</si>
  <si>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</si>
  <si>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</si>
  <si>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</si>
  <si>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</si>
  <si>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</si>
  <si>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</si>
  <si>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</si>
  <si>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</si>
  <si>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</si>
  <si>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</si>
  <si>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</si>
  <si>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</si>
  <si>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</si>
  <si>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</si>
  <si>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</si>
  <si>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</si>
  <si>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</si>
  <si>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</si>
  <si>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</si>
  <si>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</si>
  <si>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</si>
  <si>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</si>
  <si>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</si>
  <si>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</si>
  <si>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</si>
  <si>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</si>
  <si>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</si>
  <si>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</si>
  <si>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</si>
  <si>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</si>
  <si>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</si>
  <si>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</si>
  <si>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</si>
  <si>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</si>
  <si>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</si>
  <si>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</si>
  <si>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</si>
  <si>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</si>
  <si>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</si>
  <si>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</si>
  <si>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</si>
  <si>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</si>
  <si>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</si>
  <si>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</si>
  <si>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</si>
  <si>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</si>
  <si>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</si>
  <si>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</si>
  <si>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</si>
  <si>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</si>
  <si>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</si>
  <si>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</si>
  <si>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</si>
  <si>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</si>
  <si>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</si>
  <si>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</si>
  <si>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</si>
  <si>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</si>
  <si>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</si>
  <si>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</si>
  <si>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</si>
  <si>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</si>
  <si>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</si>
  <si>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</si>
  <si>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</si>
  <si>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</si>
  <si>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</si>
  <si>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</si>
  <si>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</si>
  <si>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</si>
  <si>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</si>
  <si>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</si>
  <si>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</si>
  <si>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</si>
  <si>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</si>
  <si>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</si>
  <si>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</si>
  <si>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</si>
  <si>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</si>
  <si>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</si>
  <si>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</si>
  <si>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</si>
  <si>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</si>
  <si>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</si>
  <si>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</si>
  <si>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</si>
  <si>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</si>
  <si>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</si>
  <si>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</si>
  <si>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</si>
  <si>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</si>
  <si>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</si>
  <si>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</si>
  <si>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</si>
  <si>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</si>
  <si>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</si>
  <si>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</si>
  <si>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</si>
  <si>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</si>
  <si>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</si>
  <si>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</si>
  <si>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</si>
  <si>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</si>
  <si>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</si>
  <si>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</si>
  <si>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</si>
  <si>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</si>
  <si>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</si>
  <si>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</si>
  <si>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</si>
  <si>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</si>
  <si>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</si>
  <si>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</si>
  <si>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</si>
  <si>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</si>
  <si>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</si>
  <si>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</si>
  <si>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</si>
  <si>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</si>
  <si>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</si>
  <si>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</si>
  <si>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</si>
  <si>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</si>
  <si>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</si>
  <si>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</si>
  <si>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</si>
  <si>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</si>
  <si>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</si>
  <si>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</si>
  <si>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</si>
  <si>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</si>
  <si>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</si>
  <si>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</si>
  <si>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</si>
  <si>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</si>
  <si>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</si>
  <si>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</si>
  <si>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</si>
  <si>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</si>
  <si>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</si>
  <si>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</si>
  <si>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</si>
  <si>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</si>
  <si>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</si>
  <si>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</si>
  <si>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</si>
  <si>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</si>
  <si>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</si>
  <si>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</si>
  <si>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</si>
  <si>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</si>
  <si>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</si>
  <si>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</si>
  <si>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</si>
  <si>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</si>
  <si>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</si>
  <si>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</si>
  <si>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</si>
  <si>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</si>
  <si>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</si>
  <si>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</si>
  <si>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</si>
  <si>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</si>
  <si>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</si>
  <si>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</si>
  <si>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</si>
  <si>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</si>
  <si>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</si>
  <si>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</si>
  <si>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</si>
  <si>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</si>
  <si>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</si>
  <si>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</si>
  <si>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</si>
  <si>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</si>
  <si>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</si>
  <si>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</si>
  <si>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</si>
  <si>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</si>
  <si>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</si>
  <si>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</si>
  <si>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</si>
  <si>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</si>
  <si>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</si>
  <si>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</si>
  <si>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</si>
  <si>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</si>
  <si>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</si>
  <si>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</si>
  <si>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</si>
  <si>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</si>
  <si>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</si>
  <si>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</si>
  <si>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</si>
  <si>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</si>
  <si>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</si>
  <si>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</si>
  <si>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</si>
  <si>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</si>
  <si>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</si>
  <si>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</si>
  <si>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</si>
  <si>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</si>
  <si>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</si>
  <si>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</si>
  <si>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</si>
  <si>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</si>
  <si>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</si>
  <si>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</si>
  <si>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</si>
  <si>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</si>
  <si>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</si>
  <si>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</si>
  <si>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</si>
  <si>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</si>
  <si>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</si>
  <si>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</si>
  <si>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</si>
  <si>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</si>
  <si>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</si>
  <si>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</si>
  <si>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</si>
  <si>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</si>
  <si>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</si>
  <si>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</si>
  <si>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</si>
  <si>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</si>
  <si>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</si>
  <si>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</si>
  <si>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</si>
  <si>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</si>
  <si>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</si>
  <si>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</si>
  <si>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</si>
  <si>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</si>
  <si>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</si>
  <si>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</si>
  <si>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</si>
  <si>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</si>
  <si>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</si>
  <si>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</si>
  <si>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</si>
  <si>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</si>
  <si>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</si>
  <si>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</si>
  <si>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</si>
  <si>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</si>
  <si>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</si>
  <si>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</si>
  <si>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</si>
  <si>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</si>
  <si>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</si>
  <si>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</si>
  <si>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</si>
  <si>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</si>
  <si>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</si>
  <si>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</si>
  <si>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</si>
  <si>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</si>
  <si>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</si>
  <si>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</si>
  <si>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</si>
  <si>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</si>
  <si>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</si>
  <si>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</si>
  <si>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</si>
  <si>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</si>
  <si>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</si>
  <si>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</si>
  <si>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</si>
  <si>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</si>
  <si>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</si>
  <si>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</si>
  <si>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</si>
  <si>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</si>
  <si>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</si>
  <si>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</si>
  <si>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</si>
  <si>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</si>
  <si>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</si>
  <si>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</si>
  <si>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</si>
  <si>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</si>
  <si>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</si>
  <si>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</si>
  <si>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</si>
  <si>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</si>
  <si>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</si>
  <si>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</si>
  <si>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</si>
  <si>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</si>
  <si>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</si>
  <si>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</si>
  <si>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</si>
  <si>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</si>
  <si>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</si>
  <si>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</si>
  <si>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</si>
  <si>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</si>
  <si>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</si>
  <si>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</si>
  <si>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</si>
  <si>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</si>
  <si>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</si>
  <si>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</si>
  <si>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</si>
  <si>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</si>
  <si>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</si>
  <si>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</si>
  <si>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</si>
  <si>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</si>
  <si>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</si>
  <si>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</si>
  <si>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</si>
  <si>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</si>
  <si>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</si>
  <si>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</si>
  <si>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</si>
  <si>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</si>
  <si>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</si>
  <si>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</si>
  <si>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</si>
  <si>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</si>
  <si>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</si>
  <si>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</si>
  <si>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</si>
  <si>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</si>
  <si>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</si>
  <si>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</si>
  <si>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</si>
  <si>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</si>
  <si>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</si>
  <si>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</si>
  <si>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</si>
  <si>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</si>
  <si>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</si>
  <si>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</si>
  <si>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</si>
  <si>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</si>
  <si>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</si>
  <si>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</si>
  <si>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</si>
  <si>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</si>
  <si>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</si>
  <si>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</si>
  <si>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</si>
  <si>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</si>
  <si>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</si>
  <si>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</si>
  <si>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</si>
  <si>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</si>
  <si>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</si>
  <si>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</si>
  <si>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</si>
  <si>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</si>
  <si>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</si>
  <si>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</si>
  <si>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</si>
  <si>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</si>
  <si>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</si>
  <si>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</si>
  <si>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</si>
  <si>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</si>
  <si>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</si>
  <si>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</si>
  <si>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</si>
  <si>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</si>
  <si>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</si>
  <si>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</si>
  <si>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</si>
  <si>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</si>
  <si>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</si>
  <si>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</si>
  <si>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</si>
  <si>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</si>
  <si>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</si>
  <si>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</si>
  <si>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</si>
  <si>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</si>
  <si>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</si>
  <si>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</si>
  <si>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</si>
  <si>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</si>
  <si>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</si>
  <si>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</si>
  <si>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</si>
  <si>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</si>
  <si>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</si>
  <si>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</si>
  <si>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</si>
  <si>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</si>
  <si>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</si>
  <si>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</si>
  <si>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</si>
  <si>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</si>
  <si>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</si>
  <si>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</si>
  <si>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</si>
  <si>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</si>
  <si>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</si>
  <si>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</si>
  <si>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</si>
  <si>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</si>
  <si>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</si>
  <si>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</si>
  <si>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</si>
  <si>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</si>
  <si>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</si>
  <si>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</si>
  <si>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</si>
  <si>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</si>
  <si>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</si>
  <si>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</si>
  <si>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</si>
  <si>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</si>
  <si>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</si>
  <si>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</si>
  <si>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</si>
  <si>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</si>
  <si>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</si>
  <si>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</si>
  <si>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</si>
  <si>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</si>
  <si>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</si>
  <si>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</si>
  <si>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</si>
  <si>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</si>
  <si>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</si>
  <si>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</si>
  <si>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</si>
  <si>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</si>
  <si>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</si>
  <si>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</si>
  <si>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</si>
  <si>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</si>
  <si>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</si>
  <si>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</si>
  <si>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</si>
  <si>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</si>
  <si>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</si>
  <si>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</si>
  <si>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</si>
  <si>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</si>
  <si>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</si>
  <si>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</si>
  <si>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</si>
  <si>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</si>
  <si>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</si>
  <si>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</si>
  <si>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</si>
  <si>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</si>
  <si>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</si>
  <si>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</si>
  <si>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</si>
  <si>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</si>
  <si>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</si>
  <si>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</si>
  <si>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</si>
  <si>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</si>
  <si>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</si>
  <si>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</si>
  <si>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</si>
  <si>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</si>
  <si>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</si>
  <si>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</si>
  <si>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</si>
  <si>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</si>
  <si>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</si>
  <si>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</si>
  <si>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</si>
  <si>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</si>
  <si>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</si>
  <si>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</si>
  <si>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</si>
  <si>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</si>
  <si>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</si>
  <si>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</si>
  <si>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</si>
  <si>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</si>
  <si>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</si>
  <si>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</si>
  <si>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</si>
  <si>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</si>
  <si>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</si>
  <si>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</si>
  <si>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</si>
  <si>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</si>
  <si>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</si>
  <si>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</si>
  <si>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</si>
  <si>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</si>
  <si>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</si>
  <si>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</si>
  <si>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</si>
  <si>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</si>
  <si>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</si>
  <si>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</si>
  <si>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</si>
  <si>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</si>
  <si>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</si>
  <si>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</si>
  <si>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</si>
  <si>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</si>
  <si>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</si>
  <si>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</si>
  <si>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</si>
  <si>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</si>
  <si>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</si>
  <si>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</si>
  <si>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</si>
  <si>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</si>
  <si>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</si>
  <si>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</si>
  <si>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</si>
  <si>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</si>
  <si>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</si>
  <si>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</si>
  <si>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</si>
  <si>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</si>
  <si>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</si>
  <si>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</si>
  <si>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</si>
  <si>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</si>
  <si>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</si>
  <si>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</si>
  <si>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</si>
  <si>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</si>
  <si>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</si>
  <si>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</si>
  <si>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</si>
  <si>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</si>
  <si>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</si>
  <si>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</si>
  <si>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</si>
  <si>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</si>
  <si>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</si>
  <si>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</si>
  <si>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</si>
  <si>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</si>
  <si>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</si>
  <si>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</si>
  <si>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</si>
  <si>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</si>
  <si>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</si>
  <si>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</si>
  <si>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</si>
  <si>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</si>
  <si>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</si>
  <si>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</si>
  <si>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</si>
  <si>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</si>
  <si>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</si>
  <si>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</si>
  <si>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</si>
  <si>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</si>
  <si>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</si>
  <si>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</si>
  <si>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</si>
  <si>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</si>
  <si>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</si>
  <si>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</si>
  <si>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</si>
  <si>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</si>
  <si>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</si>
  <si>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</si>
  <si>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</si>
  <si>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</si>
  <si>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</si>
  <si>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</si>
  <si>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</si>
  <si>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</si>
  <si>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</si>
  <si>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</si>
  <si>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</si>
  <si>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</si>
  <si>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</si>
  <si>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</si>
  <si>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</si>
  <si>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</si>
  <si>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</si>
  <si>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</si>
  <si>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</si>
  <si>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</si>
  <si>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</si>
  <si>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</si>
  <si>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</si>
  <si>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</si>
  <si>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</si>
  <si>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</si>
  <si>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</si>
  <si>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</si>
  <si>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</si>
  <si>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</si>
  <si>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</si>
  <si>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</si>
  <si>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</si>
  <si>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</si>
  <si>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</si>
  <si>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</si>
  <si>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</si>
  <si>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</si>
  <si>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</si>
  <si>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</si>
  <si>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</si>
  <si>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</si>
  <si>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</si>
  <si>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</si>
  <si>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</si>
  <si>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</si>
  <si>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</si>
  <si>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</si>
  <si>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</si>
  <si>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</si>
  <si>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</si>
  <si>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</si>
  <si>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</si>
  <si>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</si>
  <si>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</si>
  <si>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</si>
  <si>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</si>
  <si>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</si>
  <si>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</si>
  <si>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</si>
  <si>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</si>
  <si>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</si>
  <si>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</si>
  <si>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</si>
  <si>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</si>
  <si>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</si>
  <si>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</si>
  <si>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</si>
  <si>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</si>
  <si>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</si>
  <si>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</si>
  <si>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</si>
  <si>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</si>
  <si>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</si>
  <si>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</si>
  <si>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</si>
  <si>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</si>
  <si>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</si>
  <si>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</si>
  <si>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</si>
  <si>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</si>
  <si>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</si>
  <si>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</si>
  <si>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</si>
  <si>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</si>
  <si>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</si>
  <si>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</si>
  <si>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</si>
  <si>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</si>
  <si>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</si>
  <si>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</si>
  <si>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</si>
  <si>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</si>
  <si>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</si>
  <si>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</si>
  <si>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</si>
  <si>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</si>
  <si>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</si>
  <si>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</si>
  <si>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</si>
  <si>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</si>
  <si>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</si>
  <si>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</si>
  <si>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</si>
  <si>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</si>
  <si>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</si>
  <si>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</si>
  <si>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</si>
  <si>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</si>
  <si>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</si>
  <si>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</si>
  <si>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</si>
  <si>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</si>
  <si>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</si>
  <si>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</si>
  <si>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</si>
  <si>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</si>
  <si>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</si>
  <si>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</si>
  <si>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</si>
  <si>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</si>
  <si>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</si>
  <si>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</si>
  <si>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</si>
  <si>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</si>
  <si>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</si>
  <si>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</si>
  <si>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</si>
  <si>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</si>
  <si>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</si>
  <si>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</si>
  <si>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</si>
  <si>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</si>
  <si>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</si>
  <si>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</si>
  <si>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</si>
  <si>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</si>
  <si>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</si>
  <si>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</si>
  <si>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</si>
  <si>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</si>
  <si>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</si>
  <si>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</si>
  <si>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</si>
  <si>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</si>
  <si>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</si>
  <si>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</si>
  <si>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</si>
  <si>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</si>
  <si>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</si>
  <si>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</si>
  <si>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</si>
  <si>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</si>
  <si>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</si>
  <si>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</si>
  <si>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</si>
  <si>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</si>
  <si>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</si>
  <si>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</si>
  <si>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</si>
  <si>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</si>
  <si>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</si>
  <si>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</si>
  <si>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</si>
  <si>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</si>
  <si>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</si>
  <si>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</si>
  <si>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</si>
  <si>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</si>
  <si>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</si>
  <si>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</si>
  <si>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</si>
  <si>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</si>
  <si>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</si>
  <si>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</si>
  <si>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</si>
  <si>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</si>
  <si>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</si>
  <si>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</si>
  <si>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</si>
  <si>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</si>
  <si>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</si>
  <si>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</si>
  <si>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</si>
  <si>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</si>
  <si>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</si>
  <si>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</si>
  <si>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</si>
  <si>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</si>
  <si>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</si>
  <si>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</si>
  <si>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</si>
  <si>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</si>
  <si>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</si>
  <si>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</si>
  <si>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</si>
  <si>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</si>
  <si>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</si>
  <si>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</si>
  <si>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</si>
  <si>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</si>
  <si>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</si>
  <si>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</si>
  <si>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</si>
  <si>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</si>
  <si>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</si>
  <si>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</si>
  <si>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</si>
  <si>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</si>
  <si>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</si>
  <si>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</si>
  <si>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</si>
  <si>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</si>
  <si>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</si>
  <si>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</si>
  <si>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</si>
  <si>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</si>
  <si>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</si>
  <si>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</si>
  <si>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</si>
  <si>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</si>
  <si>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</si>
  <si>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</si>
  <si>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</si>
  <si>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</si>
  <si>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</si>
  <si>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</si>
  <si>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</si>
  <si>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</si>
  <si>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</si>
  <si>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</si>
  <si>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</si>
  <si>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</si>
  <si>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</si>
  <si>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</si>
  <si>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</si>
  <si>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</si>
  <si>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</si>
  <si>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</si>
  <si>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</si>
  <si>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</si>
  <si>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</si>
  <si>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</si>
  <si>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</si>
  <si>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</si>
  <si>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</si>
  <si>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</si>
  <si>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</si>
  <si>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</si>
  <si>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</si>
  <si>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</si>
  <si>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</si>
  <si>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</si>
  <si>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</si>
  <si>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</si>
  <si>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</si>
  <si>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</si>
  <si>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</si>
  <si>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</si>
  <si>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</si>
  <si>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</si>
  <si>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</si>
  <si>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</si>
  <si>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</si>
  <si>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</si>
  <si>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</si>
  <si>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</si>
  <si>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</si>
  <si>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</si>
  <si>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</si>
  <si>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</si>
  <si>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</si>
  <si>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</si>
  <si>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</si>
  <si>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</si>
  <si>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</si>
  <si>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</si>
  <si>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</si>
  <si>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</si>
  <si>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</si>
  <si>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</si>
  <si>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</si>
  <si>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</si>
  <si>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</si>
  <si>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</si>
  <si>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</si>
  <si>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</si>
  <si>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</si>
  <si>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</si>
  <si>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</si>
  <si>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</si>
  <si>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</si>
  <si>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</si>
  <si>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</si>
  <si>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</si>
  <si>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</si>
  <si>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</si>
  <si>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</si>
  <si>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</si>
  <si>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</si>
  <si>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</si>
  <si>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</si>
  <si>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</si>
  <si>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</si>
  <si>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</si>
  <si>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</si>
  <si>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</si>
  <si>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</si>
  <si>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</si>
  <si>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</si>
  <si>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</si>
  <si>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</si>
  <si>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</si>
  <si>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</si>
  <si>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</si>
  <si>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</si>
  <si>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</si>
  <si>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</si>
  <si>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</si>
  <si>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</si>
  <si>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</si>
  <si>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</si>
  <si>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</si>
  <si>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</si>
  <si>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</si>
  <si>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</si>
  <si>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</si>
  <si>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</si>
  <si>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</si>
  <si>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</si>
  <si>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</si>
  <si>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</si>
  <si>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</si>
  <si>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</si>
  <si>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</si>
  <si>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</si>
  <si>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</si>
  <si>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</si>
  <si>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</si>
  <si>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</si>
  <si>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</si>
  <si>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</si>
  <si>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</si>
  <si>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</si>
  <si>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</si>
  <si>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</si>
  <si>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</si>
  <si>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</si>
  <si>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</si>
  <si>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</si>
  <si>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</si>
  <si>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</si>
  <si>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</si>
  <si>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</si>
  <si>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</si>
  <si>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</si>
  <si>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</si>
  <si>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</si>
  <si>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</si>
  <si>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</si>
  <si>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</si>
  <si>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</si>
  <si>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</si>
  <si>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</si>
  <si>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</si>
  <si>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</si>
  <si>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</si>
  <si>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</si>
  <si>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</si>
  <si>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</si>
  <si>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</si>
  <si>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</si>
  <si>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</si>
  <si>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</si>
  <si>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</si>
  <si>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</si>
  <si>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</si>
  <si>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</si>
  <si>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</si>
  <si>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</si>
  <si>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</si>
  <si>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</si>
  <si>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</si>
  <si>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</si>
  <si>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</si>
  <si>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</si>
  <si>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</si>
  <si>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</si>
  <si>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</si>
  <si>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</si>
  <si>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</si>
  <si>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</si>
  <si>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</si>
  <si>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</si>
  <si>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</si>
  <si>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</si>
  <si>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</si>
  <si>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</si>
  <si>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</si>
  <si>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</si>
  <si>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</si>
  <si>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</si>
  <si>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</si>
  <si>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</si>
  <si>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</si>
  <si>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</si>
  <si>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</si>
  <si>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</si>
  <si>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</si>
  <si>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</si>
  <si>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</si>
  <si>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</si>
  <si>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</si>
  <si>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</si>
  <si>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</si>
  <si>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</si>
  <si>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</si>
  <si>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</si>
  <si>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</si>
  <si>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</si>
  <si>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</si>
  <si>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</si>
  <si>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</si>
  <si>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</si>
  <si>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</si>
  <si>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</si>
  <si>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</si>
  <si>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</si>
  <si>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</si>
  <si>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</si>
  <si>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</si>
  <si>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</si>
  <si>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</si>
  <si>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</si>
  <si>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</si>
  <si>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</si>
  <si>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</si>
  <si>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</si>
  <si>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</si>
  <si>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</si>
  <si>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</si>
  <si>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</si>
  <si>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</si>
  <si>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</si>
  <si>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</si>
  <si>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</si>
  <si>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</si>
  <si>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</si>
  <si>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</si>
  <si>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</si>
  <si>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</si>
  <si>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</si>
  <si>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</si>
  <si>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</si>
  <si>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</si>
  <si>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</si>
  <si>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</si>
  <si>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</si>
  <si>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</si>
  <si>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</si>
  <si>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</si>
  <si>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</si>
  <si>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</si>
  <si>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</si>
  <si>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</si>
  <si>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</si>
  <si>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</si>
  <si>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</si>
  <si>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</si>
  <si>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</si>
  <si>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</si>
  <si>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</si>
  <si>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</si>
  <si>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</si>
  <si>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</si>
  <si>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</si>
  <si>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</si>
  <si>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</si>
  <si>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</si>
  <si>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</si>
  <si>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</si>
  <si>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</si>
  <si>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</si>
  <si>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</si>
  <si>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</si>
  <si>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</si>
  <si>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</si>
  <si>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</si>
  <si>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</si>
  <si>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</si>
  <si>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</si>
  <si>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</si>
  <si>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</si>
  <si>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</si>
  <si>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</si>
  <si>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</si>
  <si>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</si>
  <si>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</si>
  <si>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</si>
  <si>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</si>
  <si>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</si>
  <si>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</si>
  <si>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</si>
  <si>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</si>
  <si>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</si>
  <si>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</si>
  <si>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</si>
  <si>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</si>
  <si>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</si>
  <si>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</si>
  <si>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</si>
  <si>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</si>
  <si>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</si>
  <si>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</si>
  <si>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</si>
  <si>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</si>
  <si>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</si>
  <si>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</si>
  <si>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</si>
  <si>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</si>
  <si>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</si>
  <si>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</si>
  <si>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</si>
  <si>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</si>
  <si>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</si>
  <si>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</si>
  <si>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</si>
  <si>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</si>
  <si>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</si>
  <si>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</si>
  <si>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</si>
  <si>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</si>
  <si>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</si>
  <si>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</si>
  <si>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</si>
  <si>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</si>
  <si>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</si>
  <si>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</si>
  <si>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</si>
  <si>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</si>
  <si>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</si>
  <si>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</si>
  <si>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</si>
  <si>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</si>
  <si>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</si>
  <si>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</si>
  <si>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</si>
  <si>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</si>
  <si>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</si>
  <si>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</si>
  <si>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</si>
  <si>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</si>
  <si>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</si>
  <si>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</si>
  <si>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</si>
  <si>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</si>
  <si>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</si>
  <si>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</si>
  <si>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</si>
  <si>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</si>
  <si>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</si>
  <si>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</si>
  <si>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</si>
  <si>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</si>
  <si>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</si>
  <si>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</si>
  <si>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</si>
  <si>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</si>
  <si>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</si>
  <si>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</si>
  <si>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</si>
  <si>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</si>
  <si>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</si>
  <si>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</si>
  <si>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</si>
  <si>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</si>
  <si>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</si>
  <si>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</si>
  <si>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</si>
  <si>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</si>
  <si>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</si>
  <si>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</si>
  <si>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</si>
  <si>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</si>
  <si>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</si>
  <si>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</si>
  <si>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</si>
  <si>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</si>
  <si>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</si>
  <si>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</si>
  <si>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</si>
  <si>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</si>
  <si>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</si>
  <si>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</si>
  <si>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</si>
  <si>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</si>
  <si>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</si>
  <si>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</si>
  <si>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</si>
  <si>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</si>
  <si>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</si>
  <si>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</si>
  <si>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</si>
  <si>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</si>
  <si>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</si>
  <si>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</si>
  <si>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</si>
  <si>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</si>
  <si>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</si>
  <si>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</si>
  <si>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</si>
  <si>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</si>
  <si>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</si>
  <si>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</si>
  <si>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</si>
  <si>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</si>
  <si>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</si>
  <si>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</si>
  <si>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</si>
  <si>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</si>
  <si>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</si>
  <si>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</si>
  <si>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</si>
  <si>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</si>
  <si>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</si>
  <si>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</si>
  <si>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</si>
  <si>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</si>
  <si>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</si>
  <si>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</si>
  <si>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</si>
  <si>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</si>
  <si>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</si>
  <si>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</si>
  <si>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</si>
  <si>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</si>
  <si>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</si>
  <si>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</si>
  <si>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</si>
  <si>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</si>
  <si>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</si>
  <si>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</si>
  <si>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</si>
  <si>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</si>
  <si>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</si>
  <si>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</si>
  <si>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</si>
  <si>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</si>
  <si>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</si>
  <si>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</si>
  <si>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</si>
  <si>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</si>
  <si>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</si>
  <si>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</si>
  <si>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</si>
  <si>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</si>
  <si>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</si>
  <si>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</si>
  <si>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</si>
  <si>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</si>
  <si>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</si>
  <si>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</si>
  <si>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</si>
  <si>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</si>
  <si>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</si>
  <si>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</si>
  <si>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</si>
  <si>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</si>
  <si>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</si>
  <si>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</si>
  <si>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</si>
  <si>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</si>
  <si>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</si>
  <si>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</si>
  <si>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</si>
  <si>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</si>
  <si>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</si>
  <si>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</si>
  <si>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</si>
  <si>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</si>
  <si>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</si>
  <si>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</si>
  <si>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</si>
  <si>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</si>
  <si>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</si>
  <si>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</si>
  <si>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</si>
  <si>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</si>
  <si>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</si>
  <si>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</si>
  <si>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</si>
  <si>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</si>
  <si>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</si>
  <si>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</si>
  <si>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</si>
  <si>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</si>
  <si>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</si>
  <si>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</si>
  <si>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</si>
  <si>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</si>
  <si>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</si>
  <si>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</si>
  <si>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</si>
  <si>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</si>
  <si>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</si>
  <si>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</si>
  <si>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</si>
  <si>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</si>
  <si>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</si>
  <si>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</si>
  <si>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</si>
  <si>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</si>
  <si>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</si>
  <si>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</si>
  <si>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</si>
  <si>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</si>
  <si>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</si>
  <si>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</si>
  <si>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</si>
  <si>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</si>
  <si>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</si>
  <si>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</si>
  <si>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</si>
  <si>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</si>
  <si>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</si>
  <si>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</si>
  <si>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</si>
  <si>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</si>
  <si>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</si>
  <si>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</si>
  <si>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</si>
  <si>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</si>
  <si>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</si>
  <si>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</si>
  <si>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</si>
  <si>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</si>
  <si>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</si>
  <si>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</si>
  <si>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</si>
  <si>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</si>
  <si>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</si>
  <si>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</si>
  <si>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</si>
  <si>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</si>
  <si>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</si>
  <si>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</si>
  <si>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</si>
  <si>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</si>
  <si>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</si>
  <si>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</si>
  <si>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</si>
  <si>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</si>
  <si>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</si>
  <si>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</si>
  <si>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</si>
  <si>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</si>
  <si>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</si>
  <si>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</si>
  <si>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</si>
  <si>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</si>
  <si>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</si>
  <si>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</si>
  <si>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</si>
  <si>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</si>
  <si>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</si>
  <si>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</si>
  <si>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</si>
  <si>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</si>
  <si>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</si>
  <si>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</si>
  <si>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</si>
  <si>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</si>
  <si>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</si>
  <si>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</si>
  <si>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</si>
  <si>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</si>
  <si>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</si>
  <si>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</si>
  <si>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</si>
  <si>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</si>
  <si>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</si>
  <si>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</si>
  <si>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</si>
  <si>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</si>
  <si>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</si>
  <si>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</si>
  <si>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</si>
  <si>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</si>
  <si>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</si>
  <si>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</si>
  <si>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</si>
  <si>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</si>
  <si>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</si>
  <si>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</si>
  <si>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</si>
  <si>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</si>
  <si>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</si>
  <si>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</si>
  <si>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</si>
  <si>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</si>
  <si>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</si>
  <si>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</si>
  <si>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</si>
  <si>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</si>
  <si>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</si>
  <si>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</si>
  <si>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</si>
  <si>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</si>
  <si>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</si>
  <si>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</si>
  <si>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</si>
  <si>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</si>
  <si>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</si>
  <si>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</si>
  <si>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</si>
  <si>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</si>
  <si>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</si>
  <si>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</si>
  <si>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</si>
  <si>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</si>
  <si>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</si>
  <si>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</si>
  <si>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</si>
  <si>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</si>
  <si>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</si>
  <si>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</si>
  <si>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</si>
  <si>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</si>
  <si>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</si>
  <si>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</si>
  <si>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</si>
  <si>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</si>
  <si>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</si>
  <si>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</si>
  <si>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</si>
  <si>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</si>
  <si>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</si>
  <si>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</si>
  <si>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</si>
  <si>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</si>
  <si>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</si>
  <si>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</si>
  <si>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</si>
  <si>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</si>
  <si>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</si>
  <si>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</si>
  <si>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</si>
  <si>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</si>
  <si>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</si>
  <si>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</si>
  <si>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</si>
  <si>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</si>
  <si>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</si>
  <si>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</si>
  <si>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</si>
  <si>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</si>
  <si>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</si>
  <si>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</si>
  <si>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</si>
  <si>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</si>
  <si>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</si>
  <si>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</si>
  <si>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</si>
  <si>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</si>
  <si>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</si>
  <si>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</si>
  <si>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</si>
  <si>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</si>
  <si>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</si>
  <si>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</si>
  <si>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</si>
  <si>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</si>
  <si>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</si>
  <si>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</si>
  <si>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</si>
  <si>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</si>
  <si>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</si>
  <si>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</si>
  <si>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</si>
  <si>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</si>
  <si>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</si>
  <si>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</si>
  <si>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</si>
  <si>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</si>
  <si>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</si>
  <si>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</si>
  <si>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</si>
  <si>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</si>
  <si>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</si>
  <si>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</si>
  <si>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</si>
  <si>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</si>
  <si>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</si>
  <si>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</si>
  <si>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</si>
  <si>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</si>
  <si>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</si>
  <si>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</si>
  <si>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</si>
  <si>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</si>
  <si>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</si>
  <si>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</si>
  <si>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</si>
  <si>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</si>
  <si>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</si>
  <si>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</si>
  <si>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</si>
  <si>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</si>
  <si>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</si>
  <si>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</si>
  <si>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</si>
  <si>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</si>
  <si>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</si>
  <si>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</si>
  <si>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</si>
  <si>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</si>
  <si>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</si>
  <si>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</si>
  <si>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</si>
  <si>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</si>
  <si>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</si>
  <si>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</si>
  <si>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</si>
  <si>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</si>
  <si>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</si>
  <si>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</si>
  <si>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</si>
  <si>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</si>
  <si>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</si>
  <si>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</si>
  <si>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</si>
  <si>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</si>
  <si>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</si>
  <si>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</si>
  <si>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</si>
  <si>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</si>
  <si>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</si>
  <si>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</si>
  <si>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</si>
  <si>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</si>
  <si>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</si>
  <si>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</si>
  <si>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</si>
  <si>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</si>
  <si>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</si>
  <si>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</si>
  <si>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</si>
  <si>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</si>
  <si>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</si>
  <si>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</si>
  <si>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</si>
  <si>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</si>
  <si>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</si>
  <si>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</si>
  <si>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</si>
  <si>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</si>
  <si>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</si>
  <si>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</si>
  <si>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</si>
  <si>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</si>
  <si>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</si>
  <si>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</si>
  <si>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</si>
  <si>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</si>
  <si>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</si>
  <si>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</si>
  <si>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</si>
  <si>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</si>
  <si>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</si>
  <si>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</si>
  <si>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</si>
  <si>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</si>
  <si>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</si>
  <si>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</si>
  <si>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</si>
  <si>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</si>
  <si>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</si>
  <si>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</si>
  <si>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</si>
  <si>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</si>
  <si>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</si>
  <si>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</si>
  <si>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</si>
  <si>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</si>
  <si>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</si>
  <si>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</si>
  <si>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</si>
  <si>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</si>
  <si>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</si>
  <si>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</si>
  <si>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</si>
  <si>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</si>
  <si>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</si>
  <si>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</si>
  <si>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</si>
  <si>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</si>
  <si>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</si>
  <si>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</si>
  <si>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</si>
  <si>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</si>
  <si>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</si>
  <si>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</si>
  <si>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</si>
  <si>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</si>
  <si>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</si>
  <si>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</si>
  <si>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</si>
  <si>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</si>
  <si>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</si>
  <si>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</si>
  <si>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</si>
  <si>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</si>
  <si>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</si>
  <si>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</si>
  <si>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</si>
  <si>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</si>
  <si>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</si>
  <si>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</si>
  <si>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</si>
  <si>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</si>
  <si>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</si>
  <si>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</si>
  <si>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</si>
  <si>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</si>
  <si>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</si>
  <si>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</si>
  <si>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</si>
  <si>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</si>
  <si>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</si>
  <si>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</si>
  <si>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</si>
  <si>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</si>
  <si>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</si>
  <si>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</si>
  <si>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</si>
  <si>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</si>
  <si>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</si>
  <si>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</si>
  <si>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</si>
  <si>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</si>
  <si>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</si>
  <si>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</si>
  <si>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</si>
  <si>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</si>
  <si>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</si>
  <si>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</si>
  <si>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</si>
  <si>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</si>
  <si>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</si>
  <si>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</si>
  <si>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</si>
  <si>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</si>
  <si>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</si>
  <si>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</si>
  <si>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</si>
  <si>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</si>
  <si>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</si>
  <si>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</si>
  <si>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</si>
  <si>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</si>
  <si>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</si>
  <si>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</si>
  <si>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</si>
  <si>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</si>
  <si>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</si>
  <si>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</si>
  <si>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</si>
  <si>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</si>
  <si>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</si>
  <si>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</si>
  <si>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</si>
  <si>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</si>
  <si>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</si>
  <si>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</si>
  <si>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</si>
  <si>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</si>
  <si>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</si>
  <si>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</si>
  <si>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</si>
  <si>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</si>
  <si>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</si>
  <si>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</si>
  <si>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</si>
  <si>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</si>
  <si>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</si>
  <si>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</si>
  <si>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</si>
  <si>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</si>
  <si>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</si>
  <si>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</si>
  <si>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</si>
  <si>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</si>
  <si>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</si>
  <si>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</si>
  <si>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</si>
  <si>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</si>
  <si>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</si>
  <si>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</si>
  <si>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</si>
  <si>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</si>
  <si>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</si>
  <si>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</si>
  <si>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</si>
  <si>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</si>
  <si>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</si>
  <si>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</si>
  <si>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</si>
  <si>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</si>
  <si>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</si>
  <si>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</si>
  <si>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</si>
  <si>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</si>
  <si>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</si>
  <si>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</si>
  <si>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</si>
  <si>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</si>
  <si>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</si>
  <si>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</si>
  <si>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</si>
  <si>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</si>
  <si>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</si>
  <si>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</si>
  <si>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</si>
  <si>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</si>
  <si>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</si>
  <si>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</si>
  <si>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</si>
  <si>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</si>
  <si>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</si>
  <si>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</si>
  <si>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</si>
  <si>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</si>
  <si>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</si>
  <si>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</si>
  <si>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</si>
  <si>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</si>
  <si>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</si>
  <si>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</si>
  <si>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</si>
  <si>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</si>
  <si>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</si>
  <si>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</si>
  <si>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</si>
  <si>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</si>
  <si>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</si>
  <si>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</si>
  <si>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</si>
  <si>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</si>
  <si>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</si>
  <si>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</si>
  <si>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</si>
  <si>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</si>
  <si>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</si>
  <si>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</si>
  <si>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</si>
  <si>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</si>
  <si>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</si>
  <si>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</si>
  <si>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</si>
  <si>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</si>
  <si>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</si>
  <si>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</si>
  <si>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</si>
  <si>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</si>
  <si>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</si>
  <si>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</si>
  <si>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</si>
  <si>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</si>
  <si>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</si>
  <si>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</si>
  <si>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</si>
  <si>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</si>
  <si>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</si>
  <si>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</si>
  <si>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</si>
  <si>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</si>
  <si>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</si>
  <si>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</si>
  <si>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</si>
  <si>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</si>
  <si>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</si>
  <si>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</si>
  <si>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</si>
  <si>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</si>
  <si>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</si>
  <si>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</si>
  <si>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</si>
  <si>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</si>
  <si>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</si>
  <si>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</si>
  <si>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</si>
  <si>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</si>
  <si>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</si>
  <si>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</si>
  <si>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</si>
  <si>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</si>
  <si>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</si>
  <si>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</si>
  <si>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</si>
  <si>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</si>
  <si>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</si>
  <si>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</si>
  <si>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</si>
  <si>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</si>
  <si>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</si>
  <si>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</si>
  <si>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</si>
  <si>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</si>
  <si>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</si>
  <si>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</si>
  <si>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</si>
  <si>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</si>
  <si>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</si>
  <si>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</si>
  <si>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</si>
  <si>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</si>
  <si>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</si>
  <si>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</si>
  <si>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</si>
  <si>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</si>
  <si>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</si>
  <si>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</si>
  <si>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</si>
  <si>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</si>
  <si>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</si>
  <si>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</si>
  <si>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</si>
  <si>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</si>
  <si>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</si>
  <si>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</si>
  <si>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</si>
  <si>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</si>
  <si>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</si>
  <si>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</si>
  <si>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</si>
  <si>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</si>
  <si>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</si>
  <si>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</si>
  <si>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</si>
  <si>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</si>
  <si>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</si>
  <si>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</si>
  <si>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</si>
  <si>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</si>
  <si>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</si>
  <si>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</si>
  <si>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</si>
  <si>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</si>
  <si>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</si>
  <si>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</si>
  <si>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</si>
  <si>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</si>
  <si>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</si>
  <si>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</si>
  <si>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</si>
  <si>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</si>
  <si>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</si>
  <si>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</si>
  <si>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</si>
  <si>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</si>
  <si>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</si>
  <si>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</si>
  <si>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</si>
  <si>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</si>
  <si>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</si>
  <si>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</si>
  <si>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</si>
  <si>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</si>
  <si>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</si>
  <si>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</si>
  <si>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</si>
  <si>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</si>
  <si>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</si>
  <si>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</si>
  <si>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</si>
  <si>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</si>
  <si>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</si>
  <si>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</si>
  <si>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</si>
  <si>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</si>
  <si>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</si>
  <si>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</si>
  <si>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</si>
  <si>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</si>
  <si>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</si>
  <si>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</si>
  <si>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</si>
  <si>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</si>
  <si>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</si>
  <si>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</si>
  <si>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</si>
  <si>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</si>
  <si>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</si>
  <si>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</si>
  <si>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</si>
  <si>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</si>
  <si>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</si>
  <si>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</si>
  <si>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</si>
  <si>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</si>
  <si>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</si>
  <si>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</si>
  <si>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</si>
  <si>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</si>
  <si>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</si>
  <si>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</si>
  <si>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</si>
  <si>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</si>
  <si>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</si>
  <si>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</si>
  <si>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</si>
  <si>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</si>
  <si>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</si>
  <si>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</si>
  <si>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</si>
  <si>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</si>
  <si>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</si>
  <si>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</si>
  <si>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</si>
  <si>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</si>
  <si>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</si>
  <si>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</si>
  <si>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</si>
  <si>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</si>
  <si>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</si>
  <si>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</si>
  <si>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</si>
  <si>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</si>
  <si>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</si>
  <si>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</si>
  <si>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</si>
  <si>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</si>
  <si>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</si>
  <si>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</si>
  <si>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</si>
  <si>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</si>
  <si>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</si>
  <si>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</si>
  <si>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</si>
  <si>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</si>
  <si>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</si>
  <si>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</si>
  <si>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</si>
  <si>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</si>
  <si>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</si>
  <si>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</si>
  <si>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</si>
  <si>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</si>
  <si>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</si>
  <si>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</si>
  <si>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</si>
  <si>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</si>
  <si>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</si>
  <si>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</si>
  <si>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</si>
  <si>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</si>
  <si>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</si>
  <si>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</si>
  <si>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</si>
  <si>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</si>
  <si>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</si>
  <si>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</si>
  <si>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</si>
  <si>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</si>
  <si>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</si>
  <si>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</si>
  <si>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</si>
  <si>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</si>
  <si>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</si>
  <si>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</si>
  <si>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</si>
  <si>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</si>
  <si>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</si>
  <si>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</si>
  <si>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</si>
  <si>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</si>
  <si>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</si>
  <si>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</si>
  <si>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</si>
  <si>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</si>
  <si>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</si>
  <si>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</si>
  <si>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</si>
  <si>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</si>
  <si>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</si>
  <si>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</si>
  <si>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</si>
  <si>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</si>
  <si>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</si>
  <si>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</si>
  <si>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</si>
  <si>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</si>
  <si>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</si>
  <si>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</si>
  <si>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</si>
  <si>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</si>
  <si>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</si>
  <si>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</si>
  <si>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</si>
  <si>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</si>
  <si>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</si>
  <si>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</si>
  <si>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</si>
  <si>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</si>
  <si>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</si>
  <si>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</si>
  <si>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</si>
  <si>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</si>
  <si>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</si>
  <si>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</si>
  <si>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</si>
  <si>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</si>
  <si>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</si>
  <si>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</si>
  <si>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</si>
  <si>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</si>
  <si>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</si>
  <si>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</si>
  <si>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</si>
  <si>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</si>
  <si>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</si>
  <si>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</si>
  <si>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</si>
  <si>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</si>
  <si>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</si>
  <si>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</si>
  <si>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</si>
  <si>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</si>
  <si>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</si>
  <si>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</si>
  <si>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</si>
  <si>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</si>
  <si>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</si>
  <si>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</si>
  <si>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</si>
  <si>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</si>
  <si>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</si>
  <si>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</si>
  <si>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</si>
  <si>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</si>
  <si>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</si>
  <si>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</si>
  <si>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</si>
  <si>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</si>
  <si>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</si>
  <si>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</si>
  <si>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</si>
  <si>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</si>
  <si>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</si>
  <si>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</si>
  <si>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</si>
  <si>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</si>
  <si>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</si>
  <si>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</si>
  <si>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</si>
  <si>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</si>
  <si>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</si>
  <si>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</si>
  <si>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</si>
  <si>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</si>
  <si>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</si>
  <si>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</si>
  <si>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</si>
  <si>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</si>
  <si>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</si>
  <si>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</si>
  <si>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</si>
  <si>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</si>
  <si>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</si>
  <si>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</si>
  <si>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</si>
  <si>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</si>
  <si>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</si>
  <si>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</si>
  <si>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</si>
  <si>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</si>
  <si>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</si>
  <si>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</si>
  <si>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</si>
  <si>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</si>
  <si>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</si>
  <si>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</si>
  <si>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</si>
  <si>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</si>
  <si>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</si>
  <si>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</si>
  <si>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</si>
  <si>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</si>
  <si>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</si>
  <si>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</si>
  <si>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</si>
  <si>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</si>
  <si>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</si>
  <si>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</si>
  <si>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</si>
  <si>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</si>
  <si>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</si>
  <si>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</si>
  <si>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</si>
  <si>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</si>
  <si>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</si>
  <si>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</si>
  <si>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</si>
  <si>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</si>
  <si>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</si>
  <si>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</si>
  <si>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</si>
  <si>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</si>
  <si>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</si>
  <si>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</si>
  <si>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</si>
  <si>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</si>
  <si>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</si>
  <si>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</si>
  <si>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</si>
  <si>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</si>
  <si>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</si>
  <si>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</si>
  <si>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</si>
  <si>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</si>
  <si>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</si>
  <si>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</si>
  <si>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</si>
  <si>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</si>
  <si>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</si>
  <si>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</si>
  <si>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</si>
  <si>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</si>
  <si>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</si>
  <si>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</si>
  <si>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</si>
  <si>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</si>
  <si>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</si>
  <si>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</si>
  <si>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</si>
  <si>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</si>
  <si>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</si>
  <si>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</si>
  <si>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</si>
  <si>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</si>
  <si>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</si>
  <si>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</si>
  <si>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</si>
  <si>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</si>
  <si>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</si>
  <si>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</si>
  <si>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</si>
  <si>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</si>
  <si>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</si>
  <si>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</si>
  <si>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</si>
  <si>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</si>
  <si>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</si>
  <si>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</si>
  <si>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</si>
  <si>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</si>
  <si>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</si>
  <si>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</si>
  <si>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</si>
  <si>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</si>
  <si>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</si>
  <si>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</si>
  <si>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</si>
  <si>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</si>
  <si>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</si>
  <si>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</si>
  <si>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</si>
  <si>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</si>
  <si>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</si>
  <si>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</si>
  <si>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</si>
  <si>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</si>
  <si>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</si>
  <si>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</si>
  <si>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</si>
  <si>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</si>
  <si>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</si>
  <si>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</si>
  <si>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</si>
  <si>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</si>
  <si>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</si>
  <si>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</si>
  <si>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</si>
  <si>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</si>
  <si>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</si>
  <si>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</si>
  <si>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</si>
  <si>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</si>
  <si>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</si>
  <si>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</si>
  <si>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</si>
  <si>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</si>
  <si>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</si>
  <si>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</si>
  <si>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</si>
  <si>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</si>
  <si>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</si>
  <si>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</si>
  <si>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</si>
  <si>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</si>
  <si>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</si>
  <si>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</si>
  <si>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</si>
  <si>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</si>
  <si>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</si>
  <si>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</si>
  <si>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</si>
  <si>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</si>
  <si>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</si>
  <si>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</si>
  <si>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</si>
  <si>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</si>
  <si>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</si>
  <si>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</si>
  <si>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</si>
  <si>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</si>
  <si>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</si>
  <si>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</si>
  <si>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</si>
  <si>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</si>
  <si>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</si>
  <si>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</si>
  <si>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</si>
  <si>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</si>
  <si>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</si>
  <si>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</si>
  <si>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</si>
  <si>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</si>
  <si>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</si>
  <si>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</si>
  <si>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</si>
  <si>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</si>
  <si>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</si>
  <si>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</si>
  <si>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</si>
  <si>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</si>
  <si>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</si>
  <si>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</si>
  <si>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</si>
  <si>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</si>
  <si>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</si>
  <si>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</si>
  <si>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</si>
  <si>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</si>
  <si>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</si>
  <si>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</si>
  <si>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</si>
  <si>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</si>
  <si>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</si>
  <si>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</si>
  <si>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</si>
  <si>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</si>
  <si>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</si>
  <si>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</si>
  <si>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</si>
  <si>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</si>
  <si>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</si>
  <si>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</si>
  <si>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</si>
  <si>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</si>
  <si>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</si>
  <si>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</si>
  <si>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</si>
  <si>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</si>
  <si>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</si>
  <si>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</si>
  <si>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</si>
  <si>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</si>
  <si>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</si>
  <si>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</si>
  <si>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</si>
  <si>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</si>
  <si>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</si>
  <si>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</si>
  <si>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</si>
  <si>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</si>
  <si>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</si>
  <si>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</si>
  <si>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</si>
  <si>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</si>
  <si>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</si>
  <si>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</si>
  <si>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</si>
  <si>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</si>
  <si>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</si>
  <si>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</si>
  <si>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</si>
  <si>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</si>
  <si>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</si>
  <si>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</si>
  <si>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</si>
  <si>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</si>
  <si>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</si>
  <si>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</si>
  <si>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</si>
  <si>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</si>
  <si>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</si>
  <si>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</si>
  <si>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</si>
  <si>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</si>
  <si>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</si>
  <si>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</si>
  <si>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</si>
  <si>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</si>
  <si>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</si>
  <si>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</si>
  <si>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</si>
  <si>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</si>
  <si>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</si>
  <si>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</si>
  <si>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</si>
  <si>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</si>
  <si>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</si>
  <si>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</si>
  <si>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</si>
  <si>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</si>
  <si>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</si>
  <si>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</si>
  <si>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</si>
  <si>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</si>
  <si>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</si>
  <si>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</si>
  <si>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</si>
  <si>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</si>
  <si>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</si>
  <si>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</si>
  <si>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</si>
  <si>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</si>
  <si>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</si>
  <si>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</si>
  <si>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</si>
  <si>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</si>
  <si>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</si>
  <si>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</si>
  <si>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</si>
  <si>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</si>
  <si>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</si>
  <si>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</si>
  <si>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</si>
  <si>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</si>
  <si>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</si>
  <si>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</si>
  <si>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</si>
  <si>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</si>
  <si>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</si>
  <si>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</si>
  <si>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</si>
  <si>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</si>
  <si>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</si>
  <si>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</si>
  <si>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</si>
  <si>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</si>
  <si>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</si>
  <si>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</si>
  <si>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</si>
  <si>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</si>
  <si>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</si>
  <si>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</si>
  <si>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</si>
  <si>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</si>
  <si>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</si>
  <si>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</si>
  <si>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</si>
  <si>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</si>
  <si>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</si>
  <si>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</si>
  <si>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</si>
  <si>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</si>
  <si>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</si>
  <si>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</si>
  <si>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</si>
  <si>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</si>
  <si>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</si>
  <si>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</si>
  <si>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</si>
  <si>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</si>
  <si>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</si>
  <si>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</si>
  <si>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</si>
  <si>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</si>
  <si>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</si>
  <si>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</si>
  <si>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</si>
  <si>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</si>
  <si>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</si>
  <si>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</si>
  <si>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</si>
  <si>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</si>
  <si>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</si>
  <si>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</si>
  <si>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</si>
  <si>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</si>
  <si>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</si>
  <si>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</si>
  <si>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</si>
  <si>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</si>
  <si>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</si>
  <si>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</si>
  <si>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</si>
  <si>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</si>
  <si>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</si>
  <si>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</si>
  <si>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</si>
  <si>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</si>
  <si>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</si>
  <si>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</si>
  <si>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</si>
  <si>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</si>
  <si>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</si>
  <si>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</si>
  <si>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</si>
  <si>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</si>
  <si>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</si>
  <si>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</si>
  <si>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</si>
  <si>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</si>
  <si>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</si>
  <si>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</si>
  <si>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</si>
  <si>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</si>
  <si>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</si>
  <si>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</si>
  <si>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</si>
  <si>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</si>
  <si>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</si>
  <si>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</si>
  <si>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</si>
  <si>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</si>
  <si>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</si>
  <si>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</si>
  <si>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</si>
  <si>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</si>
  <si>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</si>
  <si>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</si>
  <si>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</si>
  <si>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</si>
  <si>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</si>
  <si>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</si>
  <si>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</si>
  <si>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</si>
  <si>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</si>
  <si>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</si>
  <si>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</si>
  <si>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</si>
  <si>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</si>
  <si>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</si>
  <si>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</si>
  <si>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</si>
  <si>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</si>
  <si>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</si>
  <si>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</si>
  <si>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</si>
  <si>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</si>
  <si>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</si>
  <si>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</si>
  <si>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</si>
  <si>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</si>
  <si>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</si>
  <si>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</si>
  <si>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</si>
  <si>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</si>
  <si>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</si>
  <si>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</si>
  <si>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</si>
  <si>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</si>
  <si>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</si>
  <si>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</si>
  <si>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</si>
  <si>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</si>
  <si>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</si>
  <si>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</si>
  <si>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</si>
  <si>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</si>
  <si>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</si>
  <si>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</si>
  <si>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</si>
  <si>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</si>
  <si>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</si>
  <si>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</si>
  <si>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</si>
  <si>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</si>
  <si>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</si>
  <si>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</si>
  <si>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</si>
  <si>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</si>
  <si>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</si>
  <si>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</si>
  <si>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</si>
  <si>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</si>
  <si>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</si>
  <si>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</si>
  <si>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</si>
  <si>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</si>
  <si>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</si>
  <si>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</si>
  <si>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</si>
  <si>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</si>
  <si>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</si>
  <si>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</si>
  <si>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</si>
  <si>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</si>
  <si>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</si>
  <si>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</si>
  <si>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</si>
  <si>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</si>
  <si>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</si>
  <si>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</si>
  <si>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</si>
  <si>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</si>
  <si>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</si>
  <si>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</si>
  <si>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</si>
  <si>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</si>
  <si>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</si>
  <si>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</si>
  <si>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</si>
  <si>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</si>
  <si>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</si>
  <si>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</si>
  <si>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</si>
  <si>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</si>
  <si>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</si>
  <si>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</si>
  <si>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</si>
  <si>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</si>
  <si>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</si>
  <si>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</si>
  <si>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</si>
  <si>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</si>
  <si>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</si>
  <si>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</si>
  <si>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</si>
  <si>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</si>
  <si>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</si>
  <si>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</si>
  <si>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</si>
  <si>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</si>
  <si>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</si>
  <si>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</si>
  <si>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</si>
  <si>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</si>
  <si>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</si>
  <si>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</si>
  <si>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</si>
  <si>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</si>
  <si>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</si>
  <si>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</si>
  <si>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</si>
  <si>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</si>
  <si>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</si>
  <si>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</si>
  <si>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</si>
  <si>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</si>
  <si>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</si>
  <si>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</si>
  <si>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</si>
  <si>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</si>
  <si>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</si>
  <si>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</si>
  <si>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</si>
  <si>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</si>
  <si>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</si>
  <si>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</si>
  <si>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</si>
  <si>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</si>
  <si>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</si>
  <si>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</si>
  <si>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</si>
  <si>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</si>
  <si>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</si>
  <si>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</si>
  <si>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</si>
  <si>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</si>
  <si>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</si>
  <si>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</si>
  <si>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</si>
  <si>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</si>
  <si>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</si>
  <si>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</si>
  <si>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</si>
  <si>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</si>
  <si>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</si>
  <si>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</si>
  <si>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</si>
  <si>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</si>
  <si>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</si>
  <si>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</si>
  <si>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</si>
  <si>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</si>
  <si>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</si>
  <si>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</si>
  <si>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</si>
  <si>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</si>
  <si>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</si>
  <si>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</si>
  <si>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</si>
  <si>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</si>
  <si>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</si>
  <si>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</si>
  <si>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</si>
  <si>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</si>
  <si>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</si>
  <si>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</si>
  <si>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</si>
  <si>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</si>
  <si>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</si>
  <si>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</si>
  <si>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</si>
  <si>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</si>
  <si>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</si>
  <si>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</si>
  <si>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</si>
  <si>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</si>
  <si>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</si>
  <si>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</si>
  <si>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</si>
  <si>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</si>
  <si>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</si>
  <si>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</si>
  <si>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</si>
  <si>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</si>
  <si>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</si>
  <si>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</si>
  <si>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</si>
  <si>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</si>
  <si>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</si>
  <si>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</si>
  <si>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</si>
  <si>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</si>
  <si>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</si>
  <si>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</si>
  <si>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</si>
  <si>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</si>
  <si>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</si>
  <si>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</si>
  <si>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</si>
  <si>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</si>
  <si>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</si>
  <si>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</si>
  <si>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</si>
  <si>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</si>
  <si>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</si>
  <si>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</si>
  <si>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</si>
  <si>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</si>
  <si>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</si>
  <si>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</si>
  <si>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</si>
  <si>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</si>
  <si>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</si>
  <si>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</si>
  <si>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</si>
  <si>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</si>
  <si>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</si>
  <si>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</si>
  <si>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</si>
  <si>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</si>
  <si>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</si>
  <si>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</si>
  <si>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</si>
  <si>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</si>
  <si>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</si>
  <si>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</si>
  <si>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</si>
  <si>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</si>
  <si>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</si>
  <si>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</si>
  <si>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</si>
  <si>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</si>
  <si>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</si>
  <si>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</si>
  <si>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</si>
  <si>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</si>
  <si>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</si>
  <si>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</si>
  <si>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</si>
  <si>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</si>
  <si>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</si>
  <si>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</si>
  <si>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</si>
  <si>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</si>
  <si>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</si>
  <si>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</si>
  <si>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</si>
  <si>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</si>
  <si>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</si>
  <si>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</si>
  <si>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</si>
  <si>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</si>
  <si>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</si>
  <si>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</si>
  <si>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</si>
  <si>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</si>
  <si>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</si>
  <si>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</si>
  <si>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</si>
  <si>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</si>
  <si>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</si>
  <si>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</si>
  <si>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</si>
  <si>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</si>
  <si>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</si>
  <si>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</si>
  <si>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</si>
  <si>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</si>
  <si>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</si>
  <si>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</si>
  <si>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</si>
  <si>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</si>
  <si>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</si>
  <si>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</si>
  <si>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</si>
  <si>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</si>
  <si>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</si>
  <si>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</si>
  <si>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</si>
  <si>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</si>
  <si>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</si>
  <si>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</si>
  <si>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</si>
  <si>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</si>
  <si>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</si>
  <si>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</si>
  <si>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</si>
  <si>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</si>
  <si>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</si>
  <si>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</si>
  <si>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</si>
  <si>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</si>
  <si>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</si>
  <si>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</si>
  <si>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</si>
  <si>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</si>
  <si>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</si>
  <si>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</si>
  <si>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</si>
  <si>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</si>
  <si>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</si>
  <si>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</si>
  <si>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</si>
  <si>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</si>
  <si>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</si>
  <si>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</si>
  <si>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</si>
  <si>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</si>
  <si>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</si>
  <si>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</si>
  <si>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</si>
  <si>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</si>
  <si>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</si>
  <si>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</si>
  <si>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</si>
  <si>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</si>
  <si>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</si>
  <si>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</si>
  <si>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</si>
  <si>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</si>
  <si>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</si>
  <si>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</si>
  <si>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</si>
  <si>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</si>
  <si>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</si>
  <si>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</si>
  <si>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</si>
  <si>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</si>
  <si>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</si>
  <si>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</si>
  <si>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</si>
  <si>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</si>
  <si>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</si>
  <si>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</si>
  <si>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</si>
  <si>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</si>
  <si>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</si>
  <si>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</si>
  <si>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</si>
  <si>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</si>
  <si>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</si>
  <si>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</si>
  <si>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</si>
  <si>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</si>
  <si>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</si>
  <si>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</si>
  <si>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</si>
  <si>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</si>
  <si>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</si>
  <si>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</si>
  <si>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</si>
  <si>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</si>
  <si>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</si>
  <si>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</si>
  <si>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</si>
  <si>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</si>
  <si>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</si>
  <si>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</si>
  <si>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</si>
  <si>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</si>
  <si>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</si>
  <si>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</si>
  <si>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</si>
  <si>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</si>
  <si>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</si>
  <si>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</si>
  <si>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</si>
  <si>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</si>
  <si>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</si>
  <si>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</si>
  <si>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</si>
  <si>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</si>
  <si>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</si>
  <si>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</si>
  <si>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</si>
  <si>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</si>
  <si>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</si>
  <si>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</si>
  <si>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</si>
  <si>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</si>
  <si>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</si>
  <si>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</si>
  <si>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</si>
  <si>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</si>
  <si>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</si>
  <si>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</si>
  <si>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</si>
  <si>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</si>
  <si>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</si>
  <si>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</si>
  <si>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</si>
  <si>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</si>
  <si>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</si>
  <si>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</si>
  <si>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</si>
  <si>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</si>
  <si>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</si>
  <si>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</si>
  <si>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</si>
  <si>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</si>
  <si>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</si>
  <si>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</si>
  <si>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</si>
  <si>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</si>
  <si>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</si>
  <si>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</si>
  <si>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</si>
  <si>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</si>
  <si>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</si>
  <si>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</si>
  <si>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</si>
  <si>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</si>
  <si>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</si>
  <si>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</si>
  <si>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</si>
  <si>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</si>
  <si>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</si>
  <si>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</si>
  <si>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</si>
  <si>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</si>
  <si>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</si>
  <si>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</si>
  <si>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</si>
  <si>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</si>
  <si>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</si>
  <si>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</si>
  <si>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</si>
  <si>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</si>
  <si>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</si>
  <si>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</si>
  <si>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</si>
  <si>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</si>
  <si>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</si>
  <si>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</si>
  <si>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</si>
  <si>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</si>
  <si>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</si>
  <si>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</si>
  <si>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</si>
  <si>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</si>
  <si>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</si>
  <si>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</si>
  <si>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</si>
  <si>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</si>
  <si>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</si>
  <si>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</si>
  <si>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</si>
  <si>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</si>
  <si>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</si>
  <si>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</si>
  <si>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</si>
  <si>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</si>
  <si>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</si>
  <si>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</si>
  <si>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</si>
  <si>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</si>
  <si>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</si>
  <si>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</si>
  <si>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</si>
  <si>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</si>
  <si>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</si>
  <si>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</si>
  <si>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</si>
  <si>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</si>
  <si>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</si>
  <si>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</si>
  <si>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</si>
  <si>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</si>
  <si>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</si>
  <si>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</si>
  <si>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</si>
  <si>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</si>
  <si>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</si>
  <si>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</si>
  <si>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</si>
  <si>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</si>
  <si>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</si>
  <si>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</si>
  <si>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</si>
  <si>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</si>
  <si>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</si>
  <si>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</si>
  <si>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</si>
  <si>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</si>
  <si>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</si>
  <si>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</si>
  <si>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</si>
  <si>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</si>
  <si>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</si>
  <si>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</si>
  <si>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</si>
  <si>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</si>
  <si>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</si>
  <si>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</si>
  <si>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</si>
  <si>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</si>
  <si>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</si>
  <si>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</si>
  <si>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</si>
  <si>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</si>
  <si>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</si>
  <si>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</si>
  <si>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</si>
  <si>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</si>
  <si>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</si>
  <si>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</si>
  <si>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</si>
  <si>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</si>
  <si>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</si>
  <si>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</si>
  <si>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</si>
  <si>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</si>
  <si>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</si>
  <si>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</si>
  <si>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</si>
  <si>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</si>
  <si>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</si>
  <si>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</si>
  <si>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</si>
  <si>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</si>
  <si>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</si>
  <si>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</si>
  <si>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</si>
  <si>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</si>
  <si>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</si>
  <si>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</si>
  <si>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</si>
  <si>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</si>
  <si>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</si>
  <si>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</si>
  <si>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</si>
  <si>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</si>
  <si>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</si>
  <si>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</si>
  <si>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</si>
  <si>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</si>
  <si>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</si>
  <si>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</si>
  <si>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</si>
  <si>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</si>
  <si>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</si>
  <si>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</si>
  <si>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</si>
  <si>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</si>
  <si>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</si>
  <si>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</si>
  <si>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</si>
  <si>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</si>
  <si>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</si>
  <si>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</si>
  <si>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</si>
  <si>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</si>
  <si>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</si>
  <si>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</si>
  <si>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</si>
  <si>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</si>
  <si>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</si>
  <si>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</si>
  <si>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</si>
  <si>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</si>
  <si>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</si>
  <si>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</si>
  <si>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</si>
  <si>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</si>
  <si>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</si>
  <si>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</si>
  <si>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</si>
  <si>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</si>
  <si>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</si>
  <si>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</si>
  <si>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</si>
  <si>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</si>
  <si>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</si>
  <si>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</si>
  <si>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</si>
  <si>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</si>
  <si>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</si>
  <si>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</si>
  <si>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</si>
  <si>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</si>
  <si>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</si>
  <si>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</si>
  <si>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</si>
  <si>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</si>
  <si>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</si>
  <si>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</si>
  <si>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</si>
  <si>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</si>
  <si>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</si>
  <si>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</si>
  <si>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</si>
  <si>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</si>
  <si>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</si>
  <si>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</si>
  <si>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</si>
  <si>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</si>
  <si>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</si>
  <si>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</si>
  <si>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</si>
  <si>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</si>
  <si>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</si>
  <si>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</si>
  <si>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</si>
  <si>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</si>
  <si>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</si>
  <si>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</si>
  <si>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</si>
  <si>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</si>
  <si>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</si>
  <si>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</si>
  <si>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</si>
  <si>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</si>
  <si>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</si>
  <si>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</si>
  <si>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</si>
  <si>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</si>
  <si>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</si>
  <si>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</si>
  <si>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</si>
  <si>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</si>
  <si>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</si>
  <si>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</si>
  <si>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</si>
  <si>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</si>
  <si>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</si>
  <si>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</si>
  <si>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</si>
  <si>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</si>
  <si>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</si>
  <si>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</si>
  <si>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</si>
  <si>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</si>
  <si>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</si>
  <si>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</si>
  <si>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</si>
  <si>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</si>
  <si>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</si>
  <si>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</si>
  <si>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</si>
  <si>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</si>
  <si>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</si>
  <si>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</si>
  <si>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</si>
  <si>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</si>
  <si>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</si>
  <si>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</si>
  <si>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</si>
  <si>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</si>
  <si>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</si>
  <si>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</si>
  <si>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</si>
  <si>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</si>
  <si>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</si>
  <si>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</si>
  <si>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</si>
  <si>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</si>
  <si>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</si>
  <si>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</si>
  <si>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</si>
  <si>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</si>
  <si>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</si>
  <si>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</si>
  <si>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</si>
  <si>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</si>
  <si>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</si>
  <si>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</si>
  <si>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</si>
  <si>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</si>
  <si>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</si>
  <si>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</si>
  <si>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</si>
  <si>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</si>
  <si>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</si>
  <si>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</si>
  <si>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</si>
  <si>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</si>
  <si>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</si>
  <si>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</si>
  <si>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</si>
  <si>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</si>
  <si>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</si>
  <si>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</si>
  <si>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</si>
  <si>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</si>
  <si>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</si>
  <si>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</si>
  <si>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</si>
  <si>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</si>
  <si>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</si>
  <si>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</si>
  <si>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</si>
  <si>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</si>
  <si>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</si>
  <si>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</si>
  <si>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</si>
  <si>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</si>
  <si>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</si>
  <si>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</si>
  <si>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</si>
  <si>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</si>
  <si>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</si>
  <si>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</si>
  <si>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</si>
  <si>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</si>
  <si>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</si>
  <si>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</si>
  <si>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</si>
  <si>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</si>
  <si>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</si>
  <si>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</si>
  <si>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</si>
  <si>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</si>
  <si>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</si>
  <si>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</si>
  <si>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</si>
  <si>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</si>
  <si>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</si>
  <si>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</si>
  <si>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</si>
  <si>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</si>
  <si>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</si>
  <si>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</si>
  <si>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</si>
  <si>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</si>
  <si>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</si>
  <si>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</si>
  <si>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</si>
  <si>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</si>
  <si>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</si>
  <si>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</si>
  <si>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</si>
  <si>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</si>
  <si>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</si>
  <si>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</si>
  <si>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</si>
  <si>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</si>
  <si>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</si>
  <si>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</si>
  <si>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</si>
  <si>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</si>
  <si>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</si>
  <si>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</si>
  <si>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</si>
  <si>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</si>
  <si>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</si>
  <si>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</si>
  <si>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</si>
  <si>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</si>
  <si>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</si>
  <si>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</si>
  <si>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</si>
  <si>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</si>
  <si>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</si>
  <si>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</si>
  <si>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</si>
  <si>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</si>
  <si>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</si>
  <si>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</si>
  <si>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</si>
  <si>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</si>
  <si>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</si>
  <si>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</si>
  <si>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</si>
  <si>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</si>
  <si>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</si>
  <si>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</si>
  <si>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</si>
  <si>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</si>
  <si>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</si>
  <si>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</si>
  <si>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</si>
  <si>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</si>
  <si>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</si>
  <si>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</si>
  <si>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</si>
  <si>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</si>
  <si>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</si>
  <si>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</si>
  <si>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</si>
  <si>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</si>
  <si>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</si>
  <si>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</si>
  <si>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</si>
  <si>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</si>
  <si>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</si>
  <si>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</si>
  <si>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</si>
  <si>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</si>
  <si>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</si>
  <si>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</si>
  <si>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</si>
  <si>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</si>
  <si>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</si>
  <si>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</si>
  <si>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</si>
  <si>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</si>
  <si>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</si>
  <si>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</si>
  <si>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</si>
  <si>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</si>
  <si>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</si>
  <si>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</si>
  <si>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</si>
  <si>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</si>
  <si>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</si>
  <si>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</si>
  <si>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</si>
  <si>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</si>
  <si>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</si>
  <si>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</si>
  <si>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</si>
  <si>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</si>
  <si>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</si>
  <si>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</si>
  <si>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</si>
  <si>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</si>
  <si>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</si>
  <si>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</si>
  <si>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</si>
  <si>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</si>
  <si>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</si>
  <si>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</si>
  <si>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</si>
  <si>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</si>
  <si>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</si>
  <si>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</si>
  <si>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</si>
  <si>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</si>
  <si>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</si>
  <si>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</si>
  <si>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</si>
  <si>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</si>
  <si>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</si>
  <si>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</si>
  <si>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</si>
  <si>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</si>
  <si>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</si>
  <si>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</si>
  <si>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</si>
  <si>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</si>
  <si>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</si>
  <si>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</si>
  <si>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</si>
  <si>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</si>
  <si>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</si>
  <si>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</si>
  <si>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</si>
  <si>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</si>
  <si>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</si>
  <si>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</si>
  <si>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</si>
  <si>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</si>
  <si>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</si>
  <si>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</si>
  <si>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</si>
  <si>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</si>
  <si>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</si>
  <si>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</si>
  <si>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</si>
  <si>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</si>
  <si>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</si>
  <si>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</si>
  <si>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</si>
  <si>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</si>
  <si>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</si>
  <si>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</si>
  <si>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</si>
  <si>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</si>
  <si>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</si>
  <si>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</si>
  <si>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</si>
  <si>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</si>
  <si>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</si>
  <si>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</si>
  <si>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</si>
  <si>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</si>
  <si>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</si>
  <si>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</si>
  <si>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</si>
  <si>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</si>
  <si>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</si>
  <si>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</si>
  <si>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</si>
  <si>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</si>
  <si>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</si>
  <si>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</si>
  <si>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</si>
  <si>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</si>
  <si>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</si>
  <si>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</si>
  <si>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</si>
  <si>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</si>
  <si>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</si>
  <si>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</si>
  <si>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</si>
  <si>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</si>
  <si>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</si>
  <si>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</si>
  <si>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</si>
  <si>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</si>
  <si>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</si>
  <si>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</si>
  <si>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</si>
  <si>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</si>
  <si>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</si>
  <si>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</si>
  <si>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</si>
  <si>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</si>
  <si>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</si>
  <si>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</si>
  <si>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</si>
  <si>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</si>
  <si>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</si>
  <si>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</si>
  <si>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</si>
  <si>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</si>
  <si>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</si>
  <si>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</si>
  <si>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</si>
  <si>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</si>
  <si>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</si>
  <si>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</si>
  <si>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</si>
  <si>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</si>
  <si>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</si>
  <si>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</si>
  <si>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</si>
  <si>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</si>
  <si>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</si>
  <si>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</si>
  <si>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</si>
  <si>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</si>
  <si>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</si>
  <si>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</si>
  <si>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</si>
  <si>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</si>
  <si>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</si>
  <si>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</si>
  <si>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</si>
  <si>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</si>
  <si>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</si>
  <si>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</si>
  <si>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</si>
  <si>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</si>
  <si>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</si>
  <si>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</si>
  <si>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</si>
  <si>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</si>
  <si>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</si>
  <si>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</si>
  <si>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</si>
  <si>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</si>
  <si>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</si>
  <si>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</si>
  <si>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</si>
  <si>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</si>
  <si>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</si>
  <si>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</si>
  <si>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</si>
  <si>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</si>
  <si>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</si>
  <si>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</si>
  <si>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</si>
  <si>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</si>
  <si>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</si>
  <si>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</si>
  <si>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</si>
  <si>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</si>
  <si>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</si>
  <si>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</si>
  <si>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</si>
  <si>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</si>
  <si>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</si>
  <si>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</si>
  <si>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</si>
  <si>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</si>
  <si>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</si>
  <si>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</si>
  <si>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</si>
  <si>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</si>
  <si>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</si>
  <si>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</si>
  <si>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</si>
  <si>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</si>
  <si>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</si>
  <si>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</si>
  <si>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</si>
  <si>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</si>
  <si>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</si>
  <si>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</si>
  <si>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</si>
  <si>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</si>
  <si>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</si>
  <si>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</si>
  <si>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</si>
  <si>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</si>
  <si>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</si>
  <si>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</si>
  <si>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</si>
  <si>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</si>
  <si>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</si>
  <si>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</si>
  <si>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</si>
  <si>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</si>
  <si>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</si>
  <si>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</si>
  <si>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</si>
  <si>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</si>
  <si>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</si>
  <si>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</si>
  <si>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</si>
  <si>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</si>
  <si>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</si>
  <si>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</si>
  <si>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</si>
  <si>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</si>
  <si>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</si>
  <si>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</si>
  <si>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</si>
  <si>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</si>
  <si>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</si>
  <si>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</si>
  <si>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</si>
  <si>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</si>
  <si>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</si>
  <si>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</si>
  <si>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</si>
  <si>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</si>
  <si>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</si>
  <si>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</si>
  <si>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</si>
  <si>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</si>
  <si>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</si>
  <si>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</si>
  <si>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</si>
  <si>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</si>
  <si>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</si>
  <si>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</si>
  <si>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</si>
  <si>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</si>
  <si>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</si>
  <si>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</si>
  <si>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</si>
  <si>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</si>
  <si>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</si>
  <si>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</si>
  <si>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</si>
  <si>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</si>
  <si>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</si>
  <si>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</si>
  <si>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</si>
  <si>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</si>
  <si>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</si>
  <si>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</si>
  <si>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</si>
  <si>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</si>
  <si>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</si>
  <si>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</si>
  <si>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</si>
  <si>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</si>
  <si>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</si>
  <si>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</si>
  <si>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</si>
  <si>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</si>
  <si>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</si>
  <si>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</si>
  <si>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</si>
  <si>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</si>
  <si>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</si>
  <si>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</si>
  <si>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</si>
  <si>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</si>
  <si>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</si>
  <si>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</si>
  <si>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</si>
  <si>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</si>
  <si>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</si>
  <si>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</si>
  <si>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</si>
  <si>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</si>
  <si>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</si>
  <si>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</si>
  <si>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</si>
  <si>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</si>
  <si>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</si>
  <si>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</si>
  <si>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</si>
  <si>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</si>
  <si>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</si>
  <si>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</si>
  <si>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</si>
  <si>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</si>
  <si>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</si>
  <si>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</si>
  <si>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</si>
  <si>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</si>
  <si>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</si>
  <si>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</si>
  <si>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</si>
  <si>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</si>
  <si>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</si>
  <si>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</si>
  <si>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</si>
  <si>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</si>
  <si>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</si>
  <si>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</si>
  <si>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</si>
  <si>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</si>
  <si>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</si>
  <si>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</si>
  <si>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</si>
  <si>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</si>
  <si>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</si>
  <si>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</si>
  <si>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</si>
  <si>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</si>
  <si>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</si>
  <si>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</si>
  <si>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</si>
  <si>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</si>
  <si>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</si>
  <si>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</si>
  <si>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</si>
  <si>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</si>
  <si>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</si>
  <si>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</si>
  <si>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</si>
  <si>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</si>
  <si>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</si>
  <si>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</si>
  <si>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</si>
  <si>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</si>
  <si>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</si>
  <si>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</si>
  <si>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</si>
  <si>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</si>
  <si>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</si>
  <si>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</si>
  <si>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</si>
  <si>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</si>
  <si>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</si>
  <si>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</si>
  <si>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</si>
  <si>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</si>
  <si>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</si>
  <si>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</si>
  <si>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</si>
  <si>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</si>
  <si>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</si>
  <si>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</si>
  <si>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</si>
  <si>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</si>
  <si>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</si>
  <si>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</si>
  <si>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</si>
  <si>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</si>
  <si>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</si>
  <si>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</si>
  <si>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</si>
  <si>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</si>
  <si>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</si>
  <si>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</si>
  <si>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</si>
  <si>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</si>
  <si>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</si>
  <si>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</si>
  <si>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</si>
  <si>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</si>
  <si>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</si>
  <si>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</si>
  <si>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</si>
  <si>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</si>
  <si>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</si>
  <si>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</si>
  <si>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</si>
  <si>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</si>
  <si>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</si>
  <si>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</si>
  <si>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</si>
  <si>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</si>
  <si>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</si>
  <si>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</si>
  <si>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</si>
  <si>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</si>
  <si>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</si>
  <si>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</si>
  <si>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</si>
  <si>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</si>
  <si>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</si>
  <si>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</si>
  <si>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</si>
  <si>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</si>
  <si>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</si>
  <si>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</si>
  <si>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</si>
  <si>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</si>
  <si>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</si>
  <si>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</si>
  <si>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</si>
  <si>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</si>
  <si>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</si>
  <si>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</si>
  <si>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</si>
  <si>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</si>
  <si>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</si>
  <si>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</si>
  <si>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</si>
  <si>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</si>
  <si>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</si>
  <si>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</si>
  <si>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</si>
  <si>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</si>
  <si>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</si>
  <si>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</si>
  <si>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</si>
  <si>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</si>
  <si>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</si>
  <si>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</si>
  <si>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</si>
  <si>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</si>
  <si>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</si>
  <si>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</si>
  <si>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</si>
  <si>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</si>
  <si>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</si>
  <si>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</si>
  <si>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</si>
  <si>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</si>
  <si>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</si>
  <si>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</si>
  <si>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</si>
  <si>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</si>
  <si>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</si>
  <si>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</si>
  <si>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</si>
  <si>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</si>
  <si>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</si>
  <si>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</si>
  <si>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</si>
  <si>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</si>
  <si>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</si>
  <si>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</si>
  <si>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</si>
  <si>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</si>
  <si>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</si>
  <si>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</si>
  <si>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</si>
  <si>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</si>
  <si>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</si>
  <si>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</si>
  <si>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</si>
  <si>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</si>
  <si>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</si>
  <si>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</si>
  <si>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</si>
  <si>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</si>
  <si>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</si>
  <si>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</si>
  <si>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</si>
  <si>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</si>
  <si>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</si>
  <si>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</si>
  <si>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</si>
  <si>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</si>
  <si>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</si>
  <si>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</si>
  <si>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</si>
  <si>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</si>
  <si>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</si>
  <si>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</si>
  <si>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</si>
  <si>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</si>
  <si>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</si>
  <si>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</si>
  <si>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</si>
  <si>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</si>
  <si>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</si>
  <si>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</si>
  <si>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</si>
  <si>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</si>
  <si>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</si>
  <si>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</si>
  <si>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</si>
  <si>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</si>
  <si>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</si>
  <si>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</si>
  <si>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</si>
  <si>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</si>
  <si>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</si>
  <si>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</si>
  <si>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</si>
  <si>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</si>
  <si>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</si>
  <si>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</si>
  <si>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</si>
  <si>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</si>
  <si>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</si>
  <si>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</si>
  <si>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</si>
  <si>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</si>
  <si>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</si>
  <si>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</si>
  <si>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</si>
  <si>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</si>
  <si>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</si>
  <si>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</si>
  <si>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</si>
  <si>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</si>
  <si>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</si>
  <si>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</si>
  <si>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</si>
  <si>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</si>
  <si>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</si>
  <si>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</si>
  <si>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</si>
  <si>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</si>
  <si>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</si>
  <si>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</si>
  <si>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</si>
  <si>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</si>
  <si>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</si>
  <si>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</si>
  <si>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</si>
  <si>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</si>
  <si>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</si>
  <si>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</si>
  <si>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</si>
  <si>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</si>
  <si>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</si>
  <si>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</si>
  <si>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</si>
  <si>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</si>
  <si>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</si>
  <si>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</si>
  <si>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</si>
  <si>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</si>
  <si>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</si>
  <si>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</si>
  <si>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</si>
  <si>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</si>
  <si>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</si>
  <si>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</si>
  <si>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</si>
  <si>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</si>
  <si>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</si>
  <si>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</si>
  <si>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</si>
  <si>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</si>
  <si>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</si>
  <si>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</si>
  <si>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</si>
  <si>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</si>
  <si>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</si>
  <si>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</si>
  <si>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</si>
  <si>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</si>
  <si>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</si>
  <si>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</si>
  <si>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</si>
  <si>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</si>
  <si>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</si>
  <si>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</si>
  <si>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</si>
  <si>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</si>
  <si>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</si>
  <si>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</si>
  <si>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</si>
  <si>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</si>
  <si>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</si>
  <si>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</si>
  <si>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</si>
  <si>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</si>
  <si>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</si>
  <si>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</si>
  <si>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</si>
  <si>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</si>
  <si>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</si>
  <si>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</si>
  <si>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</si>
  <si>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</si>
  <si>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</si>
  <si>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</si>
  <si>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</si>
  <si>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</si>
  <si>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</si>
  <si>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</si>
  <si>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</si>
  <si>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</si>
  <si>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</si>
  <si>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</si>
  <si>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</si>
  <si>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</si>
  <si>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</si>
  <si>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</si>
  <si>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</si>
  <si>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</si>
  <si>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</si>
  <si>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</si>
  <si>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</si>
  <si>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</si>
  <si>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</si>
  <si>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</si>
  <si>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</si>
  <si>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</si>
  <si>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</si>
  <si>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</si>
  <si>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</si>
  <si>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</si>
  <si>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</si>
  <si>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</si>
  <si>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</si>
  <si>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</si>
  <si>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</si>
  <si>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</si>
  <si>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</si>
  <si>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</si>
  <si>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</si>
  <si>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</si>
  <si>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</si>
  <si>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</si>
  <si>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</si>
  <si>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</si>
  <si>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</si>
  <si>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</si>
  <si>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</si>
  <si>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</si>
  <si>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</si>
  <si>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</si>
  <si>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</si>
  <si>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</si>
  <si>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</si>
  <si>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</si>
  <si>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</si>
  <si>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</si>
  <si>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</si>
  <si>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</si>
  <si>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</si>
  <si>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</si>
  <si>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</si>
  <si>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</si>
  <si>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</si>
  <si>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</si>
  <si>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</si>
  <si>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</si>
  <si>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</si>
  <si>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</si>
  <si>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</si>
  <si>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</si>
  <si>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</si>
  <si>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</si>
  <si>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</si>
  <si>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</si>
  <si>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</si>
  <si>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</si>
  <si>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</si>
  <si>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</si>
  <si>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</si>
  <si>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</si>
  <si>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</si>
  <si>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</si>
  <si>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</si>
  <si>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</si>
  <si>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</si>
  <si>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</si>
  <si>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</si>
  <si>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</si>
  <si>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</si>
  <si>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</si>
  <si>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</si>
  <si>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</si>
  <si>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</si>
  <si>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</si>
  <si>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</si>
  <si>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</si>
  <si>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</si>
  <si>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</si>
  <si>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</si>
  <si>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</si>
  <si>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</si>
  <si>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</si>
  <si>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</si>
  <si>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</si>
  <si>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</si>
  <si>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</si>
  <si>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</si>
  <si>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</si>
  <si>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</si>
  <si>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</si>
  <si>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</si>
  <si>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</si>
  <si>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</si>
  <si>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</si>
  <si>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</si>
  <si>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</si>
  <si>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</si>
  <si>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</si>
  <si>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</si>
  <si>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</si>
  <si>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</si>
  <si>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</si>
  <si>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</si>
  <si>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</si>
  <si>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</si>
  <si>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</si>
  <si>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</si>
  <si>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</si>
  <si>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</si>
  <si>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</si>
  <si>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</si>
  <si>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</si>
  <si>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</si>
  <si>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</si>
  <si>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</si>
  <si>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</si>
  <si>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</si>
  <si>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</si>
  <si>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</si>
  <si>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</si>
  <si>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</si>
  <si>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</si>
  <si>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</si>
  <si>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</si>
  <si>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</si>
  <si>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</si>
  <si>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</si>
  <si>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</si>
  <si>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</si>
  <si>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</si>
  <si>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</si>
  <si>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</si>
  <si>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</si>
  <si>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</si>
  <si>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</si>
  <si>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</si>
  <si>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</si>
  <si>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</si>
  <si>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</si>
  <si>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</si>
  <si>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</si>
  <si>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</si>
  <si>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</si>
  <si>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</si>
  <si>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</si>
  <si>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</si>
  <si>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</si>
  <si>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</si>
  <si>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</si>
  <si>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</si>
  <si>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</si>
  <si>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</si>
  <si>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</si>
  <si>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</si>
  <si>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</si>
  <si>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</si>
  <si>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</si>
  <si>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</si>
  <si>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</si>
  <si>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</si>
  <si>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</si>
  <si>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</si>
  <si>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</si>
  <si>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</si>
  <si>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</si>
  <si>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</si>
  <si>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</si>
  <si>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</si>
  <si>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</si>
  <si>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</si>
  <si>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</si>
  <si>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</si>
  <si>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</si>
  <si>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</si>
  <si>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</si>
  <si>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</si>
  <si>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</si>
  <si>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</si>
  <si>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</si>
  <si>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</si>
  <si>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</si>
  <si>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</si>
  <si>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</si>
  <si>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</si>
  <si>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</si>
  <si>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</si>
  <si>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</si>
  <si>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</si>
  <si>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</si>
  <si>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</si>
  <si>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</si>
  <si>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</si>
  <si>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</si>
  <si>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</si>
  <si>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</si>
  <si>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</si>
  <si>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</si>
  <si>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</si>
  <si>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</si>
  <si>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</si>
  <si>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</si>
  <si>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</si>
  <si>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</si>
  <si>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</si>
  <si>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</si>
  <si>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</si>
  <si>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</si>
  <si>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</si>
  <si>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</si>
  <si>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</si>
  <si>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</si>
  <si>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</si>
  <si>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</si>
  <si>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</si>
  <si>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</si>
  <si>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</si>
  <si>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</si>
  <si>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</si>
  <si>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</si>
  <si>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</si>
  <si>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</si>
  <si>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</si>
  <si>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</si>
  <si>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</si>
  <si>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</si>
  <si>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</si>
  <si>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</si>
  <si>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</si>
  <si>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</si>
  <si>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</si>
  <si>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</si>
  <si>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</si>
  <si>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</si>
  <si>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</si>
  <si>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</si>
  <si>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</si>
  <si>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</si>
  <si>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</si>
  <si>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</si>
  <si>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</si>
  <si>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</si>
  <si>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</si>
  <si>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</si>
  <si>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</si>
  <si>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</si>
  <si>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</si>
  <si>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</si>
  <si>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</si>
  <si>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</si>
  <si>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</si>
  <si>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</si>
  <si>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</si>
  <si>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</si>
  <si>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</si>
  <si>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</si>
  <si>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</si>
  <si>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</si>
  <si>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</si>
  <si>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</si>
  <si>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</si>
  <si>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</si>
  <si>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</si>
  <si>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</si>
  <si>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</si>
  <si>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</si>
  <si>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</si>
  <si>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</si>
  <si>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</si>
  <si>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</si>
  <si>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</si>
  <si>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</si>
  <si>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</si>
  <si>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</si>
  <si>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</si>
  <si>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</si>
  <si>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</si>
  <si>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</si>
  <si>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</si>
  <si>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</si>
  <si>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</si>
  <si>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</si>
  <si>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</si>
  <si>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</si>
  <si>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</si>
  <si>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</si>
  <si>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</si>
  <si>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</si>
  <si>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</si>
  <si>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</si>
  <si>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</si>
  <si>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</si>
  <si>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</si>
  <si>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</si>
  <si>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</si>
  <si>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</si>
  <si>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</si>
  <si>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</si>
  <si>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</si>
  <si>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</si>
  <si>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</si>
  <si>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</si>
  <si>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</si>
  <si>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</si>
  <si>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</si>
  <si>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</si>
  <si>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</si>
  <si>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</si>
  <si>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</si>
  <si>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</si>
  <si>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</si>
  <si>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</si>
  <si>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</si>
  <si>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</si>
  <si>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</si>
  <si>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</si>
  <si>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</si>
  <si>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</si>
  <si>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</si>
  <si>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</si>
  <si>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</si>
  <si>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</si>
  <si>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</si>
  <si>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</si>
  <si>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</si>
  <si>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</si>
  <si>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</si>
  <si>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</si>
  <si>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</si>
  <si>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</si>
  <si>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</si>
  <si>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</si>
  <si>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</si>
  <si>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</si>
  <si>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</si>
  <si>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</si>
  <si>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</si>
  <si>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</si>
  <si>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</si>
  <si>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</si>
  <si>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</si>
  <si>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</si>
  <si>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</si>
  <si>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</si>
  <si>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</si>
  <si>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</si>
  <si>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</si>
  <si>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</si>
  <si>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</si>
  <si>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</si>
  <si>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</si>
  <si>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</si>
  <si>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</si>
  <si>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</si>
  <si>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</si>
  <si>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</si>
  <si>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</si>
  <si>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</si>
  <si>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</si>
  <si>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</si>
  <si>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</si>
  <si>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</si>
  <si>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</si>
  <si>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</si>
  <si>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</si>
  <si>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</si>
  <si>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</si>
  <si>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</si>
  <si>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</si>
  <si>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</si>
  <si>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</si>
  <si>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</si>
  <si>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</si>
  <si>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</si>
  <si>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</si>
  <si>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</si>
  <si>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</si>
  <si>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</si>
  <si>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</si>
  <si>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</si>
  <si>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</si>
  <si>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</si>
  <si>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</si>
  <si>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</si>
  <si>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</si>
  <si>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</si>
  <si>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</si>
  <si>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</si>
  <si>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</si>
  <si>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</si>
  <si>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</si>
  <si>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</si>
  <si>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</si>
  <si>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</si>
  <si>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</si>
  <si>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</si>
  <si>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</si>
  <si>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</si>
  <si>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</si>
  <si>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</si>
  <si>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</si>
  <si>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</si>
  <si>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</si>
  <si>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</si>
  <si>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</si>
  <si>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</si>
  <si>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</si>
  <si>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</si>
  <si>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</si>
  <si>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</si>
  <si>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</si>
  <si>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</si>
  <si>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</si>
  <si>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</si>
  <si>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</si>
  <si>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</si>
  <si>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</si>
  <si>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</si>
  <si>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</si>
  <si>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</si>
  <si>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</si>
  <si>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</si>
  <si>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</si>
  <si>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</si>
  <si>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</si>
  <si>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</si>
  <si>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</si>
  <si>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</si>
  <si>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</si>
  <si>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</si>
  <si>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</si>
  <si>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</si>
  <si>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</si>
  <si>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</si>
  <si>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</si>
  <si>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</si>
  <si>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</si>
  <si>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</si>
  <si>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</si>
  <si>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</si>
  <si>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</si>
  <si>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</si>
  <si>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</si>
  <si>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</si>
  <si>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</si>
  <si>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</si>
  <si>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</si>
  <si>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</si>
  <si>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</si>
  <si>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</si>
  <si>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</si>
  <si>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</si>
  <si>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</si>
  <si>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</si>
  <si>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</si>
  <si>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</si>
  <si>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</si>
  <si>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</si>
  <si>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</si>
  <si>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</si>
  <si>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</si>
  <si>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</si>
  <si>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</si>
  <si>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</si>
  <si>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</si>
  <si>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</si>
  <si>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</si>
  <si>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</si>
  <si>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</si>
  <si>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</si>
  <si>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</si>
  <si>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</si>
  <si>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</si>
  <si>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</si>
  <si>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</si>
  <si>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</si>
  <si>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</si>
  <si>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</si>
  <si>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</si>
  <si>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</si>
  <si>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</si>
  <si>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</si>
  <si>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</si>
  <si>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</si>
  <si>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</si>
  <si>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</si>
  <si>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</si>
  <si>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</si>
  <si>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</si>
  <si>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</si>
  <si>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</si>
  <si>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</si>
  <si>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</si>
  <si>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</si>
  <si>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</si>
  <si>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</si>
  <si>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</si>
  <si>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</si>
  <si>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</si>
  <si>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</si>
  <si>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</si>
  <si>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</si>
  <si>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</si>
  <si>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</si>
  <si>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</si>
  <si>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</si>
  <si>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</si>
  <si>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</si>
  <si>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</si>
  <si>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</si>
  <si>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</si>
  <si>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</si>
  <si>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</si>
  <si>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</si>
  <si>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</si>
  <si>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</si>
  <si>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</si>
  <si>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</si>
  <si>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</si>
  <si>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</si>
  <si>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</si>
  <si>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</si>
  <si>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</si>
  <si>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</si>
  <si>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</si>
  <si>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</si>
  <si>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</si>
  <si>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</si>
  <si>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</si>
  <si>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</si>
  <si>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</si>
  <si>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</si>
  <si>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</si>
  <si>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</si>
  <si>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</si>
  <si>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</si>
  <si>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</si>
  <si>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</si>
  <si>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</si>
  <si>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</si>
  <si>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</si>
  <si>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</si>
  <si>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</si>
  <si>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</si>
  <si>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</si>
  <si>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</si>
  <si>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</si>
  <si>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</si>
  <si>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</si>
  <si>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</si>
  <si>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</si>
  <si>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</si>
  <si>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</si>
  <si>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</si>
  <si>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</si>
  <si>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</si>
  <si>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</si>
  <si>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</si>
  <si>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</si>
  <si>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</si>
  <si>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</si>
  <si>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</si>
  <si>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</si>
  <si>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</si>
  <si>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</si>
  <si>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</si>
  <si>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</si>
  <si>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</si>
  <si>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</si>
  <si>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</si>
  <si>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</si>
  <si>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</si>
  <si>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</si>
  <si>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</si>
  <si>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</si>
  <si>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</si>
  <si>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</si>
  <si>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</si>
  <si>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</si>
  <si>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</si>
  <si>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</si>
  <si>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</si>
  <si>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</si>
  <si>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</si>
  <si>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</si>
  <si>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</si>
  <si>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</si>
  <si>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</si>
  <si>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</si>
  <si>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</si>
  <si>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</si>
  <si>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</si>
  <si>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</si>
  <si>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</si>
  <si>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</si>
  <si>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</si>
  <si>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</si>
  <si>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</si>
  <si>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</si>
  <si>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</si>
  <si>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</si>
  <si>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</si>
  <si>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</si>
  <si>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</si>
  <si>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</si>
  <si>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</si>
  <si>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</si>
  <si>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</si>
  <si>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</si>
  <si>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</si>
  <si>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</si>
  <si>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</si>
  <si>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</si>
  <si>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</si>
  <si>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</si>
  <si>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</si>
  <si>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</si>
  <si>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</si>
  <si>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</si>
  <si>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</si>
  <si>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</si>
  <si>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</si>
  <si>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</si>
  <si>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</si>
  <si>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</si>
  <si>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</si>
  <si>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</si>
  <si>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</si>
  <si>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</si>
  <si>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</si>
  <si>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</si>
  <si>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</si>
  <si>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</si>
  <si>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</si>
  <si>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</si>
  <si>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</si>
  <si>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</si>
  <si>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</si>
  <si>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</si>
  <si>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</si>
  <si>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</si>
  <si>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</si>
  <si>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</si>
  <si>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</si>
  <si>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</si>
  <si>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</si>
  <si>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</si>
  <si>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</si>
  <si>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</si>
  <si>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</si>
  <si>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</si>
  <si>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</si>
  <si>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</si>
  <si>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</si>
  <si>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</si>
  <si>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</si>
  <si>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</si>
  <si>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</si>
  <si>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</si>
  <si>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</si>
  <si>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</si>
  <si>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</si>
  <si>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</si>
  <si>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</si>
  <si>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</si>
  <si>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</si>
  <si>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</si>
  <si>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</si>
  <si>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</si>
  <si>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</si>
  <si>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</si>
  <si>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</si>
  <si>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</si>
  <si>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</si>
  <si>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</si>
  <si>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</si>
  <si>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</si>
  <si>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</si>
  <si>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</si>
  <si>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</si>
  <si>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</si>
  <si>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</si>
  <si>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</si>
  <si>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</si>
  <si>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</si>
  <si>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</si>
  <si>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</si>
  <si>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</si>
  <si>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</si>
  <si>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</si>
  <si>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</si>
  <si>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</si>
  <si>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</si>
  <si>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</si>
  <si>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</si>
  <si>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</si>
  <si>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</si>
  <si>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</si>
  <si>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</si>
  <si>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</si>
  <si>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</si>
  <si>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</si>
  <si>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</si>
  <si>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</si>
  <si>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</si>
  <si>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</si>
  <si>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</si>
  <si>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</si>
  <si>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</si>
  <si>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</si>
  <si>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</si>
  <si>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</si>
  <si>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</si>
  <si>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</si>
  <si>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</si>
  <si>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</si>
  <si>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</si>
  <si>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</si>
  <si>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</si>
  <si>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</si>
  <si>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</si>
  <si>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</si>
  <si>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</si>
  <si>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</si>
  <si>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</si>
  <si>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</si>
  <si>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</si>
  <si>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</si>
  <si>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</si>
  <si>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</si>
  <si>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</si>
  <si>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</si>
  <si>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</si>
  <si>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</si>
  <si>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</si>
  <si>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</si>
  <si>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</si>
  <si>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</si>
  <si>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</si>
  <si>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</si>
  <si>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</si>
  <si>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</si>
  <si>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</si>
  <si>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</si>
  <si>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</si>
  <si>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</si>
  <si>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</si>
  <si>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</si>
  <si>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</si>
  <si>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</si>
  <si>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</si>
  <si>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</si>
  <si>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</si>
  <si>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</si>
  <si>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</si>
  <si>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</si>
  <si>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</si>
  <si>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</si>
  <si>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</si>
  <si>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</si>
  <si>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</si>
  <si>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</si>
  <si>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</si>
  <si>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</si>
  <si>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</si>
  <si>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</si>
  <si>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</si>
  <si>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</si>
  <si>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</si>
  <si>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</si>
  <si>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</si>
  <si>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</si>
  <si>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</si>
  <si>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</si>
  <si>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</si>
  <si>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</si>
  <si>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</si>
  <si>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</si>
  <si>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</si>
  <si>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</si>
  <si>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</si>
  <si>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</si>
  <si>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</si>
  <si>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</si>
  <si>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</si>
  <si>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</si>
  <si>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</si>
  <si>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</si>
  <si>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</si>
  <si>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</si>
  <si>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</si>
  <si>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</si>
  <si>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</si>
  <si>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</si>
  <si>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</si>
  <si>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</si>
  <si>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</si>
  <si>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</si>
  <si>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</si>
  <si>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</si>
  <si>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</si>
  <si>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</si>
  <si>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</si>
  <si>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</si>
  <si>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</si>
  <si>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</si>
  <si>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</si>
  <si>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</si>
  <si>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</si>
  <si>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</si>
  <si>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</si>
  <si>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</si>
  <si>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</si>
  <si>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</si>
  <si>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</si>
  <si>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</si>
  <si>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</si>
  <si>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</si>
  <si>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</si>
  <si>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</si>
  <si>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</si>
  <si>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</si>
  <si>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</si>
  <si>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</si>
  <si>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</si>
  <si>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</si>
  <si>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</si>
  <si>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</si>
  <si>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</si>
  <si>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</si>
  <si>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</si>
  <si>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</si>
  <si>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</si>
  <si>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</si>
  <si>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</si>
  <si>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</si>
  <si>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</si>
  <si>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</si>
  <si>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</si>
  <si>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</si>
  <si>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</si>
  <si>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</si>
  <si>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</si>
  <si>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</si>
  <si>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</si>
  <si>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</si>
  <si>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</si>
  <si>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</si>
  <si>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</si>
  <si>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</si>
  <si>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</si>
  <si>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</si>
  <si>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</si>
  <si>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</si>
  <si>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</si>
  <si>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</si>
  <si>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</si>
  <si>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</si>
  <si>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</si>
  <si>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</si>
  <si>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</si>
  <si>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</si>
  <si>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</si>
  <si>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</si>
  <si>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</si>
  <si>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</si>
  <si>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</si>
  <si>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</si>
  <si>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</si>
  <si>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</si>
  <si>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</si>
  <si>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</si>
  <si>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</si>
  <si>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</si>
  <si>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</si>
  <si>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</si>
  <si>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</si>
  <si>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</si>
  <si>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</si>
  <si>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</si>
  <si>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</si>
  <si>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</si>
  <si>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</si>
  <si>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</si>
  <si>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</si>
  <si>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</si>
  <si>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</si>
  <si>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</si>
  <si>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</si>
  <si>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</si>
  <si>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</si>
  <si>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</si>
  <si>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</si>
  <si>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</si>
  <si>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</si>
  <si>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</si>
  <si>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</si>
  <si>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</si>
  <si>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</si>
  <si>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</si>
  <si>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</si>
  <si>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</si>
  <si>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</si>
  <si>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</si>
  <si>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</si>
  <si>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</si>
  <si>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</si>
  <si>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</si>
  <si>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</si>
  <si>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</si>
  <si>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</si>
  <si>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</si>
  <si>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</si>
  <si>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</si>
  <si>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</si>
  <si>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</si>
  <si>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</si>
  <si>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</si>
  <si>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</si>
  <si>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</si>
  <si>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</si>
  <si>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</si>
  <si>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</si>
  <si>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</si>
  <si>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</si>
  <si>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</si>
  <si>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</si>
  <si>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</si>
  <si>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</si>
  <si>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</si>
  <si>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</si>
  <si>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</si>
  <si>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</si>
  <si>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</si>
  <si>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</si>
  <si>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</si>
  <si>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</si>
  <si>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</si>
  <si>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</si>
  <si>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</si>
  <si>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</si>
  <si>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</si>
  <si>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</si>
  <si>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</si>
  <si>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</si>
  <si>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</si>
  <si>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</si>
  <si>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</si>
  <si>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</si>
  <si>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</si>
  <si>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</si>
  <si>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</si>
  <si>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</si>
  <si>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</si>
  <si>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</si>
  <si>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</si>
  <si>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</si>
  <si>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</si>
  <si>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</si>
  <si>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</si>
  <si>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</si>
  <si>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</si>
  <si>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</si>
  <si>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</si>
  <si>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</si>
  <si>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</si>
  <si>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</si>
  <si>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</si>
  <si>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</si>
  <si>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</si>
  <si>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</si>
  <si>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</si>
  <si>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</si>
  <si>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</si>
  <si>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</si>
  <si>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</si>
  <si>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</si>
  <si>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</si>
  <si>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</si>
  <si>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</si>
  <si>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</si>
  <si>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</si>
  <si>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</si>
  <si>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</si>
  <si>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</si>
  <si>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</si>
  <si>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</si>
  <si>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</si>
  <si>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</si>
  <si>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</si>
  <si>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</si>
  <si>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</si>
  <si>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</si>
  <si>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</si>
  <si>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</si>
  <si>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</si>
  <si>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</si>
  <si>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</si>
  <si>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</si>
  <si>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</si>
  <si>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</si>
  <si>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</si>
  <si>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</si>
  <si>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</si>
  <si>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</si>
  <si>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</si>
  <si>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</si>
  <si>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</si>
  <si>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</si>
  <si>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</si>
  <si>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</si>
  <si>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</si>
  <si>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</si>
  <si>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</si>
  <si>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</si>
  <si>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</si>
  <si>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</si>
  <si>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</si>
  <si>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</si>
  <si>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</si>
  <si>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</si>
  <si>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</si>
  <si>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</si>
  <si>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</si>
  <si>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</si>
  <si>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</si>
  <si>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</si>
  <si>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</si>
  <si>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</si>
  <si>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</si>
  <si>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</si>
  <si>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</si>
  <si>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</si>
  <si>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</si>
  <si>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</si>
  <si>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</si>
  <si>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</si>
  <si>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</si>
  <si>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</si>
  <si>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</si>
  <si>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</si>
  <si>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</si>
  <si>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</si>
  <si>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</si>
  <si>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</si>
  <si>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</si>
  <si>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</si>
  <si>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</si>
  <si>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</si>
  <si>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</si>
  <si>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</si>
  <si>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</si>
  <si>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</si>
  <si>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</si>
  <si>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</si>
  <si>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</si>
  <si>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</si>
  <si>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</si>
  <si>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</si>
  <si>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</si>
  <si>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</si>
  <si>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</si>
  <si>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</si>
  <si>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</si>
  <si>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</si>
  <si>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</si>
  <si>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</si>
  <si>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</si>
  <si>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</si>
  <si>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</si>
  <si>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</si>
  <si>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</si>
  <si>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</si>
  <si>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</si>
  <si>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</si>
  <si>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</si>
  <si>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</si>
  <si>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</si>
  <si>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</si>
  <si>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</si>
  <si>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</si>
  <si>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</si>
  <si>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</si>
  <si>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</si>
  <si>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</si>
  <si>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</si>
  <si>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</si>
  <si>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</si>
  <si>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</si>
  <si>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</si>
  <si>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</si>
  <si>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</si>
  <si>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</si>
  <si>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</si>
  <si>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</si>
  <si>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</si>
  <si>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</si>
  <si>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</si>
  <si>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</si>
  <si>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</si>
  <si>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</si>
  <si>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</si>
  <si>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</si>
  <si>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</si>
  <si>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</si>
  <si>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</si>
  <si>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</si>
  <si>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</si>
  <si>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</si>
  <si>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</si>
  <si>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</si>
  <si>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</si>
  <si>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</si>
  <si>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</si>
  <si>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</si>
  <si>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</si>
  <si>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</si>
  <si>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</si>
  <si>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</si>
  <si>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</si>
  <si>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</si>
  <si>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</si>
  <si>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</si>
  <si>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</si>
  <si>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</si>
  <si>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</si>
  <si>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</si>
  <si>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</si>
  <si>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</si>
  <si>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</si>
  <si>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</si>
  <si>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</si>
  <si>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</si>
  <si>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</si>
  <si>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</si>
  <si>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</si>
  <si>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</si>
  <si>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</si>
  <si>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</si>
  <si>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</si>
  <si>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</si>
  <si>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</si>
  <si>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</si>
  <si>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</si>
  <si>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</si>
  <si>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</si>
  <si>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</si>
  <si>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</si>
  <si>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</si>
  <si>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</si>
  <si>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</si>
  <si>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</si>
  <si>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</si>
  <si>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</si>
  <si>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</si>
  <si>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</si>
  <si>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</si>
  <si>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</si>
  <si>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</si>
  <si>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</si>
  <si>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</si>
  <si>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</si>
  <si>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</si>
  <si>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</si>
  <si>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</si>
  <si>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</si>
  <si>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</si>
  <si>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</si>
  <si>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</si>
  <si>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</si>
  <si>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</si>
  <si>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</si>
  <si>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</si>
  <si>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</si>
  <si>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</si>
  <si>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</si>
  <si>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</si>
  <si>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</si>
  <si>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</si>
  <si>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</si>
  <si>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</si>
  <si>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</si>
  <si>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</si>
  <si>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</si>
  <si>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</si>
  <si>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</si>
  <si>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</si>
  <si>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</si>
  <si>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</si>
  <si>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</si>
  <si>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</si>
  <si>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</si>
  <si>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</si>
  <si>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</si>
  <si>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</si>
  <si>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</si>
  <si>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</si>
  <si>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</si>
  <si>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</si>
  <si>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</si>
  <si>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</si>
  <si>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</si>
  <si>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</si>
  <si>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</si>
  <si>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</si>
  <si>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</si>
  <si>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</si>
  <si>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</si>
  <si>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</si>
  <si>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</si>
  <si>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</si>
  <si>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</si>
  <si>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</si>
  <si>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</si>
  <si>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</si>
  <si>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</si>
  <si>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</si>
  <si>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</si>
  <si>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</si>
  <si>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</si>
  <si>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</si>
  <si>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</si>
  <si>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</si>
  <si>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</si>
  <si>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</si>
  <si>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</si>
  <si>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</si>
  <si>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</si>
  <si>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</si>
  <si>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</si>
  <si>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</si>
  <si>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</si>
  <si>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</si>
  <si>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</si>
  <si>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</si>
  <si>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</si>
  <si>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</si>
  <si>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</si>
  <si>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</si>
  <si>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</si>
  <si>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</si>
  <si>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</si>
  <si>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</si>
  <si>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</si>
  <si>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</si>
  <si>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</si>
  <si>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</si>
  <si>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</si>
  <si>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</si>
  <si>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</si>
  <si>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</si>
  <si>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</si>
  <si>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</si>
  <si>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</si>
  <si>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</si>
  <si>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</si>
  <si>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</si>
  <si>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</si>
  <si>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</si>
  <si>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</si>
  <si>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</si>
  <si>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</si>
  <si>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</si>
  <si>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</si>
  <si>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</si>
  <si>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</si>
  <si>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</si>
  <si>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</si>
  <si>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</si>
  <si>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</si>
  <si>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</si>
  <si>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</si>
  <si>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</si>
  <si>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</si>
  <si>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</si>
  <si>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</si>
  <si>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</si>
  <si>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</si>
  <si>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</si>
  <si>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</si>
  <si>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</si>
  <si>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</si>
  <si>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</si>
  <si>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</si>
  <si>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</si>
  <si>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</si>
  <si>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</si>
  <si>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</si>
  <si>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</si>
  <si>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</si>
  <si>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</si>
  <si>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</si>
  <si>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</si>
  <si>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</si>
  <si>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</si>
  <si>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</si>
  <si>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</si>
  <si>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</si>
  <si>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</si>
  <si>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</si>
  <si>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</si>
  <si>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</si>
  <si>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</si>
  <si>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</si>
  <si>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</si>
  <si>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</si>
  <si>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</si>
  <si>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</si>
  <si>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</si>
  <si>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</si>
  <si>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</si>
  <si>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</si>
  <si>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</si>
  <si>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</si>
  <si>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</si>
  <si>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</si>
  <si>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</si>
  <si>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</si>
  <si>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</si>
  <si>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</si>
  <si>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</si>
  <si>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</si>
  <si>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</si>
  <si>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</si>
  <si>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</si>
  <si>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</si>
  <si>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</si>
  <si>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</si>
  <si>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</si>
  <si>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</si>
  <si>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</si>
  <si>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</si>
  <si>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</si>
  <si>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</si>
  <si>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</si>
  <si>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</si>
  <si>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</si>
  <si>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</si>
  <si>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</si>
  <si>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</si>
  <si>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</si>
  <si>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</si>
  <si>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</si>
  <si>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</si>
  <si>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</si>
  <si>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</si>
  <si>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</si>
  <si>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</si>
  <si>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</si>
  <si>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</si>
  <si>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</si>
  <si>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</si>
  <si>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</si>
  <si>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</si>
  <si>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</si>
  <si>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</si>
  <si>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</si>
  <si>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</si>
  <si>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</si>
  <si>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</si>
  <si>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</si>
  <si>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</si>
  <si>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</si>
  <si>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</si>
  <si>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</si>
  <si>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</si>
  <si>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</si>
  <si>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</si>
  <si>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</si>
  <si>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</si>
  <si>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</si>
  <si>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</si>
  <si>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</si>
  <si>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</si>
  <si>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</si>
  <si>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</si>
  <si>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</si>
  <si>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</si>
  <si>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</si>
  <si>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</si>
  <si>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</si>
  <si>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</si>
  <si>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</si>
  <si>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</si>
  <si>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</si>
  <si>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</si>
  <si>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</si>
  <si>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</si>
  <si>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</si>
  <si>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</si>
  <si>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</si>
  <si>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</si>
  <si>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</si>
  <si>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</si>
  <si>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</si>
  <si>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</si>
  <si>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</si>
  <si>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</si>
  <si>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</si>
  <si>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</si>
  <si>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</si>
  <si>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</si>
  <si>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</si>
  <si>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</si>
  <si>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</si>
  <si>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</si>
  <si>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</si>
  <si>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</si>
  <si>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</si>
  <si>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</si>
  <si>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</si>
  <si>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</si>
  <si>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</si>
  <si>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</si>
  <si>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</si>
  <si>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</si>
  <si>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</si>
  <si>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</si>
  <si>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</si>
  <si>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</si>
  <si>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</si>
  <si>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</si>
  <si>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</si>
  <si>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</si>
  <si>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</si>
  <si>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</si>
  <si>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</si>
  <si>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</si>
  <si>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</si>
  <si>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</si>
  <si>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</si>
  <si>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</si>
  <si>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</si>
  <si>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</si>
  <si>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</si>
  <si>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</si>
  <si>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</si>
  <si>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</si>
  <si>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</si>
  <si>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</si>
  <si>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</si>
  <si>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</si>
  <si>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</si>
  <si>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</si>
  <si>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</si>
  <si>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</si>
  <si>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</si>
  <si>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</si>
  <si>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</si>
  <si>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</si>
  <si>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</si>
  <si>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</si>
  <si>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</si>
  <si>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</si>
  <si>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</si>
  <si>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</si>
  <si>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</si>
  <si>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</si>
  <si>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</si>
  <si>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</si>
  <si>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</si>
  <si>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</si>
  <si>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</si>
  <si>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</si>
  <si>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</si>
  <si>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</si>
  <si>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</si>
  <si>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</si>
  <si>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</si>
  <si>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</si>
  <si>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</si>
  <si>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</si>
  <si>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</si>
  <si>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</si>
  <si>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</si>
  <si>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</si>
  <si>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</si>
  <si>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</si>
  <si>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</si>
  <si>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</si>
  <si>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</si>
  <si>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</si>
  <si>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</si>
  <si>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</si>
  <si>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</si>
  <si>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</si>
  <si>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</si>
  <si>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</si>
  <si>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</si>
  <si>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</si>
  <si>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</si>
  <si>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</si>
  <si>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</si>
  <si>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</si>
  <si>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</si>
  <si>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</si>
  <si>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</si>
  <si>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</si>
  <si>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</si>
  <si>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</si>
  <si>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</si>
  <si>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</si>
  <si>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</si>
  <si>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</si>
  <si>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</si>
  <si>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</si>
  <si>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</si>
  <si>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</si>
  <si>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</si>
  <si>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</si>
  <si>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</si>
  <si>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</si>
  <si>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</si>
  <si>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</si>
  <si>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</si>
  <si>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</si>
  <si>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</si>
  <si>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</si>
  <si>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</si>
  <si>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</si>
  <si>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</si>
  <si>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</si>
  <si>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</si>
  <si>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</si>
  <si>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</si>
  <si>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</si>
  <si>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</si>
  <si>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</si>
  <si>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</si>
  <si>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</si>
  <si>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</si>
  <si>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</si>
  <si>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</si>
  <si>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</si>
  <si>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</si>
  <si>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</si>
  <si>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</si>
  <si>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</si>
  <si>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</si>
  <si>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</si>
  <si>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</si>
  <si>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</si>
  <si>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</si>
  <si>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</si>
  <si>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</si>
  <si>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</si>
  <si>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</si>
  <si>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</si>
  <si>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</si>
  <si>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</si>
  <si>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</si>
  <si>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</si>
  <si>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</si>
  <si>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</si>
  <si>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</si>
  <si>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</si>
  <si>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</si>
  <si>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</si>
  <si>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</si>
  <si>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</si>
  <si>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</si>
  <si>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</si>
  <si>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</si>
  <si>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</si>
  <si>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</si>
  <si>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</si>
  <si>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</si>
  <si>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</si>
  <si>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</si>
  <si>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</si>
  <si>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</si>
  <si>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</si>
  <si>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</si>
  <si>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</si>
  <si>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</si>
  <si>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</si>
  <si>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</si>
  <si>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</si>
  <si>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</si>
  <si>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</si>
  <si>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</si>
  <si>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</si>
  <si>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</si>
  <si>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</si>
  <si>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</si>
  <si>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</si>
  <si>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</si>
  <si>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</si>
  <si>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</si>
  <si>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</si>
  <si>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</si>
  <si>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</si>
  <si>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</si>
  <si>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</si>
  <si>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</si>
  <si>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</si>
  <si>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</si>
  <si>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</si>
  <si>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</si>
  <si>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</si>
  <si>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</si>
  <si>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</si>
  <si>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</si>
  <si>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</si>
  <si>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</si>
  <si>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</si>
  <si>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</si>
  <si>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</si>
  <si>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</si>
  <si>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</si>
  <si>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</si>
  <si>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</si>
  <si>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</si>
  <si>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</si>
  <si>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</si>
  <si>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</si>
  <si>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</si>
  <si>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</si>
  <si>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</si>
  <si>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</si>
  <si>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</si>
  <si>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</si>
  <si>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</si>
  <si>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</si>
  <si>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</si>
  <si>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</si>
  <si>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</si>
  <si>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</si>
  <si>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</si>
  <si>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</si>
  <si>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</si>
  <si>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</si>
  <si>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</si>
  <si>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</si>
  <si>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</si>
  <si>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</si>
  <si>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</si>
  <si>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</si>
  <si>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</si>
  <si>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</si>
  <si>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</si>
  <si>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</si>
  <si>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</si>
  <si>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</si>
  <si>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</si>
  <si>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</si>
  <si>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</si>
  <si>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</si>
  <si>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</si>
  <si>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</si>
  <si>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</si>
  <si>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</si>
  <si>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</si>
  <si>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</si>
  <si>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</si>
  <si>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</si>
  <si>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</si>
  <si>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</si>
  <si>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</si>
  <si>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</si>
  <si>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</si>
  <si>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</si>
  <si>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</si>
  <si>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</si>
  <si>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</si>
  <si>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</si>
  <si>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</si>
  <si>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</si>
  <si>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</si>
  <si>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</si>
  <si>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</si>
  <si>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</si>
  <si>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</si>
  <si>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</si>
  <si>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</si>
  <si>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</si>
  <si>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</si>
  <si>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</si>
  <si>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</si>
  <si>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</si>
  <si>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</si>
  <si>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</si>
  <si>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</si>
  <si>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</si>
  <si>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</si>
  <si>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</si>
  <si>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</si>
  <si>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</si>
  <si>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</si>
  <si>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</si>
  <si>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</si>
  <si>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</si>
  <si>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</si>
  <si>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</si>
  <si>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</si>
  <si>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</si>
  <si>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</si>
  <si>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</si>
  <si>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</si>
  <si>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</si>
  <si>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</si>
  <si>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</si>
  <si>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</si>
  <si>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</si>
  <si>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</si>
  <si>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</si>
  <si>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</si>
  <si>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</si>
  <si>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</si>
  <si>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</si>
  <si>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</si>
  <si>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</si>
  <si>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</si>
  <si>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</si>
  <si>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</si>
  <si>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</si>
  <si>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</si>
  <si>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</si>
  <si>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</si>
  <si>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</si>
  <si>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</si>
  <si>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</si>
  <si>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</si>
  <si>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</si>
  <si>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</si>
  <si>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</si>
  <si>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</si>
  <si>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</si>
  <si>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</si>
  <si>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</si>
  <si>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</si>
  <si>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</si>
  <si>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</si>
  <si>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</si>
  <si>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</si>
  <si>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</si>
  <si>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</si>
  <si>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</si>
  <si>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</si>
  <si>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</si>
  <si>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</si>
  <si>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</si>
  <si>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</si>
  <si>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</si>
  <si>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</si>
  <si>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</si>
  <si>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</si>
  <si>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</si>
  <si>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</si>
  <si>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</si>
  <si>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</si>
  <si>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</si>
  <si>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</si>
  <si>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</si>
  <si>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</si>
  <si>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</si>
  <si>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</si>
  <si>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</si>
  <si>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</si>
  <si>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</si>
  <si>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</si>
  <si>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</si>
  <si>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</si>
  <si>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</si>
  <si>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</si>
  <si>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</si>
  <si>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</si>
  <si>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</si>
  <si>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</si>
  <si>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</si>
  <si>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</si>
  <si>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</si>
  <si>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</si>
  <si>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</si>
  <si>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</si>
  <si>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</si>
  <si>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</si>
  <si>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</si>
  <si>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</si>
  <si>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</si>
  <si>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</si>
  <si>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</si>
  <si>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</si>
  <si>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</si>
  <si>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</si>
  <si>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</si>
  <si>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</si>
  <si>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</si>
  <si>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</si>
  <si>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</si>
  <si>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</si>
  <si>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</si>
  <si>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</si>
  <si>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</si>
  <si>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</si>
  <si>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</si>
  <si>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</si>
  <si>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</si>
  <si>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</si>
  <si>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</si>
  <si>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</si>
  <si>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</si>
  <si>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</si>
  <si>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</si>
  <si>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</si>
  <si>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</si>
  <si>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</si>
  <si>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</si>
  <si>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</si>
  <si>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</si>
  <si>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</si>
  <si>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</si>
  <si>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</si>
  <si>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</si>
  <si>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</si>
  <si>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</si>
  <si>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</si>
  <si>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</si>
  <si>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</si>
  <si>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</si>
  <si>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</si>
  <si>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</si>
  <si>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</si>
  <si>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</si>
  <si>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</si>
  <si>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</si>
  <si>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</si>
  <si>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</si>
  <si>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</si>
  <si>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</si>
  <si>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</si>
  <si>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</si>
  <si>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</si>
  <si>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</si>
  <si>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</si>
  <si>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</si>
  <si>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</si>
  <si>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</si>
  <si>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</si>
  <si>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</si>
  <si>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</si>
  <si>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</si>
  <si>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</si>
  <si>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</si>
  <si>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</si>
  <si>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</si>
  <si>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</si>
  <si>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</si>
  <si>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</si>
  <si>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</si>
  <si>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</si>
  <si>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</si>
  <si>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</si>
  <si>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</si>
  <si>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</si>
  <si>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</si>
  <si>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</si>
  <si>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</si>
  <si>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</si>
  <si>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</si>
  <si>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</si>
  <si>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</si>
  <si>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</si>
  <si>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</si>
  <si>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</si>
  <si>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</si>
  <si>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</si>
  <si>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</si>
  <si>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</si>
  <si>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</si>
  <si>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</si>
  <si>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</si>
  <si>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</si>
  <si>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</si>
  <si>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</si>
  <si>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</si>
  <si>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</si>
  <si>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</si>
  <si>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</si>
  <si>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</si>
  <si>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</si>
  <si>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</si>
  <si>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</si>
  <si>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</si>
  <si>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</si>
  <si>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</si>
  <si>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</si>
  <si>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</si>
  <si>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</si>
  <si>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</si>
  <si>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</si>
  <si>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</si>
  <si>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</si>
  <si>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</si>
  <si>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</si>
  <si>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</si>
  <si>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</si>
  <si>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</si>
  <si>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</si>
  <si>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</si>
  <si>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</si>
  <si>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</si>
  <si>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</si>
  <si>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</si>
  <si>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</si>
  <si>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</si>
  <si>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</si>
  <si>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</si>
  <si>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</si>
  <si>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</si>
  <si>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</si>
  <si>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</si>
  <si>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</si>
  <si>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</si>
  <si>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</si>
  <si>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</si>
  <si>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</si>
  <si>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</si>
  <si>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</si>
  <si>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</si>
  <si>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</si>
  <si>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</si>
  <si>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</si>
  <si>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</si>
  <si>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</si>
  <si>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</si>
  <si>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</si>
  <si>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</si>
  <si>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</si>
  <si>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</si>
  <si>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</si>
  <si>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</si>
  <si>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</si>
  <si>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</si>
  <si>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</si>
  <si>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</si>
  <si>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</si>
  <si>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</si>
  <si>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</si>
  <si>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</si>
  <si>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</si>
  <si>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</si>
  <si>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</si>
  <si>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</si>
  <si>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</si>
  <si>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</si>
  <si>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</si>
  <si>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</si>
  <si>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</si>
  <si>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</si>
  <si>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</si>
  <si>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</si>
  <si>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</si>
  <si>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</si>
  <si>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</si>
  <si>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</si>
  <si>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</si>
  <si>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</si>
  <si>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</si>
  <si>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</si>
  <si>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</si>
  <si>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</si>
  <si>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</si>
  <si>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</si>
  <si>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</si>
  <si>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</si>
  <si>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</si>
  <si>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</si>
  <si>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</si>
  <si>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</si>
  <si>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</si>
  <si>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</si>
  <si>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</si>
  <si>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</si>
  <si>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</si>
  <si>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</si>
  <si>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</si>
  <si>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</si>
  <si>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</si>
  <si>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</si>
  <si>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</si>
  <si>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</si>
  <si>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</si>
  <si>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</si>
  <si>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</si>
  <si>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</si>
  <si>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</si>
  <si>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</si>
  <si>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</si>
  <si>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</si>
  <si>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</si>
  <si>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</si>
  <si>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</si>
  <si>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</si>
  <si>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</si>
  <si>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</si>
  <si>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</si>
  <si>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</si>
  <si>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</si>
  <si>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</si>
  <si>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</si>
  <si>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</si>
  <si>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</si>
  <si>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</si>
  <si>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</si>
  <si>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</si>
  <si>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</si>
  <si>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</si>
  <si>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</si>
  <si>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</si>
  <si>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</si>
  <si>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</si>
  <si>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</si>
  <si>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</si>
  <si>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</si>
  <si>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</si>
  <si>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</si>
  <si>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</si>
  <si>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</si>
  <si>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</si>
  <si>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</si>
  <si>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</si>
  <si>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</si>
  <si>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</si>
  <si>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</si>
  <si>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</si>
  <si>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</si>
  <si>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</si>
  <si>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</si>
  <si>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</si>
  <si>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</si>
  <si>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</si>
  <si>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</si>
  <si>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</si>
  <si>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</si>
  <si>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</si>
  <si>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</si>
  <si>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</si>
  <si>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</si>
  <si>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</si>
  <si>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</si>
  <si>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</si>
  <si>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</si>
  <si>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</si>
  <si>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</si>
  <si>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</si>
  <si>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</si>
  <si>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</si>
  <si>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</si>
  <si>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</si>
  <si>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</si>
  <si>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</si>
  <si>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</si>
  <si>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</si>
  <si>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</si>
  <si>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</si>
  <si>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</si>
  <si>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</si>
  <si>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</si>
  <si>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</si>
  <si>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</si>
  <si>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</si>
  <si>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</si>
  <si>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</si>
  <si>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</si>
  <si>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</si>
  <si>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</si>
  <si>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</si>
  <si>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</si>
  <si>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</si>
  <si>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</si>
  <si>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</si>
  <si>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</si>
  <si>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</si>
  <si>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</si>
  <si>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</si>
  <si>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</si>
  <si>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</si>
  <si>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</si>
  <si>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</si>
  <si>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</si>
  <si>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</si>
  <si>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</si>
  <si>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</si>
  <si>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</si>
  <si>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</si>
  <si>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</si>
  <si>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</si>
  <si>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</si>
  <si>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</si>
  <si>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</si>
  <si>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</si>
  <si>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</si>
  <si>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</si>
  <si>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</si>
  <si>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</si>
  <si>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</si>
  <si>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</si>
  <si>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</si>
  <si>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</si>
  <si>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</si>
  <si>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</si>
  <si>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</si>
  <si>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</si>
  <si>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</si>
  <si>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</si>
  <si>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</si>
  <si>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</si>
  <si>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</si>
  <si>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</si>
  <si>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</si>
  <si>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</si>
  <si>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</si>
  <si>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</si>
  <si>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</si>
  <si>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</si>
  <si>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</si>
  <si>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</si>
  <si>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</si>
  <si>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</si>
  <si>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</si>
  <si>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</si>
  <si>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</si>
  <si>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</si>
  <si>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</si>
  <si>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</si>
  <si>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</si>
  <si>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</si>
  <si>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</si>
  <si>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</si>
  <si>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</si>
  <si>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</si>
  <si>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</si>
  <si>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</si>
  <si>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</si>
  <si>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</si>
  <si>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</si>
  <si>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</si>
  <si>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</si>
  <si>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</si>
  <si>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</si>
  <si>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</si>
  <si>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</si>
  <si>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</si>
  <si>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</si>
  <si>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</si>
  <si>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</si>
  <si>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</si>
  <si>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</si>
  <si>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</si>
  <si>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</si>
  <si>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</si>
  <si>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</si>
  <si>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</si>
  <si>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</si>
  <si>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</si>
  <si>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</si>
  <si>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</si>
  <si>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</si>
  <si>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</si>
  <si>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</si>
  <si>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</si>
  <si>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</si>
  <si>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</si>
  <si>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</si>
  <si>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</si>
  <si>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</si>
  <si>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</si>
  <si>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</si>
  <si>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</si>
  <si>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</si>
  <si>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</si>
  <si>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</si>
  <si>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</si>
  <si>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</si>
  <si>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</si>
  <si>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</si>
  <si>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</si>
  <si>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</si>
  <si>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</si>
  <si>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</si>
  <si>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</si>
  <si>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</si>
  <si>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</si>
  <si>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</si>
  <si>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</si>
  <si>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</si>
  <si>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</si>
  <si>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</si>
  <si>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</si>
  <si>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</si>
  <si>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</si>
  <si>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</si>
  <si>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</si>
  <si>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</si>
  <si>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</si>
  <si>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</si>
  <si>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</si>
  <si>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</si>
  <si>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</si>
  <si>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</si>
  <si>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</si>
  <si>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</si>
  <si>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</si>
  <si>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</si>
  <si>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</si>
  <si>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</si>
  <si>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</si>
  <si>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</si>
  <si>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</si>
  <si>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</si>
  <si>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</si>
  <si>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</si>
  <si>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</si>
  <si>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</si>
  <si>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</si>
  <si>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</si>
  <si>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</si>
  <si>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</si>
  <si>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</si>
  <si>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</si>
  <si>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</si>
  <si>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</si>
  <si>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</si>
  <si>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</si>
  <si>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</si>
  <si>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</si>
  <si>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</si>
  <si>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</si>
  <si>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</si>
  <si>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</si>
  <si>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</si>
  <si>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</si>
  <si>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</si>
  <si>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</si>
  <si>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</si>
  <si>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</si>
  <si>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</si>
  <si>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</si>
  <si>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</si>
  <si>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</si>
  <si>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</si>
  <si>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</si>
  <si>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</si>
  <si>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</si>
  <si>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</si>
  <si>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</si>
  <si>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</si>
  <si>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</si>
  <si>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</si>
  <si>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</si>
  <si>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</si>
  <si>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</si>
  <si>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</si>
  <si>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</si>
  <si>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</si>
  <si>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</si>
  <si>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</si>
  <si>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</si>
  <si>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</si>
  <si>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</si>
  <si>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</si>
  <si>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</si>
  <si>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</si>
  <si>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</si>
  <si>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</si>
  <si>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</si>
  <si>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</si>
  <si>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</si>
  <si>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</si>
  <si>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</si>
  <si>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</si>
  <si>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</si>
  <si>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</si>
  <si>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</si>
  <si>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</si>
  <si>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</si>
  <si>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</si>
  <si>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</si>
  <si>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</si>
  <si>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</si>
  <si>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</si>
  <si>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</si>
  <si>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</si>
  <si>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</si>
  <si>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</si>
  <si>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</si>
  <si>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</si>
  <si>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</si>
  <si>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</si>
  <si>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</si>
  <si>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</si>
  <si>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</si>
  <si>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</si>
  <si>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</si>
  <si>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</si>
  <si>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</si>
  <si>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</si>
  <si>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</si>
  <si>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</si>
  <si>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</si>
  <si>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</si>
  <si>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</si>
  <si>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</si>
  <si>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</si>
  <si>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</si>
  <si>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</si>
  <si>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</si>
  <si>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</si>
  <si>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</si>
  <si>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</si>
  <si>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</si>
  <si>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</si>
  <si>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</si>
  <si>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</si>
  <si>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</si>
  <si>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</si>
  <si>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</si>
  <si>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</si>
  <si>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</si>
  <si>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</si>
  <si>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</si>
  <si>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</si>
  <si>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</si>
  <si>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</si>
  <si>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</si>
  <si>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</si>
  <si>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</si>
  <si>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</si>
  <si>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</si>
  <si>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</si>
  <si>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</si>
  <si>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</si>
  <si>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</si>
  <si>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</si>
  <si>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</si>
  <si>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</si>
  <si>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</si>
  <si>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</si>
  <si>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</si>
  <si>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</si>
  <si>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</si>
  <si>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</si>
  <si>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</si>
  <si>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</si>
  <si>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</si>
  <si>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</si>
  <si>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</si>
  <si>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</si>
  <si>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</si>
  <si>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</si>
  <si>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</si>
  <si>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</si>
  <si>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</si>
  <si>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</si>
  <si>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</si>
  <si>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</si>
  <si>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</si>
  <si>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</si>
  <si>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</si>
  <si>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</si>
  <si>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</si>
  <si>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</si>
  <si>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</si>
  <si>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</si>
  <si>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</si>
  <si>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</si>
  <si>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</si>
  <si>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</si>
  <si>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</si>
  <si>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</si>
  <si>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</si>
  <si>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</si>
  <si>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</si>
  <si>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</si>
  <si>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</si>
  <si>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</si>
  <si>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</si>
  <si>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</si>
  <si>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</si>
  <si>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</si>
  <si>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</si>
  <si>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</si>
  <si>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</si>
  <si>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</si>
  <si>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</si>
  <si>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</si>
  <si>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</si>
  <si>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</si>
  <si>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</si>
  <si>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</si>
  <si>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</si>
  <si>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</si>
  <si>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</si>
  <si>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</si>
  <si>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</si>
  <si>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</si>
  <si>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</si>
  <si>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</si>
  <si>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</si>
  <si>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</si>
  <si>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</si>
  <si>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</si>
  <si>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</si>
  <si>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</si>
  <si>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</si>
  <si>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</si>
  <si>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</si>
  <si>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</si>
  <si>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</si>
  <si>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</si>
  <si>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</si>
  <si>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</si>
  <si>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</si>
  <si>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</si>
  <si>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</si>
  <si>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</si>
  <si>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</si>
  <si>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</si>
  <si>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</si>
  <si>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</si>
  <si>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</si>
  <si>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</si>
  <si>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</si>
  <si>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</si>
  <si>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</si>
  <si>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</si>
  <si>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</si>
  <si>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</si>
  <si>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</si>
  <si>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</si>
  <si>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</si>
  <si>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</si>
  <si>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</si>
  <si>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</si>
  <si>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</si>
  <si>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</si>
  <si>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</si>
  <si>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</si>
  <si>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</si>
  <si>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</si>
  <si>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</si>
  <si>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</si>
  <si>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</si>
  <si>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</si>
  <si>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</si>
  <si>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</si>
  <si>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</si>
  <si>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</si>
  <si>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</si>
  <si>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</si>
  <si>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</si>
  <si>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</si>
  <si>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</si>
  <si>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</si>
  <si>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</si>
  <si>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</si>
  <si>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</si>
  <si>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</si>
  <si>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</si>
  <si>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</si>
  <si>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</si>
  <si>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</si>
  <si>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</si>
  <si>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</si>
  <si>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</si>
  <si>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</si>
  <si>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</si>
  <si>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</si>
  <si>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</si>
  <si>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</si>
  <si>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</si>
  <si>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</si>
  <si>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</si>
  <si>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</si>
  <si>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</si>
  <si>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</si>
  <si>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</si>
  <si>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</si>
  <si>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</si>
  <si>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</si>
  <si>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</si>
  <si>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</si>
  <si>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</si>
  <si>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</si>
  <si>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</si>
  <si>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</si>
  <si>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</si>
  <si>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</si>
  <si>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</si>
  <si>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</si>
  <si>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</si>
  <si>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</si>
  <si>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</si>
  <si>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</si>
  <si>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</si>
  <si>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</si>
  <si>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</si>
  <si>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</si>
  <si>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</si>
  <si>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</si>
  <si>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</si>
  <si>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</si>
  <si>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</si>
  <si>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</si>
  <si>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</si>
  <si>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</si>
  <si>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</si>
  <si>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</si>
  <si>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</si>
  <si>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</si>
  <si>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</si>
  <si>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</si>
  <si>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</si>
  <si>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</si>
  <si>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</si>
  <si>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</si>
  <si>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</si>
  <si>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</si>
  <si>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</si>
  <si>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</si>
  <si>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</si>
  <si>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</si>
  <si>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</si>
  <si>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</si>
  <si>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</si>
  <si>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</si>
  <si>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</si>
  <si>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</si>
  <si>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</si>
  <si>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</si>
  <si>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</si>
  <si>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</si>
  <si>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</si>
  <si>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</si>
  <si>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</si>
  <si>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</si>
  <si>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</si>
  <si>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</si>
  <si>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</si>
  <si>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</si>
  <si>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</si>
  <si>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</si>
  <si>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</si>
  <si>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</si>
  <si>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</si>
  <si>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</si>
  <si>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</si>
  <si>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</si>
  <si>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</si>
  <si>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</si>
  <si>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</si>
  <si>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</si>
  <si>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</si>
  <si>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</si>
  <si>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</si>
  <si>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</si>
  <si>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</si>
  <si>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</si>
  <si>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</si>
  <si>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</si>
  <si>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</si>
  <si>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</si>
  <si>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</si>
  <si>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</si>
  <si>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</si>
  <si>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</si>
  <si>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</si>
  <si>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</si>
  <si>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</si>
  <si>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</si>
  <si>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</si>
  <si>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</si>
  <si>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</si>
  <si>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</si>
  <si>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</si>
  <si>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</si>
  <si>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</si>
  <si>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</si>
  <si>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</si>
  <si>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</si>
  <si>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</si>
  <si>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</si>
  <si>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</si>
  <si>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</si>
  <si>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</si>
  <si>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</si>
  <si>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</si>
  <si>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</si>
  <si>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</si>
  <si>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</si>
  <si>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</si>
  <si>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</si>
  <si>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</si>
  <si>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</si>
  <si>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</si>
  <si>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</si>
  <si>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</si>
  <si>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</si>
  <si>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</si>
  <si>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</si>
  <si>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</si>
  <si>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</si>
  <si>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</si>
  <si>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</si>
  <si>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</si>
  <si>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</si>
  <si>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</si>
  <si>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</si>
  <si>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</si>
  <si>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</si>
  <si>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</si>
  <si>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</si>
  <si>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</si>
  <si>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</si>
  <si>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</si>
  <si>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</si>
  <si>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</si>
  <si>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</si>
  <si>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</si>
  <si>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</si>
  <si>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</si>
  <si>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</si>
  <si>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</si>
  <si>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</si>
  <si>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</si>
  <si>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</si>
  <si>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</si>
  <si>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</si>
  <si>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</si>
  <si>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</si>
  <si>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</si>
  <si>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</si>
  <si>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</si>
  <si>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</si>
  <si>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</si>
  <si>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</si>
  <si>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</si>
  <si>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</si>
  <si>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</si>
  <si>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</si>
  <si>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</si>
  <si>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</si>
  <si>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</si>
  <si>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</si>
  <si>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</si>
  <si>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</si>
  <si>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</si>
  <si>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</si>
  <si>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</si>
  <si>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</si>
  <si>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</si>
  <si>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</si>
  <si>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</si>
  <si>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</si>
  <si>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</si>
  <si>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</si>
  <si>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</si>
  <si>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</si>
  <si>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</si>
  <si>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</si>
  <si>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</si>
  <si>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</si>
  <si>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</si>
  <si>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</si>
  <si>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</si>
  <si>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</si>
  <si>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</si>
  <si>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</si>
  <si>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</si>
  <si>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</si>
  <si>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</si>
  <si>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</si>
  <si>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</si>
  <si>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</si>
  <si>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</si>
  <si>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</si>
  <si>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</si>
  <si>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</si>
  <si>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</si>
  <si>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</si>
  <si>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</si>
  <si>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</si>
  <si>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</si>
  <si>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</si>
  <si>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</si>
  <si>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</si>
  <si>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</si>
  <si>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</si>
  <si>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</si>
  <si>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</si>
  <si>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</si>
  <si>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</si>
  <si>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</si>
  <si>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</si>
  <si>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</si>
  <si>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</si>
  <si>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</si>
  <si>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</si>
  <si>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</si>
  <si>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</si>
  <si>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</si>
  <si>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</si>
  <si>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</si>
  <si>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</si>
  <si>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</si>
  <si>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</si>
  <si>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</si>
  <si>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</si>
  <si>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</si>
  <si>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</si>
  <si>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</si>
  <si>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</si>
  <si>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</si>
  <si>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</si>
  <si>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</si>
  <si>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</si>
  <si>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</si>
  <si>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</si>
  <si>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</si>
  <si>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</si>
  <si>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</si>
  <si>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</si>
  <si>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</si>
  <si>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</si>
  <si>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</si>
  <si>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</si>
  <si>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</si>
  <si>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</si>
  <si>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</si>
  <si>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</si>
  <si>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</si>
  <si>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</si>
  <si>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</si>
  <si>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</si>
  <si>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</si>
  <si>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</si>
  <si>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</si>
  <si>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</si>
  <si>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</si>
  <si>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</si>
  <si>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</si>
  <si>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</si>
  <si>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</si>
  <si>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</si>
  <si>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</si>
  <si>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</si>
  <si>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</si>
  <si>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</si>
  <si>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</si>
  <si>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</si>
  <si>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</si>
  <si>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</si>
  <si>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</si>
  <si>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</si>
  <si>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</si>
  <si>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</si>
  <si>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</si>
  <si>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</si>
  <si>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</si>
  <si>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</si>
  <si>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</si>
  <si>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</si>
  <si>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</si>
  <si>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</si>
  <si>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</si>
  <si>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</si>
  <si>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</si>
  <si>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</si>
  <si>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</si>
  <si>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</si>
  <si>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</si>
  <si>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</si>
  <si>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</si>
  <si>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</si>
  <si>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</si>
  <si>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</si>
  <si>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</si>
  <si>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</si>
  <si>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</si>
  <si>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</si>
  <si>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</si>
  <si>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</si>
  <si>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</si>
  <si>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</si>
  <si>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</si>
  <si>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</si>
  <si>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</si>
  <si>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</si>
  <si>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</si>
  <si>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</si>
  <si>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</si>
  <si>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</si>
  <si>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</si>
  <si>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</si>
  <si>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</si>
  <si>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</si>
  <si>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</si>
  <si>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</si>
  <si>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</si>
  <si>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</si>
  <si>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</si>
  <si>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</si>
  <si>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</si>
  <si>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</si>
  <si>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</si>
  <si>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</si>
  <si>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</si>
  <si>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</si>
  <si>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</si>
  <si>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</si>
  <si>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</si>
  <si>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</si>
  <si>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</si>
  <si>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</si>
  <si>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</si>
  <si>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</si>
  <si>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</si>
  <si>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</si>
  <si>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</si>
  <si>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</si>
  <si>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</si>
  <si>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</si>
  <si>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</si>
  <si>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</si>
  <si>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</si>
  <si>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</si>
  <si>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</si>
  <si>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</si>
  <si>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</si>
  <si>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</si>
  <si>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</si>
  <si>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</si>
  <si>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</si>
  <si>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</si>
  <si>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</si>
  <si>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</si>
  <si>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</si>
  <si>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</si>
  <si>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</si>
  <si>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</si>
  <si>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</si>
  <si>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</si>
  <si>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</si>
  <si>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</si>
  <si>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</si>
  <si>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</si>
  <si>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</si>
  <si>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</si>
  <si>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</si>
  <si>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</si>
  <si>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</si>
  <si>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</si>
  <si>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</si>
  <si>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</si>
  <si>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</si>
  <si>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</si>
  <si>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</si>
  <si>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</si>
  <si>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</si>
  <si>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</si>
  <si>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</si>
  <si>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</si>
  <si>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</si>
  <si>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</si>
  <si>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</si>
  <si>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</si>
  <si>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</si>
  <si>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</si>
  <si>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</si>
  <si>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</si>
  <si>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</si>
  <si>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</si>
  <si>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</si>
  <si>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</si>
  <si>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</si>
  <si>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</si>
  <si>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</si>
  <si>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</si>
  <si>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</si>
  <si>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</si>
  <si>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</si>
  <si>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</si>
  <si>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</si>
  <si>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</si>
  <si>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</si>
  <si>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</si>
  <si>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</si>
  <si>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</si>
  <si>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</si>
  <si>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</si>
  <si>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</si>
  <si>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</si>
  <si>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</si>
  <si>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</si>
  <si>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</si>
  <si>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</si>
  <si>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</si>
  <si>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</si>
  <si>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</si>
  <si>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</si>
  <si>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</si>
  <si>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</si>
  <si>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</si>
  <si>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</si>
  <si>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</si>
  <si>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</si>
  <si>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</si>
  <si>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</si>
  <si>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</si>
  <si>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</si>
  <si>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</si>
  <si>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</si>
  <si>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</si>
  <si>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</si>
  <si>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</si>
  <si>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</si>
  <si>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</si>
  <si>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</si>
  <si>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</si>
  <si>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</si>
  <si>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</si>
  <si>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</si>
  <si>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</si>
  <si>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</si>
  <si>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</si>
  <si>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</si>
  <si>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</si>
  <si>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</si>
  <si>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</si>
  <si>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</si>
  <si>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</si>
  <si>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</si>
  <si>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</si>
  <si>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</si>
  <si>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</si>
  <si>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</si>
  <si>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</si>
  <si>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</si>
  <si>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</si>
  <si>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</si>
  <si>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</si>
  <si>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</si>
  <si>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</si>
  <si>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</si>
  <si>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</si>
  <si>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</si>
  <si>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</si>
  <si>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</si>
  <si>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</si>
  <si>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</si>
  <si>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</si>
  <si>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</si>
  <si>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</si>
  <si>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</si>
  <si>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</si>
  <si>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</si>
  <si>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</si>
  <si>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</si>
  <si>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</si>
  <si>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</si>
  <si>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</si>
  <si>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</si>
  <si>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</si>
  <si>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</si>
  <si>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</si>
  <si>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</si>
  <si>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</si>
  <si>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</si>
  <si>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</si>
  <si>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</si>
  <si>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</si>
  <si>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</si>
  <si>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</si>
  <si>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</si>
  <si>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</si>
  <si>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</si>
  <si>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</si>
  <si>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</si>
  <si>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</si>
  <si>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</si>
  <si>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</si>
  <si>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</si>
  <si>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</si>
  <si>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</si>
  <si>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</si>
  <si>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</si>
  <si>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</si>
  <si>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</si>
  <si>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</si>
  <si>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</si>
  <si>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</si>
  <si>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</si>
  <si>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</si>
  <si>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</si>
  <si>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</si>
  <si>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</si>
  <si>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</si>
  <si>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</si>
  <si>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</si>
  <si>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</si>
  <si>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</si>
  <si>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</si>
  <si>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</si>
  <si>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</si>
  <si>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</si>
  <si>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</si>
  <si>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</si>
  <si>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</si>
  <si>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</si>
  <si>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</si>
  <si>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</si>
  <si>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</si>
  <si>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</si>
  <si>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</si>
  <si>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</si>
  <si>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</si>
  <si>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</si>
  <si>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</si>
  <si>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</si>
  <si>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</si>
  <si>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</si>
  <si>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</si>
  <si>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</si>
  <si>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</si>
  <si>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</si>
  <si>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</si>
  <si>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</si>
  <si>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</si>
  <si>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</si>
  <si>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</si>
  <si>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</si>
  <si>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</si>
  <si>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</si>
  <si>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</si>
  <si>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</si>
  <si>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</si>
  <si>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</si>
  <si>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</si>
  <si>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</si>
  <si>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</si>
  <si>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</si>
  <si>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</si>
  <si>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</si>
  <si>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</si>
  <si>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</si>
  <si>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</si>
  <si>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</si>
  <si>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</si>
  <si>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</si>
  <si>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</si>
  <si>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</si>
  <si>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</si>
  <si>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</si>
  <si>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</si>
  <si>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</si>
  <si>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</si>
  <si>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</si>
  <si>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</si>
  <si>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</si>
  <si>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</si>
  <si>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</si>
  <si>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</si>
  <si>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</si>
  <si>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</si>
  <si>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</si>
  <si>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</si>
  <si>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</si>
  <si>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</si>
  <si>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</si>
  <si>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</si>
  <si>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</si>
  <si>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</si>
  <si>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</si>
  <si>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</si>
  <si>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</si>
  <si>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</si>
  <si>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</si>
  <si>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</si>
  <si>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</si>
  <si>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</si>
  <si>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</si>
  <si>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</si>
  <si>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</si>
  <si>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</si>
  <si>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</si>
  <si>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</si>
  <si>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</si>
  <si>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</si>
  <si>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</si>
  <si>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</si>
  <si>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</si>
  <si>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</si>
  <si>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</si>
  <si>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</si>
  <si>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</si>
  <si>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</si>
  <si>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</si>
  <si>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</si>
  <si>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</si>
  <si>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</si>
  <si>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</si>
  <si>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</si>
  <si>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</si>
  <si>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</si>
  <si>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</si>
  <si>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</si>
  <si>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</si>
  <si>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</si>
  <si>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</si>
  <si>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</si>
  <si>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</si>
  <si>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</si>
  <si>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</si>
  <si>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</si>
  <si>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</si>
  <si>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</si>
  <si>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</si>
  <si>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</si>
  <si>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</si>
  <si>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</si>
  <si>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</si>
  <si>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</si>
  <si>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</si>
  <si>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</si>
  <si>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</si>
  <si>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</si>
  <si>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</si>
  <si>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</si>
  <si>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</si>
  <si>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</si>
  <si>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</si>
  <si>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</si>
  <si>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</si>
  <si>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</si>
  <si>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</si>
  <si>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</si>
  <si>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</si>
  <si>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</si>
  <si>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</si>
  <si>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</si>
  <si>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</si>
  <si>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</si>
  <si>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</si>
  <si>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</si>
  <si>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</si>
  <si>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</si>
  <si>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</si>
  <si>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</si>
  <si>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</si>
  <si>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</si>
  <si>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</si>
  <si>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</si>
  <si>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</si>
  <si>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</si>
  <si>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</si>
  <si>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</si>
  <si>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</si>
  <si>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</si>
  <si>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</si>
  <si>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</si>
  <si>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</si>
  <si>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</si>
  <si>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</si>
  <si>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</si>
  <si>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</si>
  <si>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</si>
  <si>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</si>
  <si>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</si>
  <si>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</si>
  <si>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</si>
  <si>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</si>
  <si>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</si>
  <si>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</si>
  <si>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</si>
  <si>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</si>
  <si>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</si>
  <si>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</si>
  <si>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</si>
  <si>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</si>
  <si>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</si>
  <si>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</si>
  <si>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</si>
  <si>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</si>
  <si>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</si>
  <si>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</si>
  <si>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</si>
  <si>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</si>
  <si>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</si>
  <si>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</si>
  <si>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</si>
  <si>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</si>
  <si>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</si>
  <si>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</si>
  <si>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</si>
  <si>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</si>
  <si>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</si>
  <si>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</si>
  <si>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</si>
  <si>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</si>
  <si>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</si>
  <si>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</si>
  <si>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</si>
  <si>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</si>
  <si>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</si>
  <si>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</si>
  <si>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</si>
  <si>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</si>
  <si>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</si>
  <si>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</si>
  <si>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</si>
  <si>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</si>
  <si>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</si>
  <si>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</si>
  <si>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</si>
  <si>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</si>
  <si>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</si>
  <si>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</si>
  <si>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</si>
  <si>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</si>
  <si>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</si>
  <si>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</si>
  <si>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</si>
  <si>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</si>
  <si>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</si>
  <si>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</si>
  <si>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</si>
  <si>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</si>
  <si>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</si>
  <si>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</si>
  <si>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</si>
  <si>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</si>
  <si>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</si>
  <si>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</si>
  <si>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</si>
  <si>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</si>
  <si>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</si>
  <si>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</si>
  <si>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</si>
  <si>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</si>
  <si>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</si>
  <si>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</si>
  <si>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</si>
  <si>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</si>
  <si>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</si>
  <si>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</si>
  <si>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</si>
  <si>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</si>
  <si>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</si>
  <si>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</si>
  <si>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</si>
  <si>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</si>
  <si>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</si>
  <si>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</si>
  <si>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</si>
  <si>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</si>
  <si>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</si>
  <si>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</si>
  <si>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</si>
  <si>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</si>
  <si>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</si>
  <si>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</si>
  <si>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</si>
  <si>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</si>
  <si>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</si>
  <si>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</si>
  <si>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</si>
  <si>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</si>
  <si>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</si>
  <si>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</si>
  <si>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</si>
  <si>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</si>
  <si>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</si>
  <si>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</si>
  <si>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</si>
  <si>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</si>
  <si>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</si>
  <si>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</si>
  <si>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</si>
  <si>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</si>
  <si>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</si>
  <si>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</si>
  <si>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</si>
  <si>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</si>
  <si>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</si>
  <si>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</si>
  <si>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</si>
  <si>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</si>
  <si>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</si>
  <si>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</si>
  <si>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</si>
  <si>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</si>
  <si>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</si>
  <si>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</si>
  <si>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</si>
  <si>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</si>
  <si>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</si>
  <si>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</si>
  <si>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</si>
  <si>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</si>
  <si>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</si>
  <si>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</si>
  <si>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</si>
  <si>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</si>
  <si>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</si>
  <si>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</si>
  <si>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</si>
  <si>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</si>
  <si>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</si>
  <si>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</si>
  <si>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</si>
  <si>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</si>
  <si>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</si>
  <si>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</si>
  <si>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</si>
  <si>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</si>
  <si>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</si>
  <si>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</si>
  <si>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</si>
  <si>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</si>
  <si>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</si>
  <si>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</si>
  <si>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</si>
  <si>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</si>
  <si>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</si>
  <si>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</si>
  <si>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</si>
  <si>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</si>
  <si>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</si>
  <si>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</si>
  <si>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</si>
  <si>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</si>
  <si>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</si>
  <si>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</si>
  <si>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</si>
  <si>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</si>
  <si>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</si>
  <si>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</si>
  <si>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</si>
  <si>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</si>
  <si>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</si>
  <si>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</si>
  <si>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</si>
  <si>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</si>
  <si>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</si>
  <si>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</si>
  <si>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</si>
  <si>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</si>
  <si>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</si>
  <si>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</si>
  <si>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</si>
  <si>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</si>
  <si>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</si>
  <si>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</si>
  <si>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</si>
  <si>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</si>
  <si>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</si>
  <si>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</si>
  <si>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</si>
  <si>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</si>
  <si>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</si>
  <si>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</si>
  <si>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</si>
  <si>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</si>
  <si>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</si>
  <si>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</si>
  <si>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</si>
  <si>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</si>
  <si>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</si>
  <si>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</si>
  <si>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</si>
  <si>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</si>
  <si>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</si>
  <si>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</si>
  <si>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</si>
  <si>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</si>
  <si>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</si>
  <si>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</si>
  <si>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</si>
  <si>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</si>
  <si>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</si>
  <si>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</si>
  <si>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</si>
  <si>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</si>
  <si>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</si>
  <si>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</si>
  <si>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</si>
  <si>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</si>
  <si>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</si>
  <si>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</si>
  <si>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</si>
  <si>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</si>
  <si>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</si>
  <si>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</si>
  <si>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</si>
  <si>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</si>
  <si>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</si>
  <si>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</si>
  <si>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</si>
  <si>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</si>
  <si>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</si>
  <si>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</si>
  <si>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</si>
  <si>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</si>
  <si>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</si>
  <si>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</si>
  <si>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</si>
  <si>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</si>
  <si>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</si>
  <si>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</si>
  <si>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</si>
  <si>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</si>
  <si>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</si>
  <si>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</si>
  <si>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</si>
  <si>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</si>
  <si>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</si>
  <si>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</si>
  <si>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</si>
  <si>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</si>
  <si>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</si>
  <si>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</si>
  <si>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</si>
  <si>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</si>
  <si>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</si>
  <si>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</si>
  <si>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</si>
  <si>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</si>
  <si>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</si>
  <si>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</si>
  <si>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</si>
  <si>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</si>
  <si>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</si>
  <si>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</si>
  <si>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</si>
  <si>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</si>
  <si>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</si>
  <si>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</si>
  <si>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</si>
  <si>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</si>
  <si>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</si>
  <si>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</si>
  <si>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</si>
  <si>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</si>
  <si>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</si>
  <si>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</si>
  <si>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</si>
  <si>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</si>
  <si>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</si>
  <si>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</si>
  <si>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</si>
  <si>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</si>
  <si>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</si>
  <si>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</si>
  <si>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</si>
  <si>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</si>
  <si>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</si>
  <si>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</si>
  <si>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</si>
  <si>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</si>
  <si>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</si>
  <si>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</si>
  <si>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</si>
  <si>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</si>
  <si>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</si>
  <si>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</si>
  <si>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</si>
  <si>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</si>
  <si>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</si>
  <si>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</si>
  <si>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</si>
  <si>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</si>
  <si>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</si>
  <si>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</si>
  <si>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</si>
  <si>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</si>
  <si>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</si>
  <si>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</si>
  <si>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</si>
  <si>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</si>
  <si>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</si>
  <si>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</si>
  <si>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</si>
  <si>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</si>
  <si>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</si>
  <si>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</si>
  <si>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</si>
  <si>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</si>
  <si>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</si>
  <si>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</si>
  <si>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</si>
  <si>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</si>
  <si>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</si>
  <si>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</si>
  <si>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</si>
  <si>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</si>
  <si>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</si>
  <si>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</si>
  <si>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</si>
  <si>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</si>
  <si>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</si>
  <si>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</si>
  <si>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</si>
  <si>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</si>
  <si>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</si>
  <si>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</si>
  <si>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</si>
  <si>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</si>
  <si>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</si>
  <si>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</si>
  <si>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</si>
  <si>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</si>
  <si>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</si>
  <si>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</si>
  <si>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</si>
  <si>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</si>
  <si>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</si>
  <si>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</si>
  <si>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</si>
  <si>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</si>
  <si>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</si>
  <si>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</si>
  <si>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</si>
  <si>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</si>
  <si>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</si>
  <si>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</si>
  <si>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</si>
  <si>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</si>
  <si>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</si>
  <si>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</si>
  <si>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</si>
  <si>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</si>
  <si>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</si>
  <si>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</si>
  <si>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</si>
  <si>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</si>
  <si>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</si>
  <si>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</si>
  <si>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</si>
  <si>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</si>
  <si>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</si>
  <si>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</si>
  <si>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</si>
  <si>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</si>
  <si>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</si>
  <si>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</si>
  <si>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</si>
  <si>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</si>
  <si>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</si>
  <si>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</si>
  <si>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</si>
  <si>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</si>
  <si>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</si>
  <si>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</si>
  <si>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</si>
  <si>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</si>
  <si>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</si>
  <si>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</si>
  <si>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</si>
  <si>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</si>
  <si>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</si>
  <si>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</si>
  <si>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</si>
  <si>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</si>
  <si>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</si>
  <si>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</si>
  <si>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</si>
  <si>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</si>
  <si>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</si>
  <si>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</si>
  <si>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</si>
  <si>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</si>
  <si>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</si>
  <si>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</si>
  <si>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</si>
  <si>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</si>
  <si>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</si>
  <si>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</si>
  <si>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</si>
  <si>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</si>
  <si>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</si>
  <si>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</si>
  <si>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</si>
  <si>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</si>
  <si>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</si>
  <si>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</si>
  <si>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</si>
  <si>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</si>
  <si>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</si>
  <si>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</si>
  <si>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</si>
  <si>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</si>
  <si>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</si>
  <si>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</si>
  <si>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</si>
  <si>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</si>
  <si>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</si>
  <si>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</si>
  <si>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</si>
  <si>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</si>
  <si>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</si>
  <si>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</si>
  <si>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</si>
  <si>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</si>
  <si>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</si>
  <si>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</si>
  <si>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</si>
  <si>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</si>
  <si>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</si>
  <si>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</si>
  <si>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</si>
  <si>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</si>
  <si>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</si>
  <si>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</si>
  <si>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</si>
  <si>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</si>
  <si>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</si>
  <si>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</si>
  <si>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</si>
  <si>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</si>
  <si>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</si>
  <si>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</si>
  <si>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</si>
  <si>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</si>
  <si>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</si>
  <si>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</si>
  <si>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</si>
  <si>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</si>
  <si>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</si>
  <si>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</si>
  <si>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</si>
  <si>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</si>
  <si>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</si>
  <si>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</si>
  <si>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</si>
  <si>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</si>
  <si>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</si>
  <si>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</si>
  <si>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</si>
  <si>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</si>
  <si>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</si>
  <si>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</si>
  <si>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</si>
  <si>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</si>
  <si>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</si>
  <si>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</si>
  <si>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</si>
  <si>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</si>
  <si>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</si>
  <si>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</si>
  <si>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</si>
  <si>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</si>
  <si>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</si>
  <si>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</si>
  <si>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</si>
  <si>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</si>
  <si>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</si>
  <si>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</si>
  <si>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</si>
  <si>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</si>
  <si>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</si>
  <si>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</si>
  <si>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</si>
  <si>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</si>
  <si>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</si>
  <si>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</si>
  <si>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</si>
  <si>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</si>
  <si>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</si>
  <si>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</si>
  <si>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</si>
  <si>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</si>
  <si>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</si>
  <si>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</si>
  <si>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</si>
  <si>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</si>
  <si>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</si>
  <si>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</si>
  <si>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</si>
  <si>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</si>
  <si>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</si>
  <si>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</si>
  <si>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</si>
  <si>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</si>
  <si>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</si>
  <si>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</si>
  <si>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</si>
  <si>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</si>
  <si>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</si>
  <si>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</si>
  <si>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</si>
  <si>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</si>
  <si>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</si>
  <si>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</si>
  <si>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</si>
  <si>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</si>
  <si>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</si>
  <si>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</si>
  <si>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</si>
  <si>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</si>
  <si>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</si>
  <si>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</si>
  <si>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</si>
  <si>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</si>
  <si>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</si>
  <si>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</si>
  <si>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</si>
  <si>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</si>
  <si>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</si>
  <si>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</si>
  <si>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</si>
  <si>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</si>
  <si>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</si>
  <si>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</si>
  <si>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</si>
  <si>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</si>
  <si>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</si>
  <si>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</si>
  <si>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</si>
  <si>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</si>
  <si>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</si>
  <si>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</si>
  <si>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</si>
  <si>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</si>
  <si>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</si>
  <si>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</si>
  <si>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</si>
  <si>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</si>
  <si>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</si>
  <si>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</si>
  <si>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</si>
  <si>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</si>
  <si>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</si>
  <si>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</si>
  <si>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</si>
  <si>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</si>
  <si>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</si>
  <si>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</si>
  <si>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</si>
  <si>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</si>
  <si>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</si>
  <si>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</si>
  <si>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</si>
  <si>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</si>
  <si>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</si>
  <si>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</si>
  <si>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</si>
  <si>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</si>
  <si>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</si>
  <si>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</si>
  <si>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</si>
  <si>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</si>
  <si>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</si>
  <si>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</si>
  <si>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</si>
  <si>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</si>
  <si>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</si>
  <si>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</si>
  <si>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</si>
  <si>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</si>
  <si>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</si>
  <si>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</si>
  <si>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</si>
  <si>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</si>
  <si>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</si>
  <si>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</si>
  <si>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</si>
  <si>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</si>
  <si>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</si>
  <si>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</si>
  <si>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</si>
  <si>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</si>
  <si>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</si>
  <si>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</si>
  <si>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</si>
  <si>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</si>
  <si>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</si>
  <si>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</si>
  <si>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</si>
  <si>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</si>
  <si>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</si>
  <si>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</si>
  <si>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</si>
  <si>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</si>
  <si>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</si>
  <si>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</si>
  <si>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</si>
  <si>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</si>
  <si>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</si>
  <si>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</si>
  <si>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</si>
  <si>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</si>
  <si>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</si>
  <si>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</si>
  <si>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</si>
  <si>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</si>
  <si>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</si>
  <si>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</si>
  <si>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</si>
  <si>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</si>
  <si>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</si>
  <si>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</si>
  <si>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</si>
  <si>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</si>
  <si>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</si>
  <si>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</si>
  <si>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</si>
  <si>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</si>
  <si>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</si>
  <si>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</si>
  <si>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</si>
  <si>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</si>
  <si>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</si>
  <si>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</si>
  <si>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</si>
  <si>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</si>
  <si>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</si>
  <si>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</si>
  <si>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</si>
  <si>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</si>
  <si>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</si>
  <si>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</si>
  <si>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</si>
  <si>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</si>
  <si>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</si>
  <si>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</si>
  <si>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</si>
  <si>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</si>
  <si>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</si>
  <si>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</si>
  <si>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</si>
  <si>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</si>
  <si>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</si>
  <si>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</si>
  <si>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</si>
  <si>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</si>
  <si>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</si>
  <si>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</si>
  <si>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</si>
  <si>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</si>
  <si>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</si>
  <si>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</si>
  <si>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</si>
  <si>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</si>
  <si>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</si>
  <si>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</si>
  <si>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</si>
  <si>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</si>
  <si>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</si>
  <si>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</si>
  <si>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</si>
  <si>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</si>
  <si>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</si>
  <si>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</si>
  <si>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</si>
  <si>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</si>
  <si>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</si>
  <si>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</si>
  <si>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</si>
  <si>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</si>
  <si>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</si>
  <si>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</si>
  <si>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</si>
  <si>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</si>
  <si>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</si>
  <si>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</si>
  <si>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</si>
  <si>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</si>
  <si>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</si>
  <si>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</si>
  <si>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</si>
  <si>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</si>
  <si>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</si>
  <si>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</si>
  <si>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</si>
  <si>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</si>
  <si>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</si>
  <si>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</si>
  <si>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</si>
  <si>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</si>
  <si>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</si>
  <si>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</si>
  <si>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</si>
  <si>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</si>
  <si>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</si>
  <si>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</si>
  <si>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</si>
  <si>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</si>
  <si>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</si>
  <si>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</si>
  <si>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</si>
  <si>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</si>
  <si>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</si>
  <si>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</si>
  <si>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</si>
  <si>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</si>
  <si>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</si>
  <si>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</si>
  <si>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</si>
  <si>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</si>
  <si>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</si>
  <si>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</si>
  <si>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</si>
  <si>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</si>
  <si>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</si>
  <si>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</si>
  <si>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</si>
  <si>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</si>
  <si>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</si>
  <si>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</si>
  <si>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</si>
  <si>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</si>
  <si>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</si>
  <si>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</si>
  <si>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</si>
  <si>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</si>
  <si>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</si>
  <si>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</si>
  <si>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</si>
  <si>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</si>
  <si>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</si>
  <si>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</si>
  <si>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</si>
  <si>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</si>
  <si>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</si>
  <si>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</si>
  <si>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</si>
  <si>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</si>
  <si>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</si>
  <si>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</si>
  <si>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</si>
  <si>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</si>
  <si>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</si>
  <si>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</si>
  <si>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</si>
  <si>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</si>
  <si>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</si>
  <si>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</si>
  <si>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</si>
  <si>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</si>
  <si>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</si>
  <si>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</si>
  <si>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</si>
  <si>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</si>
  <si>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</si>
  <si>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</si>
  <si>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</si>
  <si>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</si>
  <si>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</si>
  <si>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</si>
  <si>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</si>
  <si>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</si>
  <si>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</si>
  <si>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</si>
  <si>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</si>
  <si>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</si>
  <si>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</si>
  <si>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</si>
  <si>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</si>
  <si>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</si>
  <si>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</si>
  <si>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</si>
  <si>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</si>
  <si>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</si>
  <si>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</si>
  <si>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</si>
  <si>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</si>
  <si>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</si>
  <si>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</si>
  <si>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</si>
  <si>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</si>
  <si>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</si>
  <si>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</si>
  <si>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</si>
  <si>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</si>
  <si>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</si>
  <si>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</si>
  <si>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</si>
  <si>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</si>
  <si>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</si>
  <si>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</si>
  <si>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</si>
  <si>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</si>
  <si>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</si>
  <si>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</si>
  <si>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</si>
  <si>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</si>
  <si>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</si>
  <si>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</si>
  <si>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</si>
  <si>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</si>
  <si>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</si>
  <si>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</si>
  <si>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</si>
  <si>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</si>
  <si>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</si>
  <si>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</si>
  <si>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</si>
  <si>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</si>
  <si>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</si>
  <si>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</si>
  <si>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</si>
  <si>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</si>
  <si>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</si>
  <si>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</si>
  <si>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</si>
  <si>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</si>
  <si>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</si>
  <si>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</si>
  <si>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</si>
  <si>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</si>
  <si>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</si>
  <si>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</si>
  <si>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</si>
  <si>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</si>
  <si>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</si>
  <si>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</si>
  <si>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</si>
  <si>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</si>
  <si>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</si>
  <si>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</si>
  <si>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</si>
  <si>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</si>
  <si>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</si>
  <si>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</si>
  <si>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</si>
  <si>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</si>
  <si>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</si>
  <si>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</si>
  <si>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</si>
  <si>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</si>
  <si>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</si>
  <si>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</si>
  <si>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</si>
  <si>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</si>
  <si>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</si>
  <si>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</si>
  <si>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</si>
  <si>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</si>
  <si>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</si>
  <si>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</si>
  <si>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</si>
  <si>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</si>
  <si>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</si>
  <si>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</si>
  <si>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</si>
  <si>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</si>
  <si>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</si>
  <si>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</si>
  <si>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</si>
  <si>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</si>
  <si>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</si>
  <si>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</si>
  <si>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</si>
  <si>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</si>
  <si>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</si>
  <si>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</si>
  <si>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</si>
  <si>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</si>
  <si>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</si>
  <si>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</si>
  <si>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</si>
  <si>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</si>
  <si>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</si>
  <si>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</si>
  <si>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</si>
  <si>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</si>
  <si>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</si>
  <si>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</si>
  <si>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</si>
  <si>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</si>
  <si>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</si>
  <si>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</si>
  <si>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</si>
  <si>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</si>
  <si>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</si>
  <si>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</si>
  <si>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</si>
  <si>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</si>
  <si>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</si>
  <si>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</si>
  <si>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</si>
  <si>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</si>
  <si>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</si>
  <si>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</si>
  <si>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</si>
  <si>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</si>
  <si>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</si>
  <si>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</si>
  <si>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</si>
  <si>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</si>
  <si>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</si>
  <si>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</si>
  <si>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</si>
  <si>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</si>
  <si>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</si>
  <si>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</si>
  <si>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</si>
  <si>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</si>
  <si>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</si>
  <si>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</si>
  <si>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</si>
  <si>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</si>
  <si>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</si>
  <si>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</si>
  <si>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</si>
  <si>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</si>
  <si>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</si>
  <si>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</si>
  <si>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</si>
  <si>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</si>
  <si>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</si>
  <si>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</si>
  <si>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</si>
  <si>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</si>
  <si>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</si>
  <si>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</si>
  <si>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</si>
  <si>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</si>
  <si>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</si>
  <si>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</si>
  <si>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</si>
  <si>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</si>
  <si>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</si>
  <si>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</si>
  <si>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</si>
  <si>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</si>
  <si>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</si>
  <si>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</si>
  <si>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</si>
  <si>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</si>
  <si>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</si>
  <si>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</si>
  <si>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</si>
  <si>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</si>
  <si>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</si>
  <si>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</si>
  <si>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</si>
  <si>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</si>
  <si>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</si>
  <si>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</si>
  <si>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</si>
  <si>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</si>
  <si>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</si>
  <si>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</si>
  <si>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</si>
  <si>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</si>
  <si>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</si>
  <si>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</si>
  <si>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</si>
  <si>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</si>
  <si>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</si>
  <si>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</si>
  <si>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</si>
  <si>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</si>
  <si>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</si>
  <si>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</si>
  <si>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</si>
  <si>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</si>
  <si>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</si>
  <si>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</si>
  <si>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</si>
  <si>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</si>
  <si>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</si>
  <si>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</si>
  <si>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</si>
  <si>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</si>
  <si>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</si>
  <si>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</si>
  <si>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</si>
  <si>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</si>
  <si>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</si>
  <si>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</si>
  <si>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</si>
  <si>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</si>
  <si>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</si>
  <si>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</si>
  <si>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</si>
  <si>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</si>
  <si>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</si>
  <si>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</si>
  <si>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</si>
  <si>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</si>
  <si>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</si>
  <si>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</si>
  <si>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</si>
  <si>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</si>
  <si>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</si>
  <si>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</si>
  <si>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</si>
  <si>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</si>
  <si>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</si>
  <si>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</si>
  <si>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</si>
  <si>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</si>
  <si>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</si>
  <si>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</si>
  <si>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</si>
  <si>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</si>
  <si>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</si>
  <si>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</si>
  <si>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</si>
  <si>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</si>
  <si>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</si>
  <si>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</si>
  <si>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</si>
  <si>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</si>
  <si>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</si>
  <si>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</si>
  <si>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</si>
  <si>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</si>
  <si>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</si>
  <si>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</si>
  <si>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</si>
  <si>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</si>
  <si>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</si>
  <si>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</si>
  <si>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</si>
  <si>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</si>
  <si>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</si>
  <si>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</si>
  <si>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</si>
  <si>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</si>
  <si>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</si>
  <si>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</si>
  <si>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</si>
  <si>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</si>
  <si>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</si>
  <si>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</si>
  <si>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</si>
  <si>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</si>
  <si>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</si>
  <si>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</si>
  <si>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</si>
  <si>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</si>
  <si>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</si>
  <si>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</si>
  <si>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</si>
  <si>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</si>
  <si>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</si>
  <si>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</si>
  <si>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</si>
  <si>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</si>
  <si>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</si>
  <si>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</si>
  <si>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</si>
  <si>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</si>
  <si>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</si>
  <si>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</si>
  <si>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</si>
  <si>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</si>
  <si>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</si>
  <si>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</si>
  <si>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</si>
  <si>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</si>
  <si>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</si>
  <si>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</si>
  <si>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</si>
  <si>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</si>
  <si>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</si>
  <si>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</si>
  <si>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</si>
  <si>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</si>
  <si>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</si>
  <si>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</si>
  <si>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</si>
  <si>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</si>
  <si>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</si>
  <si>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</si>
  <si>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</si>
  <si>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</si>
  <si>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</si>
  <si>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</si>
  <si>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</si>
  <si>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</si>
  <si>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</si>
  <si>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</si>
  <si>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</si>
  <si>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</si>
  <si>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</si>
  <si>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</si>
  <si>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</si>
  <si>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</si>
  <si>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</si>
  <si>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</si>
  <si>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</si>
  <si>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</si>
  <si>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</si>
  <si>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</si>
  <si>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</si>
  <si>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</si>
  <si>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</si>
  <si>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</si>
  <si>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</si>
  <si>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</si>
  <si>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</si>
  <si>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</si>
  <si>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</si>
  <si>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</si>
  <si>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</si>
  <si>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</si>
  <si>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</si>
  <si>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</si>
  <si>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</si>
  <si>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</si>
  <si>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</si>
  <si>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</si>
  <si>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</si>
  <si>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</si>
  <si>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</si>
  <si>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</si>
  <si>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</si>
  <si>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</si>
  <si>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</si>
  <si>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</si>
  <si>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</si>
  <si>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</si>
  <si>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</si>
  <si>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</si>
  <si>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</si>
  <si>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</si>
  <si>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</si>
  <si>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</si>
  <si>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</si>
  <si>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</si>
  <si>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</si>
  <si>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</si>
  <si>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</si>
  <si>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</si>
  <si>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</si>
  <si>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</si>
  <si>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</si>
  <si>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</si>
  <si>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</si>
  <si>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</si>
  <si>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</si>
  <si>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</si>
  <si>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</si>
  <si>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</si>
  <si>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</si>
  <si>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</si>
  <si>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</si>
  <si>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</si>
  <si>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</si>
  <si>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</si>
  <si>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</si>
  <si>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</si>
  <si>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</si>
  <si>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</si>
  <si>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</si>
  <si>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</si>
  <si>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</si>
  <si>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</si>
  <si>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</si>
  <si>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</si>
  <si>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</si>
  <si>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</si>
  <si>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</si>
  <si>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</si>
  <si>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</si>
  <si>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</si>
  <si>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</si>
  <si>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</si>
  <si>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</si>
  <si>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</si>
  <si>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</si>
  <si>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</si>
  <si>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</si>
  <si>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</si>
  <si>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</si>
  <si>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</si>
  <si>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</si>
  <si>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</si>
  <si>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</si>
  <si>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</si>
  <si>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</si>
  <si>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</si>
  <si>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</si>
  <si>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</si>
  <si>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</si>
  <si>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</si>
  <si>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</si>
  <si>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</si>
  <si>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</si>
  <si>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</si>
  <si>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</si>
  <si>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</si>
  <si>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</si>
  <si>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</si>
  <si>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</si>
  <si>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</si>
  <si>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</si>
  <si>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</si>
  <si>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</si>
  <si>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</si>
  <si>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</si>
  <si>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</si>
  <si>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</si>
  <si>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</si>
  <si>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</si>
  <si>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</si>
  <si>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</si>
  <si>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</si>
  <si>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</si>
  <si>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</si>
  <si>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</si>
  <si>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</si>
  <si>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</si>
  <si>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</si>
  <si>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</si>
  <si>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</si>
  <si>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</si>
  <si>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</si>
  <si>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</si>
  <si>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</si>
  <si>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</si>
  <si>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</si>
  <si>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</si>
  <si>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</si>
  <si>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</si>
  <si>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</si>
  <si>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</si>
  <si>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</si>
  <si>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</si>
  <si>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</si>
  <si>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</si>
  <si>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</si>
  <si>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</si>
  <si>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</si>
  <si>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</si>
  <si>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</si>
  <si>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</si>
  <si>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</si>
  <si>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</si>
  <si>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</si>
  <si>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</si>
  <si>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</si>
  <si>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</si>
  <si>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</si>
  <si>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</si>
  <si>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</si>
  <si>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</si>
  <si>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</si>
  <si>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</si>
  <si>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</si>
  <si>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</si>
  <si>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</si>
  <si>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</si>
  <si>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</si>
  <si>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</si>
  <si>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</si>
  <si>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</si>
  <si>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</si>
  <si>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</si>
  <si>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</si>
  <si>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</si>
  <si>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</si>
  <si>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</si>
  <si>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</si>
  <si>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</si>
  <si>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</si>
  <si>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</si>
  <si>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</si>
  <si>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</si>
  <si>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</si>
  <si>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</si>
  <si>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</si>
  <si>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</si>
  <si>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</si>
  <si>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</si>
  <si>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</si>
  <si>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</si>
  <si>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</si>
  <si>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</si>
  <si>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</si>
  <si>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</si>
  <si>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</si>
  <si>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</si>
  <si>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</si>
  <si>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</si>
  <si>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</si>
  <si>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</si>
  <si>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</si>
  <si>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</si>
  <si>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</si>
  <si>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</si>
  <si>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</si>
  <si>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</si>
  <si>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</si>
  <si>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</si>
  <si>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</si>
  <si>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</si>
  <si>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</si>
  <si>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</si>
  <si>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</si>
  <si>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</si>
  <si>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</si>
  <si>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</si>
  <si>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</si>
  <si>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</si>
  <si>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</si>
  <si>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</si>
  <si>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</si>
  <si>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</si>
  <si>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</si>
  <si>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</si>
  <si>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</si>
  <si>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</si>
  <si>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</si>
  <si>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</si>
  <si>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</si>
  <si>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</si>
  <si>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</si>
  <si>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</si>
  <si>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</si>
  <si>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</si>
  <si>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</si>
  <si>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</si>
  <si>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</si>
  <si>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</si>
  <si>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</si>
  <si>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</si>
  <si>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</si>
  <si>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</si>
  <si>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</si>
  <si>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</si>
  <si>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</si>
  <si>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</si>
  <si>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</si>
  <si>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</si>
  <si>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</si>
  <si>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</si>
  <si>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</si>
  <si>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</si>
  <si>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</si>
  <si>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</si>
  <si>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</si>
  <si>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</si>
  <si>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</si>
  <si>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</si>
  <si>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</si>
  <si>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</si>
  <si>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</si>
  <si>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</si>
  <si>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</si>
  <si>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</si>
  <si>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</si>
  <si>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</si>
  <si>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</si>
  <si>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</si>
  <si>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</si>
  <si>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</si>
  <si>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</si>
  <si>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</si>
  <si>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</si>
  <si>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</si>
  <si>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</si>
  <si>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</si>
  <si>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</si>
  <si>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</si>
  <si>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</si>
  <si>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</si>
  <si>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</si>
  <si>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</si>
  <si>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</si>
  <si>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</si>
  <si>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</si>
  <si>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</si>
  <si>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</si>
  <si>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</si>
  <si>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</si>
  <si>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</si>
  <si>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</si>
  <si>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</si>
  <si>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</si>
  <si>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</si>
  <si>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</si>
  <si>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</si>
  <si>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</si>
  <si>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</si>
  <si>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</si>
  <si>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</si>
  <si>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</si>
  <si>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</si>
  <si>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</si>
  <si>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</si>
  <si>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</si>
  <si>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</si>
  <si>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</si>
  <si>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</si>
  <si>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</si>
  <si>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</si>
  <si>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</si>
  <si>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</si>
  <si>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</si>
  <si>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</si>
  <si>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</si>
  <si>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</si>
  <si>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</si>
  <si>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</si>
  <si>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</si>
  <si>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</si>
  <si>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</si>
  <si>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</si>
  <si>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</si>
  <si>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</si>
  <si>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</si>
  <si>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</si>
  <si>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</si>
  <si>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</si>
  <si>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</si>
  <si>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</si>
  <si>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</si>
  <si>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</si>
  <si>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</si>
  <si>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</si>
  <si>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</si>
  <si>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</si>
  <si>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</si>
  <si>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</si>
  <si>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</si>
  <si>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</si>
  <si>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</si>
  <si>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</si>
  <si>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</si>
  <si>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</si>
  <si>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</si>
  <si>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</si>
  <si>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</si>
  <si>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</si>
  <si>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</si>
  <si>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</si>
  <si>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</si>
  <si>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</si>
  <si>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</si>
  <si>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</si>
  <si>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</si>
  <si>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</si>
  <si>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</si>
  <si>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</si>
  <si>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</si>
  <si>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</si>
  <si>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</si>
  <si>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</si>
  <si>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</si>
  <si>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</si>
  <si>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</si>
  <si>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</si>
  <si>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</si>
  <si>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</si>
  <si>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</si>
  <si>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</si>
  <si>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</si>
  <si>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</si>
  <si>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</si>
  <si>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</si>
  <si>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</si>
  <si>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</si>
  <si>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</si>
  <si>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</si>
  <si>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</si>
  <si>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</si>
  <si>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</si>
  <si>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</si>
  <si>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</si>
  <si>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</si>
  <si>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</si>
  <si>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</si>
  <si>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</si>
  <si>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</si>
  <si>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</si>
  <si>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</si>
  <si>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</si>
  <si>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</si>
  <si>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</si>
  <si>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</si>
  <si>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</si>
  <si>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</si>
  <si>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</si>
  <si>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</si>
  <si>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</si>
  <si>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</si>
  <si>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</si>
  <si>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</si>
  <si>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</si>
  <si>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</si>
  <si>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</si>
  <si>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</si>
  <si>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</si>
  <si>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</si>
  <si>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</si>
  <si>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</si>
  <si>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</si>
  <si>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</si>
  <si>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</si>
  <si>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</si>
  <si>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</si>
  <si>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</si>
  <si>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</si>
  <si>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</si>
  <si>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</si>
  <si>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</si>
  <si>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</si>
  <si>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</si>
  <si>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</si>
  <si>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</si>
  <si>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</si>
  <si>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</si>
  <si>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</si>
  <si>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</si>
  <si>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</si>
  <si>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</si>
  <si>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</si>
  <si>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</si>
  <si>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</si>
  <si>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</si>
  <si>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</si>
  <si>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</si>
  <si>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</si>
  <si>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</si>
  <si>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</si>
  <si>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</si>
  <si>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</si>
  <si>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</si>
  <si>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</si>
  <si>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</si>
  <si>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</si>
  <si>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</si>
  <si>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</si>
  <si>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</si>
  <si>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</si>
  <si>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</si>
  <si>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</si>
  <si>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</si>
  <si>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</si>
  <si>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</si>
  <si>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</si>
  <si>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</si>
  <si>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</si>
  <si>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</si>
  <si>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</si>
  <si>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</si>
  <si>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</si>
  <si>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</si>
  <si>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</si>
  <si>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</si>
  <si>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</si>
  <si>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</si>
  <si>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</si>
  <si>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</si>
  <si>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</si>
  <si>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</si>
  <si>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</si>
  <si>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</si>
  <si>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</si>
  <si>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</si>
  <si>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</si>
  <si>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</si>
  <si>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</si>
  <si>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</si>
  <si>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</si>
  <si>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</si>
  <si>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</si>
  <si>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</si>
  <si>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</si>
  <si>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</si>
  <si>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</si>
  <si>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</si>
  <si>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</si>
  <si>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</si>
  <si>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</si>
  <si>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</si>
  <si>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</si>
  <si>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</si>
  <si>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</si>
  <si>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</si>
  <si>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</si>
  <si>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</si>
  <si>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</si>
  <si>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</si>
  <si>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</si>
  <si>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</si>
  <si>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</si>
  <si>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</si>
  <si>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</si>
  <si>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</si>
  <si>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</si>
  <si>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</si>
  <si>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</si>
  <si>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</si>
  <si>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</si>
  <si>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</si>
  <si>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</si>
  <si>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</si>
  <si>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</si>
  <si>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</si>
  <si>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</si>
  <si>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</si>
  <si>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</si>
  <si>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</si>
  <si>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</si>
  <si>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</si>
  <si>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</si>
  <si>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</si>
  <si>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</si>
  <si>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</si>
  <si>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</si>
  <si>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</si>
  <si>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</si>
  <si>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</si>
  <si>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</si>
  <si>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</si>
  <si>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</si>
  <si>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</si>
  <si>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</si>
  <si>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</si>
  <si>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</si>
  <si>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</si>
  <si>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</si>
  <si>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</si>
  <si>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</si>
  <si>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</si>
  <si>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</si>
  <si>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</si>
  <si>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</si>
  <si>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</si>
  <si>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</si>
  <si>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</si>
  <si>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</si>
  <si>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</si>
  <si>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</si>
  <si>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</si>
  <si>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</si>
  <si>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</si>
  <si>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</si>
  <si>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</si>
  <si>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</si>
  <si>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</si>
  <si>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</si>
  <si>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</si>
  <si>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</si>
  <si>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</si>
  <si>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</si>
  <si>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</si>
  <si>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</si>
  <si>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</si>
  <si>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</si>
  <si>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</si>
  <si>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</si>
  <si>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</si>
  <si>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</si>
  <si>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</si>
  <si>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</si>
  <si>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</si>
  <si>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</si>
  <si>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</si>
  <si>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</si>
  <si>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</si>
  <si>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</si>
  <si>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</si>
  <si>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</si>
  <si>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</si>
  <si>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</si>
  <si>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</si>
  <si>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</si>
  <si>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</si>
  <si>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</si>
  <si>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</si>
  <si>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</si>
  <si>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</si>
  <si>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</si>
  <si>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</si>
  <si>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</si>
  <si>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</si>
  <si>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</si>
  <si>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</si>
  <si>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</si>
  <si>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</si>
  <si>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</si>
  <si>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</si>
  <si>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</si>
  <si>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</si>
  <si>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</si>
  <si>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</si>
  <si>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</si>
  <si>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</si>
  <si>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</si>
  <si>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</si>
  <si>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</si>
  <si>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</si>
  <si>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</si>
  <si>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</si>
  <si>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</si>
  <si>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</si>
  <si>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</si>
  <si>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</si>
  <si>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</si>
  <si>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</si>
  <si>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</si>
  <si>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</si>
  <si>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</si>
  <si>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</si>
  <si>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</si>
  <si>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</si>
  <si>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</si>
  <si>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</si>
  <si>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</si>
  <si>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</si>
  <si>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</si>
  <si>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</si>
  <si>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</si>
  <si>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</si>
  <si>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</si>
  <si>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</si>
  <si>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</si>
  <si>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</si>
  <si>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</si>
  <si>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</si>
  <si>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</si>
  <si>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</si>
  <si>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</si>
  <si>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</si>
  <si>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</si>
  <si>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</si>
  <si>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</si>
  <si>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</si>
  <si>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</si>
  <si>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</si>
  <si>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</si>
  <si>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</si>
  <si>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</si>
  <si>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</si>
  <si>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</si>
  <si>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</si>
  <si>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</si>
  <si>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</si>
  <si>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</si>
  <si>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</si>
  <si>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</si>
  <si>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</si>
  <si>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</si>
  <si>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</si>
  <si>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</si>
  <si>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</si>
  <si>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</si>
  <si>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</si>
  <si>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</si>
  <si>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</si>
  <si>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</si>
  <si>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</si>
  <si>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</si>
  <si>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</si>
  <si>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</si>
  <si>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</si>
  <si>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</si>
  <si>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</si>
  <si>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</si>
  <si>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</si>
  <si>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</si>
  <si>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</si>
  <si>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</si>
  <si>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</si>
  <si>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</si>
  <si>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</si>
  <si>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</si>
  <si>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</si>
  <si>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</si>
  <si>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</si>
  <si>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</si>
  <si>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</si>
  <si>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</si>
  <si>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</si>
  <si>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</si>
  <si>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</si>
  <si>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</si>
  <si>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</si>
  <si>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</si>
  <si>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</si>
  <si>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</si>
  <si>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</si>
  <si>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</si>
  <si>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</si>
  <si>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</si>
  <si>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</si>
  <si>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</si>
  <si>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</si>
  <si>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</si>
  <si>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</si>
  <si>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</si>
  <si>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</si>
  <si>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</si>
  <si>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</si>
  <si>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</si>
  <si>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</si>
  <si>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</si>
  <si>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</si>
  <si>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</si>
  <si>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</si>
  <si>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</si>
  <si>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</si>
  <si>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</si>
  <si>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</si>
  <si>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</si>
  <si>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</si>
  <si>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</si>
  <si>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</si>
  <si>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</si>
  <si>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</si>
  <si>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</si>
  <si>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</si>
  <si>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</si>
  <si>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</si>
  <si>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</si>
  <si>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</si>
  <si>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</si>
  <si>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</si>
  <si>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</si>
  <si>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</si>
  <si>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</si>
  <si>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</si>
  <si>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</si>
  <si>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</si>
  <si>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</si>
  <si>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</si>
  <si>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</si>
  <si>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</si>
  <si>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</si>
  <si>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</si>
  <si>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</si>
  <si>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</si>
  <si>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</si>
  <si>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</si>
  <si>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</si>
  <si>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</si>
  <si>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</si>
  <si>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</si>
  <si>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</si>
  <si>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</si>
  <si>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</si>
  <si>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</si>
  <si>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</si>
  <si>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</si>
  <si>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</si>
  <si>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</si>
  <si>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</si>
  <si>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</si>
  <si>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</si>
  <si>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</si>
  <si>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</si>
  <si>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</si>
  <si>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</si>
  <si>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</si>
  <si>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</si>
  <si>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</si>
  <si>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</si>
  <si>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</si>
  <si>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</si>
  <si>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</si>
  <si>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</si>
  <si>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</si>
  <si>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</si>
  <si>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</si>
  <si>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</si>
  <si>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</si>
  <si>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</si>
  <si>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</si>
  <si>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</si>
  <si>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</si>
  <si>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</si>
  <si>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</si>
  <si>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</si>
  <si>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</si>
  <si>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</si>
  <si>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</si>
  <si>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</si>
  <si>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</si>
  <si>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</si>
  <si>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</si>
  <si>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</si>
  <si>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</si>
  <si>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</si>
  <si>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</si>
  <si>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</si>
  <si>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</si>
  <si>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</si>
  <si>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</si>
  <si>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</si>
  <si>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</si>
  <si>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</si>
  <si>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</si>
  <si>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</si>
  <si>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</si>
  <si>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</si>
  <si>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</si>
  <si>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</si>
  <si>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</si>
  <si>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</si>
  <si>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</si>
  <si>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</si>
  <si>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</si>
  <si>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</si>
  <si>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</si>
  <si>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</si>
  <si>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</si>
  <si>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</si>
  <si>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</si>
  <si>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</si>
  <si>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</si>
  <si>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</si>
  <si>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</si>
  <si>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</si>
  <si>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</si>
  <si>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</si>
  <si>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</si>
  <si>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</si>
  <si>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</si>
  <si>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</si>
  <si>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</si>
  <si>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</si>
  <si>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</si>
  <si>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</si>
  <si>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</si>
  <si>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</si>
  <si>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</si>
  <si>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</si>
  <si>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</si>
  <si>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</si>
  <si>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</si>
  <si>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</si>
  <si>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</si>
  <si>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</si>
  <si>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</si>
  <si>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</si>
  <si>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</si>
  <si>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</si>
  <si>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</si>
  <si>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</si>
  <si>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</si>
  <si>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</si>
  <si>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</si>
  <si>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</si>
  <si>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</si>
  <si>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</si>
  <si>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</si>
  <si>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</si>
  <si>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</si>
  <si>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</si>
  <si>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</si>
  <si>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</si>
  <si>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</si>
  <si>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</si>
  <si>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</si>
  <si>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</si>
  <si>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</si>
  <si>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</si>
  <si>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</si>
  <si>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</si>
  <si>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</si>
  <si>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</si>
  <si>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</si>
  <si>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</si>
  <si>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</si>
  <si>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</si>
  <si>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</si>
  <si>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</si>
  <si>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</si>
  <si>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</si>
  <si>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</si>
  <si>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</si>
  <si>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</si>
  <si>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</si>
  <si>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</si>
  <si>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</si>
  <si>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</si>
  <si>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</si>
  <si>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</si>
  <si>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</si>
  <si>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</si>
  <si>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</si>
  <si>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</si>
  <si>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</si>
  <si>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</si>
  <si>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</si>
  <si>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</si>
  <si>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</si>
  <si>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</si>
  <si>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</si>
  <si>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</si>
  <si>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</si>
  <si>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</si>
  <si>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</si>
  <si>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</si>
  <si>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</si>
  <si>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</si>
  <si>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</si>
  <si>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</si>
  <si>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</si>
  <si>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</si>
  <si>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</si>
  <si>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</si>
  <si>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</si>
  <si>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</si>
  <si>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</si>
  <si>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</si>
  <si>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</si>
  <si>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</si>
  <si>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</si>
  <si>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</si>
  <si>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</si>
  <si>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</si>
  <si>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</si>
  <si>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</si>
  <si>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</si>
  <si>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</si>
  <si>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</si>
  <si>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</si>
  <si>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</si>
  <si>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</si>
  <si>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</si>
  <si>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</si>
  <si>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</si>
  <si>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</si>
  <si>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</si>
  <si>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</si>
  <si>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</si>
  <si>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</si>
  <si>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</si>
  <si>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</si>
  <si>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</si>
  <si>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</si>
  <si>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</si>
  <si>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</si>
  <si>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</si>
  <si>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</si>
  <si>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</si>
  <si>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</si>
  <si>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</si>
  <si>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</si>
  <si>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</si>
  <si>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</si>
  <si>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</si>
  <si>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</si>
  <si>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</si>
  <si>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</si>
  <si>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</si>
  <si>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</si>
  <si>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</si>
  <si>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</si>
  <si>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</si>
  <si>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</si>
  <si>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</si>
  <si>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</si>
  <si>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</si>
  <si>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</si>
  <si>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</si>
  <si>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</si>
  <si>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</si>
  <si>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</si>
  <si>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</si>
  <si>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</si>
  <si>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</si>
  <si>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</si>
  <si>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</si>
  <si>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</si>
  <si>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</si>
  <si>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</si>
  <si>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</si>
  <si>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</si>
  <si>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</si>
  <si>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</si>
  <si>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</si>
  <si>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</si>
  <si>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</si>
  <si>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</si>
  <si>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</si>
  <si>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</si>
  <si>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</si>
  <si>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</si>
  <si>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</si>
  <si>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</si>
  <si>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</si>
  <si>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</si>
  <si>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</si>
  <si>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</si>
  <si>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</si>
  <si>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</si>
  <si>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</si>
  <si>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</si>
  <si>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</si>
  <si>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</si>
  <si>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</si>
  <si>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</si>
  <si>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</si>
  <si>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</si>
  <si>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</si>
  <si>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</si>
  <si>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</si>
  <si>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</si>
  <si>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</si>
  <si>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</si>
  <si>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</si>
  <si>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</si>
  <si>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</si>
  <si>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</si>
  <si>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</si>
  <si>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</si>
  <si>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</si>
  <si>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</si>
  <si>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</si>
  <si>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</si>
  <si>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</si>
  <si>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</si>
  <si>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</si>
  <si>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</si>
  <si>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</si>
  <si>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</si>
  <si>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</si>
  <si>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</si>
  <si>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</si>
  <si>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</si>
  <si>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</si>
  <si>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</si>
  <si>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</si>
  <si>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</si>
  <si>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</si>
  <si>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</si>
  <si>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</si>
  <si>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</si>
  <si>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</si>
  <si>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</si>
  <si>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</si>
  <si>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</si>
  <si>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</si>
  <si>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</si>
  <si>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</si>
  <si>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</si>
  <si>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</si>
  <si>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</si>
  <si>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</si>
  <si>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</si>
  <si>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</si>
  <si>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</si>
  <si>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</si>
  <si>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</si>
  <si>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</si>
  <si>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</si>
  <si>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</si>
  <si>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</si>
  <si>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</si>
  <si>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</si>
  <si>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</si>
  <si>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</si>
  <si>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</si>
  <si>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</si>
  <si>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</si>
  <si>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</si>
  <si>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</si>
  <si>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</si>
  <si>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</si>
  <si>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</si>
  <si>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</si>
  <si>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</si>
  <si>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</si>
  <si>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</si>
  <si>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</si>
  <si>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</si>
  <si>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</si>
  <si>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</si>
  <si>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</si>
  <si>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</si>
  <si>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</si>
  <si>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</si>
  <si>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</si>
  <si>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</si>
  <si>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</si>
  <si>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</si>
  <si>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</si>
  <si>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</si>
  <si>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</si>
  <si>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</si>
  <si>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</si>
  <si>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</si>
  <si>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</si>
  <si>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</si>
  <si>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</si>
  <si>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</si>
  <si>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</si>
  <si>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</si>
  <si>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</si>
  <si>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</si>
  <si>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</si>
  <si>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</si>
  <si>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</si>
  <si>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</si>
  <si>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</si>
  <si>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</si>
  <si>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</si>
  <si>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</si>
  <si>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</si>
  <si>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</si>
  <si>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</si>
  <si>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</si>
  <si>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</si>
  <si>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</si>
  <si>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</si>
  <si>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</si>
  <si>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</si>
  <si>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</si>
  <si>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</si>
  <si>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</si>
  <si>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</si>
  <si>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</si>
  <si>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</si>
  <si>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</si>
  <si>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</si>
  <si>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</si>
  <si>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</si>
  <si>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</si>
  <si>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</si>
  <si>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</si>
  <si>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</si>
  <si>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</si>
  <si>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</si>
  <si>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</si>
  <si>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</si>
  <si>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</si>
  <si>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</si>
  <si>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</si>
  <si>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</si>
  <si>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</si>
  <si>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</si>
  <si>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</si>
  <si>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</si>
  <si>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</si>
  <si>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</si>
  <si>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</si>
  <si>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</si>
  <si>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</si>
  <si>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</si>
  <si>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</si>
  <si>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</si>
  <si>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</si>
  <si>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</si>
  <si>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</si>
  <si>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</si>
  <si>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</si>
  <si>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</si>
  <si>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</si>
  <si>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</si>
  <si>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</si>
  <si>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</si>
  <si>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</si>
  <si>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</si>
  <si>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</si>
  <si>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</si>
  <si>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</si>
  <si>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</si>
  <si>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</si>
  <si>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</si>
  <si>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</si>
  <si>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</si>
  <si>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</si>
  <si>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</si>
  <si>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</si>
  <si>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</si>
  <si>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</si>
  <si>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</si>
  <si>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</si>
  <si>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</si>
  <si>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</si>
  <si>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</si>
  <si>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</si>
  <si>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</si>
  <si>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</si>
  <si>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</si>
  <si>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</si>
  <si>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</si>
  <si>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</si>
  <si>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</si>
  <si>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</si>
  <si>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</si>
  <si>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</si>
  <si>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</si>
  <si>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</si>
  <si>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</si>
  <si>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</si>
  <si>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</si>
  <si>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</si>
  <si>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</si>
  <si>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</si>
  <si>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</si>
  <si>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</si>
  <si>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</si>
  <si>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</si>
  <si>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</si>
  <si>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</si>
  <si>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</si>
  <si>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</si>
  <si>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</si>
  <si>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</si>
  <si>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</si>
  <si>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</si>
  <si>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</si>
  <si>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</si>
  <si>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</si>
  <si>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</si>
  <si>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</si>
  <si>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</si>
  <si>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</si>
  <si>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</si>
  <si>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</si>
  <si>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</si>
  <si>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</si>
  <si>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</si>
  <si>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</si>
  <si>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</si>
  <si>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</si>
  <si>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</si>
  <si>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</si>
  <si>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</si>
  <si>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</si>
  <si>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</si>
  <si>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</si>
  <si>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</si>
  <si>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</si>
  <si>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</si>
  <si>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</si>
  <si>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</si>
  <si>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</si>
  <si>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</si>
  <si>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</si>
  <si>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</si>
  <si>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</si>
  <si>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</si>
  <si>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</si>
  <si>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</si>
  <si>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</si>
  <si>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</si>
  <si>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</si>
  <si>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</si>
  <si>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</si>
  <si>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</si>
  <si>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</si>
  <si>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</si>
  <si>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</si>
  <si>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</si>
  <si>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</si>
  <si>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</si>
  <si>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</si>
  <si>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</si>
  <si>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</si>
  <si>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</si>
  <si>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</si>
  <si>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</si>
  <si>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</si>
  <si>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</si>
  <si>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</si>
  <si>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</si>
  <si>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</si>
  <si>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</si>
  <si>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</si>
  <si>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</si>
  <si>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</si>
  <si>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</si>
  <si>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</si>
  <si>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</si>
  <si>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</si>
  <si>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</si>
  <si>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</si>
  <si>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</si>
  <si>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</si>
  <si>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</si>
  <si>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</si>
  <si>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</si>
  <si>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</si>
  <si>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</si>
  <si>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</si>
  <si>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</si>
  <si>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</si>
  <si>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</si>
  <si>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</si>
  <si>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</si>
  <si>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</si>
  <si>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</si>
  <si>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</si>
  <si>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</si>
  <si>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</si>
  <si>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</si>
  <si>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</si>
  <si>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</si>
  <si>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</si>
  <si>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</si>
  <si>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</si>
  <si>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</si>
  <si>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</si>
  <si>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</si>
  <si>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</si>
  <si>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</si>
  <si>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</si>
  <si>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</si>
  <si>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</si>
  <si>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</si>
  <si>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</si>
  <si>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</si>
  <si>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</si>
  <si>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</si>
  <si>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</si>
  <si>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</si>
  <si>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</si>
  <si>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</si>
  <si>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</si>
  <si>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</si>
  <si>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</si>
  <si>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</si>
  <si>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</si>
  <si>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</si>
  <si>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</si>
  <si>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</si>
  <si>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</si>
  <si>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</si>
  <si>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</si>
  <si>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</si>
  <si>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</si>
  <si>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</si>
  <si>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</si>
  <si>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</si>
  <si>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</si>
  <si>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</si>
  <si>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</si>
  <si>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</si>
  <si>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</si>
  <si>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</si>
  <si>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</si>
  <si>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</si>
  <si>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</si>
  <si>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</si>
  <si>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</si>
  <si>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</si>
  <si>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</si>
  <si>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</si>
  <si>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</si>
  <si>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</si>
  <si>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</si>
  <si>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</si>
  <si>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</si>
  <si>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</si>
  <si>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</si>
  <si>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</si>
  <si>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</si>
  <si>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</si>
  <si>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</si>
  <si>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</si>
  <si>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</si>
  <si>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</si>
  <si>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</si>
  <si>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</si>
  <si>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</si>
  <si>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</si>
  <si>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</si>
  <si>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</si>
  <si>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</si>
  <si>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</si>
  <si>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</si>
  <si>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</si>
  <si>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</si>
  <si>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</si>
  <si>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</si>
  <si>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</si>
  <si>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</si>
  <si>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</si>
  <si>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</si>
  <si>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</si>
  <si>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</si>
  <si>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</si>
  <si>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</si>
  <si>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</si>
  <si>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</si>
  <si>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</si>
  <si>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</si>
  <si>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</si>
  <si>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</si>
  <si>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</si>
  <si>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</si>
  <si>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</si>
  <si>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</si>
  <si>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</si>
  <si>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</si>
  <si>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</si>
  <si>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</si>
  <si>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</si>
  <si>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</si>
  <si>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</si>
  <si>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</si>
  <si>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</si>
  <si>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</si>
  <si>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</si>
  <si>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</si>
  <si>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</si>
  <si>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</si>
  <si>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</si>
  <si>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</si>
  <si>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</si>
  <si>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</si>
  <si>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</si>
  <si>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</si>
  <si>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</si>
  <si>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</si>
  <si>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</si>
  <si>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</si>
  <si>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</si>
  <si>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</si>
  <si>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</si>
  <si>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</si>
  <si>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</si>
  <si>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</si>
  <si>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</si>
  <si>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</si>
  <si>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</si>
  <si>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</si>
  <si>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</si>
  <si>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</si>
  <si>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</si>
  <si>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</si>
  <si>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</si>
  <si>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</si>
  <si>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</si>
  <si>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</si>
  <si>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</si>
  <si>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</si>
  <si>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</si>
  <si>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</si>
  <si>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</si>
  <si>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</si>
  <si>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</si>
  <si>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</si>
  <si>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</si>
  <si>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</si>
  <si>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</si>
  <si>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</si>
  <si>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</si>
  <si>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</si>
  <si>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</si>
  <si>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</si>
  <si>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</si>
  <si>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</si>
  <si>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</si>
  <si>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</si>
  <si>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</si>
  <si>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</si>
  <si>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</si>
  <si>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</si>
  <si>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</si>
  <si>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</si>
  <si>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</si>
  <si>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</si>
  <si>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</si>
  <si>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</si>
  <si>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</si>
  <si>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</si>
  <si>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</si>
  <si>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</si>
  <si>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</si>
  <si>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</si>
  <si>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</si>
  <si>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</si>
  <si>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</si>
  <si>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</si>
  <si>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</si>
  <si>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</si>
  <si>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</si>
  <si>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</si>
  <si>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</si>
  <si>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</si>
  <si>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</si>
  <si>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</si>
  <si>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</si>
  <si>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</si>
  <si>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</si>
  <si>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</si>
  <si>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</si>
  <si>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</si>
  <si>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</si>
  <si>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</si>
  <si>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</si>
  <si>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</si>
  <si>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</si>
  <si>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</si>
  <si>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</si>
  <si>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</si>
  <si>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</si>
  <si>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</si>
  <si>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</si>
  <si>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</si>
  <si>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</si>
  <si>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</si>
  <si>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</si>
  <si>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</si>
  <si>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</si>
  <si>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</si>
  <si>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</si>
  <si>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</si>
  <si>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</si>
  <si>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</si>
  <si>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</si>
  <si>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</si>
  <si>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</si>
  <si>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</si>
  <si>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</si>
  <si>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</si>
  <si>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</si>
  <si>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</si>
  <si>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</si>
  <si>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</si>
  <si>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</si>
  <si>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</si>
  <si>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</si>
  <si>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</si>
  <si>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</si>
  <si>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</si>
  <si>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</si>
  <si>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</si>
  <si>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</si>
  <si>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</si>
  <si>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</si>
  <si>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</si>
  <si>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</si>
  <si>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</si>
  <si>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</si>
  <si>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</si>
  <si>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</si>
  <si>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</si>
  <si>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</si>
  <si>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</si>
  <si>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</si>
  <si>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</si>
  <si>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</si>
  <si>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</si>
  <si>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</si>
  <si>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</si>
  <si>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</si>
  <si>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</si>
  <si>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</si>
  <si>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</si>
  <si>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</si>
  <si>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</si>
  <si>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</si>
  <si>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</si>
  <si>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</si>
  <si>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</si>
  <si>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</si>
  <si>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</si>
  <si>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</si>
  <si>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</si>
  <si>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</si>
  <si>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</si>
  <si>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</si>
  <si>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</si>
  <si>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</si>
  <si>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</si>
  <si>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</si>
  <si>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</si>
  <si>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</si>
  <si>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</si>
  <si>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</si>
  <si>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</si>
  <si>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</si>
  <si>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</si>
  <si>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</si>
  <si>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</si>
  <si>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</si>
  <si>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</si>
  <si>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</si>
  <si>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</si>
  <si>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</si>
  <si>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</si>
  <si>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</si>
  <si>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</si>
  <si>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</si>
  <si>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</si>
  <si>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</si>
  <si>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</si>
  <si>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</si>
  <si>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</si>
  <si>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</si>
  <si>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</si>
  <si>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</si>
  <si>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</si>
  <si>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</si>
  <si>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</si>
  <si>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</si>
  <si>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</si>
  <si>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</si>
  <si>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</si>
  <si>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</si>
  <si>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</si>
  <si>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</si>
  <si>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</si>
  <si>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</si>
  <si>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</si>
  <si>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</si>
  <si>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</si>
  <si>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</si>
  <si>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</si>
  <si>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</si>
  <si>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</si>
  <si>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</si>
  <si>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</si>
  <si>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</si>
  <si>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</si>
  <si>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</si>
  <si>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</si>
  <si>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</si>
  <si>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</si>
  <si>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</si>
  <si>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</si>
  <si>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</si>
  <si>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</si>
  <si>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</si>
  <si>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</si>
  <si>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</si>
  <si>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</si>
  <si>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</si>
  <si>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</si>
  <si>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</si>
  <si>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</si>
  <si>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</si>
  <si>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</si>
  <si>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</si>
  <si>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</si>
  <si>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</si>
  <si>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</si>
  <si>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</si>
  <si>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</si>
  <si>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</si>
  <si>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</si>
  <si>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</si>
  <si>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</si>
  <si>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</si>
  <si>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</si>
  <si>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</si>
  <si>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</si>
  <si>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</si>
  <si>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</si>
  <si>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</si>
  <si>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</si>
  <si>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</si>
  <si>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</si>
  <si>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</si>
  <si>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</si>
  <si>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</si>
  <si>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</si>
  <si>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</si>
  <si>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</si>
  <si>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</si>
  <si>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</si>
  <si>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</si>
  <si>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</si>
  <si>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</si>
  <si>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</si>
  <si>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</si>
  <si>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</si>
  <si>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</si>
  <si>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</si>
  <si>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</si>
  <si>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</si>
  <si>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</si>
  <si>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</si>
  <si>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</si>
  <si>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</si>
  <si>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</si>
  <si>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</si>
  <si>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</si>
  <si>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</si>
  <si>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</si>
  <si>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</si>
  <si>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</si>
  <si>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</si>
  <si>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</si>
  <si>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</si>
  <si>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</si>
  <si>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</si>
  <si>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</si>
  <si>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</si>
  <si>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</si>
  <si>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</si>
  <si>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</si>
  <si>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</si>
  <si>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</si>
  <si>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</si>
  <si>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</si>
  <si>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</si>
  <si>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</si>
  <si>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</si>
  <si>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</si>
  <si>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</si>
  <si>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</si>
  <si>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</si>
  <si>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</si>
  <si>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</si>
  <si>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</si>
  <si>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</si>
  <si>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</si>
  <si>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</si>
  <si>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</si>
  <si>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</si>
  <si>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</si>
  <si>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</si>
  <si>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</si>
  <si>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</si>
  <si>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</si>
  <si>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</si>
  <si>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</si>
  <si>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</si>
  <si>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</si>
  <si>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</si>
  <si>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</si>
  <si>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</si>
  <si>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</si>
  <si>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</si>
  <si>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</si>
  <si>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</si>
  <si>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</si>
  <si>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</si>
  <si>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</si>
  <si>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</si>
  <si>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</si>
  <si>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</si>
  <si>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</si>
  <si>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</si>
  <si>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</si>
  <si>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</si>
  <si>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</si>
  <si>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</si>
  <si>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</si>
  <si>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</si>
  <si>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</si>
  <si>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</si>
  <si>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</si>
  <si>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</si>
  <si>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</si>
  <si>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</si>
  <si>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</si>
  <si>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</si>
  <si>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</si>
  <si>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</si>
  <si>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</si>
  <si>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</si>
  <si>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</si>
  <si>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</si>
  <si>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</si>
  <si>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</si>
  <si>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</si>
  <si>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</si>
  <si>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</si>
  <si>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</si>
  <si>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</si>
  <si>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</si>
  <si>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</si>
  <si>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</si>
  <si>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</si>
  <si>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</si>
  <si>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</si>
  <si>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</si>
  <si>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</si>
  <si>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</si>
  <si>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</si>
  <si>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</si>
  <si>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</si>
  <si>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</si>
  <si>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</si>
  <si>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</si>
  <si>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</si>
  <si>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</si>
  <si>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</si>
  <si>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</si>
  <si>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</si>
  <si>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</si>
  <si>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</si>
  <si>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</si>
  <si>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</si>
  <si>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</si>
  <si>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</si>
  <si>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</si>
  <si>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</si>
  <si>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</si>
  <si>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</si>
  <si>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</si>
  <si>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</si>
  <si>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</si>
  <si>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</si>
  <si>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</si>
  <si>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</si>
  <si>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</si>
  <si>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</si>
  <si>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</si>
  <si>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</si>
  <si>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</si>
  <si>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</si>
  <si>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</si>
  <si>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</si>
  <si>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</si>
  <si>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</si>
  <si>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</si>
  <si>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</si>
  <si>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</si>
  <si>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</si>
  <si>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</si>
  <si>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</si>
  <si>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</si>
  <si>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</si>
  <si>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</si>
  <si>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</si>
  <si>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</si>
  <si>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</si>
  <si>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</si>
  <si>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</si>
  <si>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</si>
  <si>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</si>
  <si>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</si>
  <si>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</si>
  <si>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</si>
  <si>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</si>
  <si>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</si>
  <si>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</si>
  <si>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</si>
  <si>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</si>
  <si>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</si>
  <si>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</si>
  <si>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</si>
  <si>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</si>
  <si>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</si>
  <si>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</si>
  <si>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</si>
  <si>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</si>
  <si>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</si>
  <si>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</si>
  <si>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</si>
  <si>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</si>
  <si>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</si>
  <si>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</si>
  <si>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</si>
  <si>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</si>
  <si>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</si>
  <si>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</si>
  <si>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</si>
  <si>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</si>
  <si>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</si>
  <si>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</si>
  <si>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</si>
  <si>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</si>
  <si>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</si>
  <si>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</si>
  <si>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</si>
  <si>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</si>
  <si>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</si>
  <si>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</si>
  <si>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</si>
  <si>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</si>
  <si>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</si>
  <si>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</si>
  <si>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</si>
  <si>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</si>
  <si>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</si>
  <si>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</si>
  <si>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</si>
  <si>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</si>
  <si>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</si>
  <si>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</si>
  <si>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</si>
  <si>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</si>
  <si>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</si>
  <si>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</si>
  <si>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</si>
  <si>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</si>
  <si>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</si>
  <si>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</si>
  <si>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</si>
  <si>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</si>
  <si>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</si>
  <si>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</si>
  <si>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</si>
  <si>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</si>
  <si>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</si>
  <si>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</si>
  <si>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</si>
  <si>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</si>
  <si>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</si>
  <si>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</si>
  <si>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</si>
  <si>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</si>
  <si>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</si>
  <si>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</si>
  <si>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</si>
  <si>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</si>
  <si>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</si>
  <si>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</si>
  <si>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</si>
  <si>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</si>
  <si>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</si>
  <si>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</si>
  <si>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</si>
  <si>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</si>
  <si>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</si>
  <si>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</si>
  <si>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</si>
  <si>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</si>
  <si>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</si>
  <si>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</si>
  <si>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</si>
  <si>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</si>
  <si>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</si>
  <si>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</si>
  <si>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</si>
  <si>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</si>
  <si>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</si>
  <si>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</si>
  <si>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</si>
  <si>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</si>
  <si>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</si>
  <si>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</si>
  <si>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</si>
  <si>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</si>
  <si>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</si>
  <si>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</si>
  <si>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</si>
  <si>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</si>
  <si>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</si>
  <si>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</si>
  <si>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</si>
  <si>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</si>
  <si>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</si>
  <si>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</si>
  <si>
    <t>SWCR003-05</t>
  </si>
  <si>
    <t>Refrig Fan Motor</t>
  </si>
  <si>
    <t>NE-Ref_Storage-ReachIn-MT-PSC-Std</t>
  </si>
  <si>
    <t>NE-Ref_Storage-ReachIn-MT-ECM-Msr</t>
  </si>
  <si>
    <t>NE-Ref_Storage-ReachIn-LT-PSC-Std</t>
  </si>
  <si>
    <t>NE-Ref_Storage-ReachIn-MT-SHP-Std</t>
  </si>
  <si>
    <t>NE-Ref_Storage-ReachIn-LT-ECM-Msr</t>
  </si>
  <si>
    <t>NE-Ref_Storage-ReachIn-LT-SHP-Std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</si>
</sst>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3">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3">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450556" y="1321596"/>
          <a:ext cx="7800975" cy="5595936"/>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54,'-2'2,"1"1,1-1,-1 3,-1-1,1-2,-1 2,-1-2,2-1,-2 3,-7 14,-29 55,29-56,2-3,1 5,1-3,-1 1,2 0,0 2,0 10,4-24,1 3,0 2,1-2,1-3,-1 4,0-1,1-2,1 1,0-1,0 0,1 3,-1-1,1-4,1 3,4 5,-5-8,1 2,-1-4,2 4,-1-2,0 1,1-1,-1-1,2 2,-1-2,-1-1,2 0,-1 2,1-2,-1 0,2 0,-1-1,0-1,4 2,43-1,-2-1,22-3,-69 3,-1-1,1 1,-2-1,2 1,-1-1,0 0,0-1,0-1,1 2,-2-1,1 0,-1 1,0-1,3 1,-5-4,3 3,0-1,-1-1,1-2,-1 0,0 3,1-2,-3 0,2-1,-2 1,3-1,-3 2,-1 0,1-5,-1 3,0-4,2 0,-1-2,1 0,1 0,0-2,0 4,2-3,0 2,0-1,4-5,-1 6,0-5,-1 3,0-6,0-7,-4 22,-1-3,-1 3,-1-2,1 0,-1-2,0 3,0-1,-1 1,1-2,-1 2,-1-2,-1 2,0-4,0 3,2-2,-3 4,0 2,1-2,0 0,-2 0,1-2,-1 4,1-1,-1 0,1 1,-1 0,0 0,-4-3,-3-1,1 0,-1 3,2 0,-3 0,1 1,-6 1,-24-6,31 4,1 1,-3 0,3 1,-1 0,-9 1,16 0,2 1,-3 0,2-1,-1 0,1 1,-2 1,4-1,-3-1,0 3,3-2,-3 0,2 3,-2-3,2 0,-1 1,1 0,0 0,-1 0,0 1,0 3,-2 3,-23 23,19-27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93,'-3'0,"0"2,0 1,2-2,-3 1,2-1,0 3,-1-2,0-1,2 1,-1 0,0-1,0 2,0-1,0 2,-1 2,-5 2,3 0,0 4,-1-2,2-3,-1 3,3 2,-3-5,3 4,0 2,1-5,-1 4,2-2,0 0,0 1,1 1,1-4,-1 3,2 3,0-10,0 2,0 2,0-3,1 3,-1-4,1 0,0 2,1-2,-1 2,1-2,1 0,0-1,1-1,-3 4,2-3,4 3,5 0,-1 2,3-2,-1-1,-1-1,0 0,10 2,6-1,0-4,2-1,-2 0,7 0,18 0,-44-1,-1-1,-1-1,1 1,0-2,1 0,-2 0,0 0,0 0,0-1,-1-2,7-1,42-23,-49 27,-2 2,0 1,-1-3,1 2,-1 0,1-1,-2-3,2 2,-3 0,3-2,-1 2,-2-1,1 1,-1-1,1-1,1-3,0 3,-5-2,4 2,-4-2,3 1,-2 1,0-1,0 0,-1 0,0 1,0-4,-1 2,-1-1,0 4,0-2,-1-1,1 1,-2 0,2 1,-3-1,1-2,1 2,-3 1,1 0,-3-5,-10-16,15 21,0 1,0 1,-1-1,0 2,0-1,0-1,-1 3,1-3,-1 1,0 2,0-2,0 1,-1 1,1-3,-1 0,0 3,0 0,-2-1,-24-2,1-1,-2 2,0 0,1 3,-1 0,-29 3,-4-2,56 0,2 1,0 0,-2 1,2-2,1 2,-3 0,2 2,0-3,1 0,0 2,-1 1,-1-1,-2 6,1-3,0 0,0 0,1 1,1 0,-1 1,-2 4,2-2</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5" x14ac:dyDescent="0.25"/>
  <sheetData>
    <row r="1" spans="1:2" x14ac:dyDescent="0.25">
      <c r="A1" s="2" t="s">
        <v>0</v>
      </c>
    </row>
    <row r="3" spans="1:2" x14ac:dyDescent="0.25">
      <c r="A3" t="s">
        <v>1</v>
      </c>
    </row>
    <row r="4" spans="1:2" x14ac:dyDescent="0.25">
      <c r="A4" t="s">
        <v>2</v>
      </c>
    </row>
    <row r="6" spans="1:2" x14ac:dyDescent="0.25">
      <c r="A6" t="s">
        <v>3</v>
      </c>
    </row>
    <row r="7" spans="1:2" x14ac:dyDescent="0.25">
      <c r="A7" t="s">
        <v>4</v>
      </c>
      <c r="B7" t="s">
        <v>5</v>
      </c>
    </row>
    <row r="8" spans="1:2" x14ac:dyDescent="0.25">
      <c r="B8" t="s">
        <v>6</v>
      </c>
    </row>
    <row r="9" spans="1:2" x14ac:dyDescent="0.25">
      <c r="B9" t="s">
        <v>7</v>
      </c>
    </row>
    <row r="10" spans="1:2" x14ac:dyDescent="0.25">
      <c r="B10" t="s">
        <v>8</v>
      </c>
    </row>
    <row r="12" spans="1:2" x14ac:dyDescent="0.25">
      <c r="A12" t="s">
        <v>9</v>
      </c>
    </row>
    <row r="29" spans="1:1" x14ac:dyDescent="0.25">
      <c r="A29" s="2" t="s">
        <v>10</v>
      </c>
    </row>
    <row r="31" spans="1:1" x14ac:dyDescent="0.25">
      <c r="A31" t="s">
        <v>11</v>
      </c>
    </row>
    <row r="32" spans="1:1" x14ac:dyDescent="0.25">
      <c r="A32" t="s">
        <v>12</v>
      </c>
    </row>
    <row r="33" spans="1:1" x14ac:dyDescent="0.25">
      <c r="A33" t="s">
        <v>13</v>
      </c>
    </row>
    <row r="34" spans="1:1" x14ac:dyDescent="0.25">
      <c r="A34" t="s">
        <v>14</v>
      </c>
    </row>
    <row r="38" spans="1:1" x14ac:dyDescent="0.25">
      <c r="A38" s="27" t="s">
        <v>15</v>
      </c>
    </row>
    <row r="39" spans="1:1" x14ac:dyDescent="0.25">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2:AG847"/>
  <sheetViews>
    <sheetView tabSelected="1" topLeftCell="P1" workbookViewId="0">
      <pane ySplit="5" topLeftCell="A833" activePane="bottomLeft" state="frozen"/>
      <selection pane="bottomLeft" activeCell="Y852" sqref="Y852"/>
    </sheetView>
  </sheetViews>
  <sheetFormatPr defaultRowHeight="15" outlineLevelCol="1" x14ac:dyDescent="0.25"/>
  <cols>
    <col min="1" max="3" width="24.28515625" customWidth="1"/>
    <col min="4" max="4" width="38.85546875" customWidth="1"/>
    <col min="5" max="5" width="41.5703125" customWidth="1"/>
    <col min="6" max="6" width="41.28515625" customWidth="1"/>
    <col min="7" max="7" width="34.42578125" customWidth="1"/>
    <col min="8" max="8" width="37.42578125" customWidth="1"/>
    <col min="9" max="9" width="34" bestFit="1" customWidth="1"/>
    <col min="10" max="10" width="39.28515625" bestFit="1" customWidth="1"/>
    <col min="11" max="11" width="41.28515625" customWidth="1" outlineLevel="1"/>
    <col min="12" max="12" width="29.28515625" customWidth="1" outlineLevel="1"/>
    <col min="13" max="13" width="37.28515625" customWidth="1" outlineLevel="1"/>
    <col min="14" max="14" width="71.140625" customWidth="1"/>
    <col min="15" max="15" width="11.140625" bestFit="1" customWidth="1"/>
    <col min="16" max="16" width="11.5703125" bestFit="1" customWidth="1"/>
    <col min="17" max="17" width="11.7109375" bestFit="1" customWidth="1"/>
    <col min="18" max="18" width="10.5703125" bestFit="1" customWidth="1"/>
    <col min="19" max="19" width="19.7109375" customWidth="1"/>
    <col min="20" max="20" width="31.7109375" customWidth="1"/>
    <col min="21" max="21" width="28.7109375" bestFit="1" customWidth="1"/>
    <col min="22" max="22" width="16" bestFit="1" customWidth="1"/>
    <col min="23" max="23" width="14.5703125" bestFit="1" customWidth="1"/>
    <col min="24" max="24" width="17.7109375" bestFit="1" customWidth="1"/>
    <col min="25" max="25" width="16.5703125" bestFit="1" customWidth="1"/>
    <col min="26" max="26" width="22.140625" customWidth="1"/>
    <col min="27" max="27" width="11" customWidth="1"/>
    <col min="28" max="28" width="46.7109375" bestFit="1" customWidth="1"/>
    <col min="29" max="29" width="11.7109375" customWidth="1"/>
    <col min="30" max="30" width="20.85546875" customWidth="1"/>
    <col min="33" max="33" width="8.85546875" customWidth="1"/>
  </cols>
  <sheetData>
    <row r="2" spans="1:33" x14ac:dyDescent="0.25">
      <c r="AF2" s="36"/>
    </row>
    <row r="3" spans="1:33" x14ac:dyDescent="0.25">
      <c r="A3" t="s">
        <v>17</v>
      </c>
    </row>
    <row r="4" spans="1:33" ht="15.75" thickBot="1" x14ac:dyDescent="0.3">
      <c r="H4" s="51" t="s">
        <v>18</v>
      </c>
      <c r="I4" s="51"/>
      <c r="J4" s="51"/>
      <c r="K4" s="51" t="s">
        <v>19</v>
      </c>
      <c r="L4" s="51"/>
      <c r="M4" s="51"/>
      <c r="N4" s="1" t="s">
        <v>20</v>
      </c>
    </row>
    <row r="5" spans="1:33" ht="30.75" thickBot="1" x14ac:dyDescent="0.3">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x14ac:dyDescent="0.25">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x14ac:dyDescent="0.25">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x14ac:dyDescent="0.25">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x14ac:dyDescent="0.25">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x14ac:dyDescent="0.25">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x14ac:dyDescent="0.25">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x14ac:dyDescent="0.25">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x14ac:dyDescent="0.25">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x14ac:dyDescent="0.25">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x14ac:dyDescent="0.25">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x14ac:dyDescent="0.25">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x14ac:dyDescent="0.25">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x14ac:dyDescent="0.25">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x14ac:dyDescent="0.25">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x14ac:dyDescent="0.25">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x14ac:dyDescent="0.25">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x14ac:dyDescent="0.25">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x14ac:dyDescent="0.25">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x14ac:dyDescent="0.25">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x14ac:dyDescent="0.25">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x14ac:dyDescent="0.25">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x14ac:dyDescent="0.25">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x14ac:dyDescent="0.25">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x14ac:dyDescent="0.25">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x14ac:dyDescent="0.25">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x14ac:dyDescent="0.25">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x14ac:dyDescent="0.25">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x14ac:dyDescent="0.25">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x14ac:dyDescent="0.25">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x14ac:dyDescent="0.25">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x14ac:dyDescent="0.25">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x14ac:dyDescent="0.25">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x14ac:dyDescent="0.25">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x14ac:dyDescent="0.25">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x14ac:dyDescent="0.25">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x14ac:dyDescent="0.25">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x14ac:dyDescent="0.25">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x14ac:dyDescent="0.25">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x14ac:dyDescent="0.25">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x14ac:dyDescent="0.25">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x14ac:dyDescent="0.25">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H46</f>
        <v>Pre-DuctOpt-HighToLow-Retrofit</v>
      </c>
      <c r="M46" s="3" t="str">
        <f>J46</f>
        <v>Msr-DuctOpt-HighToLow-Retrofit</v>
      </c>
      <c r="N46" s="3" t="str">
        <f>IF(S46="No", O46&amp;"&amp;"&amp;P46&amp;"&amp;"&amp;Q46&amp;"&amp;"&amp;R46&amp;"&amp;"&amp;T46,   O46&amp;"&amp;"&amp;P46&amp;"&amp;"&amp;Q46&amp;"&amp;"&amp;R46&amp;"&amp;"&amp;T46&amp;"&amp;"&amp;U46)</f>
        <v>DMo&amp;0&amp;rDXGF&amp;Ex&amp;HV_AirDist__DuctLeak</v>
      </c>
      <c r="O46" s="3" t="s">
        <v>62</v>
      </c>
      <c r="P46" s="3">
        <v>0</v>
      </c>
      <c r="Q46" s="3" t="s">
        <v>51</v>
      </c>
      <c r="R46" s="3" t="s">
        <v>52</v>
      </c>
      <c r="S46" s="3" t="str">
        <f>IF(T46=U46, "No", "Yes")</f>
        <v>No</v>
      </c>
      <c r="T46" s="3" t="str">
        <f>V46&amp;"__"&amp;W46</f>
        <v>HV_AirDist__DuctLeak</v>
      </c>
      <c r="U46" s="3" t="str">
        <f>X46&amp;"__"&amp;Y46</f>
        <v>HV_AirDist__DuctLeak</v>
      </c>
      <c r="V46" s="3" t="s">
        <v>53</v>
      </c>
      <c r="W46" s="3" t="s">
        <v>54</v>
      </c>
      <c r="X46" s="3" t="s">
        <v>53</v>
      </c>
      <c r="Y46" s="3" t="s">
        <v>54</v>
      </c>
      <c r="AA46" s="3" t="s">
        <v>55</v>
      </c>
      <c r="AB46" t="s">
        <v>56</v>
      </c>
    </row>
    <row r="47" spans="1:28" s="3" customFormat="1" x14ac:dyDescent="0.25">
      <c r="A47" s="3" t="s">
        <v>72</v>
      </c>
      <c r="B47" s="3" t="s">
        <v>10675</v>
      </c>
      <c r="C47" s="3" t="s">
        <v>10654</v>
      </c>
      <c r="D47" s="3" t="str">
        <f t="shared" si="0"/>
        <v>SWSV013-03 Duct Optimization_DMo</v>
      </c>
      <c r="F47" s="3" t="s">
        <v>73</v>
      </c>
      <c r="G47" s="3" t="str">
        <f t="shared" si="14"/>
        <v>Res-DuctOpt-HighToLow-Retrofit</v>
      </c>
      <c r="H47" s="3" t="s">
        <v>74</v>
      </c>
      <c r="J47" s="3" t="s">
        <v>75</v>
      </c>
      <c r="K47" s="3" t="str">
        <f t="shared" ref="K47:K51" si="15">H47</f>
        <v>Pre-DuctOpt-HighToLow-Retrofit</v>
      </c>
      <c r="M47" s="3" t="str">
        <f t="shared" ref="M47:M51" si="16">J47</f>
        <v>Msr-DuctOpt-HighToLow-Retrofit</v>
      </c>
      <c r="N47" s="3" t="str">
        <f t="shared" ref="N47:N51" si="17">IF(S47="No", O47&amp;"&amp;"&amp;P47&amp;"&amp;"&amp;Q47&amp;"&amp;"&amp;R47&amp;"&amp;"&amp;T47,   O47&amp;"&amp;"&amp;P47&amp;"&amp;"&amp;Q47&amp;"&amp;"&amp;R47&amp;"&amp;"&amp;T47&amp;"&amp;"&amp;U47)</f>
        <v>DMo&amp;0&amp;rDXHP&amp;Ex&amp;HV_AirDist__DuctLeak</v>
      </c>
      <c r="O47" s="3" t="s">
        <v>62</v>
      </c>
      <c r="P47" s="3">
        <v>0</v>
      </c>
      <c r="Q47" s="3" t="s">
        <v>57</v>
      </c>
      <c r="R47" s="3" t="s">
        <v>52</v>
      </c>
      <c r="S47" s="3" t="str">
        <f t="shared" ref="S47:S51" si="18">IF(T47=U47, "No", "Yes")</f>
        <v>No</v>
      </c>
      <c r="T47" s="3" t="str">
        <f t="shared" ref="T47:T51" si="19">V47&amp;"__"&amp;W47</f>
        <v>HV_AirDist__DuctLeak</v>
      </c>
      <c r="U47" s="3" t="str">
        <f t="shared" ref="U47:U51" si="20">X47&amp;"__"&amp;Y47</f>
        <v>HV_AirDist__DuctLeak</v>
      </c>
      <c r="V47" s="3" t="s">
        <v>53</v>
      </c>
      <c r="W47" s="3" t="s">
        <v>54</v>
      </c>
      <c r="X47" s="3" t="s">
        <v>53</v>
      </c>
      <c r="Y47" s="3" t="s">
        <v>54</v>
      </c>
      <c r="AA47" s="3" t="s">
        <v>55</v>
      </c>
      <c r="AB47" t="s">
        <v>56</v>
      </c>
    </row>
    <row r="48" spans="1:28" s="3" customFormat="1" x14ac:dyDescent="0.25">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x14ac:dyDescent="0.25">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x14ac:dyDescent="0.25">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x14ac:dyDescent="0.25">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x14ac:dyDescent="0.25">
      <c r="A52" t="s">
        <v>79</v>
      </c>
      <c r="B52" s="3" t="s">
        <v>10675</v>
      </c>
      <c r="C52" t="s">
        <v>10653</v>
      </c>
      <c r="D52" s="3" t="str">
        <f t="shared" si="0"/>
        <v>SWBE006-02  Ceiling Insulation_SFm</v>
      </c>
      <c r="E52" s="3"/>
      <c r="F52" t="s">
        <v>80</v>
      </c>
      <c r="G52" t="str">
        <f t="shared" si="14"/>
        <v>RB-BS-CeilIns-VintR-AddR11</v>
      </c>
      <c r="H52" t="s">
        <v>81</v>
      </c>
      <c r="J52" t="s">
        <v>82</v>
      </c>
      <c r="K52" t="str">
        <f>H52</f>
        <v>Pre-BS-CeilIns-VintR-RvaluebyCZ</v>
      </c>
      <c r="M52" t="str">
        <f>J52</f>
        <v>Msr-BS-CeilIns-VintR-AddR11</v>
      </c>
      <c r="N52" t="str">
        <f>IF(S52="No", O52&amp;"&amp;"&amp;P52&amp;"&amp;"&amp;Q52&amp;"&amp;"&amp;R52&amp;"&amp;"&amp;T52,   O52&amp;"&amp;"&amp;P52&amp;"&amp;"&amp;Q52&amp;"&amp;"&amp;R52&amp;"&amp;"&amp;T52&amp;"&amp;"&amp;U52)</f>
        <v>SFm&amp;1&amp;rDXGF&amp;Ex&amp;BldgShell__AttBatIns</v>
      </c>
      <c r="O52" t="s">
        <v>50</v>
      </c>
      <c r="P52">
        <v>1</v>
      </c>
      <c r="Q52" t="s">
        <v>51</v>
      </c>
      <c r="R52" t="s">
        <v>52</v>
      </c>
      <c r="S52" s="3" t="str">
        <f>IF(T52=U52, "No", "Yes")</f>
        <v>No</v>
      </c>
      <c r="T52" t="str">
        <f>V52&amp;"__"&amp;W52</f>
        <v>BldgShell__AttBatIns</v>
      </c>
      <c r="U52" t="str">
        <f>X52&amp;"__"&amp;Y52</f>
        <v>BldgShell__AttBatIns</v>
      </c>
      <c r="V52" t="s">
        <v>68</v>
      </c>
      <c r="W52" t="s">
        <v>83</v>
      </c>
      <c r="X52" t="s">
        <v>68</v>
      </c>
      <c r="Y52" t="s">
        <v>83</v>
      </c>
      <c r="AA52" t="s">
        <v>70</v>
      </c>
      <c r="AB52" t="s">
        <v>56</v>
      </c>
      <c r="AD52" t="s">
        <v>10617</v>
      </c>
    </row>
    <row r="53" spans="1:30" x14ac:dyDescent="0.25">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x14ac:dyDescent="0.25">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x14ac:dyDescent="0.25">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x14ac:dyDescent="0.25">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x14ac:dyDescent="0.25">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x14ac:dyDescent="0.25">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x14ac:dyDescent="0.25">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x14ac:dyDescent="0.25">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x14ac:dyDescent="0.25">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x14ac:dyDescent="0.25">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x14ac:dyDescent="0.25">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x14ac:dyDescent="0.25">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x14ac:dyDescent="0.25">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x14ac:dyDescent="0.25">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x14ac:dyDescent="0.25">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x14ac:dyDescent="0.25">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x14ac:dyDescent="0.25">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x14ac:dyDescent="0.25">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x14ac:dyDescent="0.25">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x14ac:dyDescent="0.25">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x14ac:dyDescent="0.25">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x14ac:dyDescent="0.25">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x14ac:dyDescent="0.25">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x14ac:dyDescent="0.25">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x14ac:dyDescent="0.25">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x14ac:dyDescent="0.25">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x14ac:dyDescent="0.25">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x14ac:dyDescent="0.25">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x14ac:dyDescent="0.25">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x14ac:dyDescent="0.25">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x14ac:dyDescent="0.25">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x14ac:dyDescent="0.25">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x14ac:dyDescent="0.25">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x14ac:dyDescent="0.25">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x14ac:dyDescent="0.25">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x14ac:dyDescent="0.25">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x14ac:dyDescent="0.25">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x14ac:dyDescent="0.25">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x14ac:dyDescent="0.25">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x14ac:dyDescent="0.25">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x14ac:dyDescent="0.25">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x14ac:dyDescent="0.25">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x14ac:dyDescent="0.25">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x14ac:dyDescent="0.25">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x14ac:dyDescent="0.25">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x14ac:dyDescent="0.25">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x14ac:dyDescent="0.25">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x14ac:dyDescent="0.25">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x14ac:dyDescent="0.25">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x14ac:dyDescent="0.25">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x14ac:dyDescent="0.25">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x14ac:dyDescent="0.25">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x14ac:dyDescent="0.25">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x14ac:dyDescent="0.25">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x14ac:dyDescent="0.25">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x14ac:dyDescent="0.25">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x14ac:dyDescent="0.25">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x14ac:dyDescent="0.25">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x14ac:dyDescent="0.25">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x14ac:dyDescent="0.25">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x14ac:dyDescent="0.25">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x14ac:dyDescent="0.25">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x14ac:dyDescent="0.25">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x14ac:dyDescent="0.25">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x14ac:dyDescent="0.25">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x14ac:dyDescent="0.25">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x14ac:dyDescent="0.25">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x14ac:dyDescent="0.25">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x14ac:dyDescent="0.25">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x14ac:dyDescent="0.25">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x14ac:dyDescent="0.25">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x14ac:dyDescent="0.25">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x14ac:dyDescent="0.25">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x14ac:dyDescent="0.25">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x14ac:dyDescent="0.25">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x14ac:dyDescent="0.25">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x14ac:dyDescent="0.25">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x14ac:dyDescent="0.25">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x14ac:dyDescent="0.25">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x14ac:dyDescent="0.25">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x14ac:dyDescent="0.25">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x14ac:dyDescent="0.25">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x14ac:dyDescent="0.25">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x14ac:dyDescent="0.25">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x14ac:dyDescent="0.25">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x14ac:dyDescent="0.25">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x14ac:dyDescent="0.25">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x14ac:dyDescent="0.25">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x14ac:dyDescent="0.25">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x14ac:dyDescent="0.25">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x14ac:dyDescent="0.25">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x14ac:dyDescent="0.25">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x14ac:dyDescent="0.25">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x14ac:dyDescent="0.25">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x14ac:dyDescent="0.25">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x14ac:dyDescent="0.25">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V148&amp;"__"&amp;W148</f>
        <v>HV_AirDist__SupFanMtr-BA</v>
      </c>
      <c r="U148" t="str">
        <f>X148&amp;"__"&amp;Y148</f>
        <v>HV_AirDist__SupFanMtr-BA</v>
      </c>
      <c r="V148" t="s">
        <v>53</v>
      </c>
      <c r="W148" t="s">
        <v>99</v>
      </c>
      <c r="X148" t="s">
        <v>53</v>
      </c>
      <c r="Y148" t="s">
        <v>99</v>
      </c>
      <c r="AA148" t="s">
        <v>55</v>
      </c>
      <c r="AB148" t="s">
        <v>10647</v>
      </c>
    </row>
    <row r="149" spans="1:28" x14ac:dyDescent="0.25">
      <c r="A149" t="s">
        <v>95</v>
      </c>
      <c r="B149" s="3" t="s">
        <v>10675</v>
      </c>
      <c r="C149" t="s">
        <v>10652</v>
      </c>
      <c r="D149" s="3" t="str">
        <f t="shared" si="33"/>
        <v>SWHC038-03 Brushless Fan Motor_SFm</v>
      </c>
      <c r="E149" s="3"/>
      <c r="F149" t="s">
        <v>96</v>
      </c>
      <c r="G149" t="str">
        <f t="shared" si="27"/>
        <v>RE-BrushlessFanMotor</v>
      </c>
      <c r="H149" t="s">
        <v>97</v>
      </c>
      <c r="J149" t="s">
        <v>98</v>
      </c>
      <c r="K149" t="str">
        <f t="shared" ref="K149:K151" si="34">H149</f>
        <v>RE-HV-PSCFanMotor</v>
      </c>
      <c r="M149" t="str">
        <f t="shared" ref="M149:M152" si="35">J149</f>
        <v>RE-HV-BrushlessFanMotor</v>
      </c>
      <c r="N149" t="str">
        <f t="shared" ref="N149:N151" si="36">IF(S149="No", O149&amp;"&amp;"&amp;P149&amp;"&amp;"&amp;Q149&amp;"&amp;"&amp;R149&amp;"&amp;"&amp;T149,   O149&amp;"&amp;"&amp;P149&amp;"&amp;"&amp;Q149&amp;"&amp;"&amp;R149&amp;"&amp;"&amp;T149&amp;"&amp;"&amp;U149)</f>
        <v>SFm&amp;2&amp;rDXGF&amp;Ex&amp;HV_AirDist__SupFanMtr-BA</v>
      </c>
      <c r="O149" t="s">
        <v>50</v>
      </c>
      <c r="P149">
        <v>2</v>
      </c>
      <c r="Q149" t="s">
        <v>51</v>
      </c>
      <c r="R149" t="s">
        <v>52</v>
      </c>
      <c r="S149" s="3" t="str">
        <f t="shared" ref="S149:S151" si="37">IF(T149=U149, "No", "Yes")</f>
        <v>No</v>
      </c>
      <c r="T149" t="str">
        <f t="shared" ref="T149:T151" si="38">V149&amp;"__"&amp;W149</f>
        <v>HV_AirDist__SupFanMtr-BA</v>
      </c>
      <c r="U149" t="str">
        <f t="shared" ref="U149:U151" si="39">X149&amp;"__"&amp;Y149</f>
        <v>HV_AirDist__SupFanMtr-BA</v>
      </c>
      <c r="V149" t="s">
        <v>53</v>
      </c>
      <c r="W149" t="s">
        <v>99</v>
      </c>
      <c r="X149" t="s">
        <v>53</v>
      </c>
      <c r="Y149" t="s">
        <v>99</v>
      </c>
      <c r="AA149" t="s">
        <v>55</v>
      </c>
      <c r="AB149" t="s">
        <v>10647</v>
      </c>
    </row>
    <row r="150" spans="1:28" x14ac:dyDescent="0.25">
      <c r="A150" t="s">
        <v>95</v>
      </c>
      <c r="B150" s="3" t="s">
        <v>10675</v>
      </c>
      <c r="C150" t="s">
        <v>10652</v>
      </c>
      <c r="D150" s="3" t="str">
        <f t="shared" si="33"/>
        <v>SWHC038-03 Brushless Fan Motor_DMo</v>
      </c>
      <c r="E150" s="3"/>
      <c r="F150" t="s">
        <v>96</v>
      </c>
      <c r="G150" t="str">
        <f t="shared" si="27"/>
        <v>RE-BrushlessFanMotor</v>
      </c>
      <c r="H150" t="s">
        <v>97</v>
      </c>
      <c r="J150" t="s">
        <v>98</v>
      </c>
      <c r="K150" t="str">
        <f t="shared" si="34"/>
        <v>RE-HV-PSCFanMotor</v>
      </c>
      <c r="M150" t="str">
        <f t="shared" si="35"/>
        <v>RE-HV-BrushlessFanMotor</v>
      </c>
      <c r="N150" t="str">
        <f t="shared" si="36"/>
        <v>DMo&amp;0&amp;rDXGF&amp;Ex&amp;HV_AirDist__SupFanMtr-BA</v>
      </c>
      <c r="O150" t="s">
        <v>62</v>
      </c>
      <c r="P150">
        <v>0</v>
      </c>
      <c r="Q150" t="s">
        <v>51</v>
      </c>
      <c r="R150" t="s">
        <v>52</v>
      </c>
      <c r="S150" s="3" t="str">
        <f t="shared" si="37"/>
        <v>No</v>
      </c>
      <c r="T150" t="str">
        <f t="shared" si="38"/>
        <v>HV_AirDist__SupFanMtr-BA</v>
      </c>
      <c r="U150" t="str">
        <f t="shared" si="39"/>
        <v>HV_AirDist__SupFanMtr-BA</v>
      </c>
      <c r="V150" t="s">
        <v>53</v>
      </c>
      <c r="W150" t="s">
        <v>99</v>
      </c>
      <c r="X150" t="s">
        <v>53</v>
      </c>
      <c r="Y150" t="s">
        <v>99</v>
      </c>
      <c r="AA150" t="s">
        <v>55</v>
      </c>
      <c r="AB150" t="s">
        <v>10647</v>
      </c>
    </row>
    <row r="151" spans="1:28" x14ac:dyDescent="0.25">
      <c r="A151" t="s">
        <v>95</v>
      </c>
      <c r="B151" s="3" t="s">
        <v>10675</v>
      </c>
      <c r="C151" t="s">
        <v>10652</v>
      </c>
      <c r="D151" s="3" t="str">
        <f t="shared" si="33"/>
        <v>SWHC038-03 Brushless Fan Motor_MFm</v>
      </c>
      <c r="E151" s="3"/>
      <c r="F151" t="s">
        <v>96</v>
      </c>
      <c r="G151" t="str">
        <f t="shared" si="27"/>
        <v>RE-BrushlessFanMotor</v>
      </c>
      <c r="H151" t="s">
        <v>97</v>
      </c>
      <c r="J151" t="s">
        <v>98</v>
      </c>
      <c r="K151" t="str">
        <f t="shared" si="34"/>
        <v>RE-HV-PSCFanMotor</v>
      </c>
      <c r="M151" t="str">
        <f t="shared" si="35"/>
        <v>RE-HV-BrushlessFanMotor</v>
      </c>
      <c r="N151" t="str">
        <f t="shared" si="36"/>
        <v>MFm&amp;0&amp;rDXGF&amp;Ex&amp;HV_AirDist__SupFanMtr-BA</v>
      </c>
      <c r="O151" t="s">
        <v>63</v>
      </c>
      <c r="P151">
        <v>0</v>
      </c>
      <c r="Q151" t="s">
        <v>51</v>
      </c>
      <c r="R151" t="s">
        <v>52</v>
      </c>
      <c r="S151" s="3" t="str">
        <f t="shared" si="37"/>
        <v>No</v>
      </c>
      <c r="T151" t="str">
        <f t="shared" si="38"/>
        <v>HV_AirDist__SupFanMtr-BA</v>
      </c>
      <c r="U151" t="str">
        <f t="shared" si="39"/>
        <v>HV_AirDist__SupFanMtr-BA</v>
      </c>
      <c r="V151" t="s">
        <v>53</v>
      </c>
      <c r="W151" t="s">
        <v>99</v>
      </c>
      <c r="X151" t="s">
        <v>53</v>
      </c>
      <c r="Y151" t="s">
        <v>99</v>
      </c>
      <c r="AA151" t="s">
        <v>55</v>
      </c>
      <c r="AB151" t="s">
        <v>10647</v>
      </c>
    </row>
    <row r="152" spans="1:28" s="3" customFormat="1" x14ac:dyDescent="0.25">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 t="shared" ref="L152" si="40">I152</f>
        <v>Std-RE-HV-DHP-15S</v>
      </c>
      <c r="M152" s="3" t="str">
        <f t="shared" si="35"/>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V152&amp;"__"&amp;W152</f>
        <v>dxHP_equip__spltHP-SEER-BA</v>
      </c>
      <c r="U152" s="3" t="str">
        <f>X152&amp;"__"&amp;Y152</f>
        <v>dxHP_equip__spltHP-SEER-BA</v>
      </c>
      <c r="V152" s="3" t="s">
        <v>105</v>
      </c>
      <c r="W152" s="3" t="s">
        <v>106</v>
      </c>
      <c r="X152" s="3" t="s">
        <v>105</v>
      </c>
      <c r="Y152" s="3" t="s">
        <v>106</v>
      </c>
      <c r="AA152" s="3" t="s">
        <v>55</v>
      </c>
      <c r="AB152" s="3" t="s">
        <v>56</v>
      </c>
    </row>
    <row r="153" spans="1:28" s="3" customFormat="1" x14ac:dyDescent="0.25">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41">H153</f>
        <v>Pre-RE-HV-DHP-13S</v>
      </c>
      <c r="L153" s="3" t="str">
        <f t="shared" ref="L153:L216" si="42">I153</f>
        <v>Std-RE-HV-DHP-15S</v>
      </c>
      <c r="M153" s="3" t="str">
        <f t="shared" ref="M153:M216" si="43">J153</f>
        <v>Msr-RE-HV-DHP-16S</v>
      </c>
      <c r="N153" s="3" t="str">
        <f t="shared" ref="N153:N216" si="44">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5">IF(T153=U153, "No", "Yes")</f>
        <v>No</v>
      </c>
      <c r="T153" s="3" t="str">
        <f t="shared" ref="T153:T156" si="46">V153&amp;"__"&amp;W153</f>
        <v>dxHP_equip__spltHP-SEER-BA</v>
      </c>
      <c r="U153" s="3" t="str">
        <f t="shared" ref="U153:U156" si="47">X153&amp;"__"&amp;Y153</f>
        <v>dxHP_equip__spltHP-SEER-BA</v>
      </c>
      <c r="V153" s="3" t="s">
        <v>105</v>
      </c>
      <c r="W153" s="3" t="s">
        <v>106</v>
      </c>
      <c r="X153" s="3" t="s">
        <v>105</v>
      </c>
      <c r="Y153" s="3" t="s">
        <v>106</v>
      </c>
      <c r="AA153" s="3" t="s">
        <v>55</v>
      </c>
      <c r="AB153" s="3" t="s">
        <v>56</v>
      </c>
    </row>
    <row r="154" spans="1:28" s="3" customFormat="1" x14ac:dyDescent="0.25">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41"/>
        <v>Pre-RE-HV-DHP-13S</v>
      </c>
      <c r="L154" s="3" t="str">
        <f t="shared" si="42"/>
        <v>Std-RE-HV-DHP-15S</v>
      </c>
      <c r="M154" s="3" t="str">
        <f t="shared" si="43"/>
        <v>Msr-RE-HV-DHP-16S</v>
      </c>
      <c r="N154" s="3" t="str">
        <f t="shared" si="44"/>
        <v>DMo&amp;0&amp;rDXHP&amp;Ex&amp;dxHP_equip__spltHP-SEER-BA</v>
      </c>
      <c r="O154" s="3" t="s">
        <v>62</v>
      </c>
      <c r="P154" s="3">
        <v>0</v>
      </c>
      <c r="Q154" s="3" t="s">
        <v>57</v>
      </c>
      <c r="R154" s="3" t="s">
        <v>52</v>
      </c>
      <c r="S154" s="3" t="str">
        <f t="shared" si="45"/>
        <v>No</v>
      </c>
      <c r="T154" s="3" t="str">
        <f t="shared" si="46"/>
        <v>dxHP_equip__spltHP-SEER-BA</v>
      </c>
      <c r="U154" s="3" t="str">
        <f t="shared" si="47"/>
        <v>dxHP_equip__spltHP-SEER-BA</v>
      </c>
      <c r="V154" s="3" t="s">
        <v>105</v>
      </c>
      <c r="W154" s="3" t="s">
        <v>106</v>
      </c>
      <c r="X154" s="3" t="s">
        <v>105</v>
      </c>
      <c r="Y154" s="3" t="s">
        <v>106</v>
      </c>
      <c r="AA154" s="3" t="s">
        <v>55</v>
      </c>
      <c r="AB154" s="3" t="s">
        <v>56</v>
      </c>
    </row>
    <row r="155" spans="1:28" s="3" customFormat="1" x14ac:dyDescent="0.25">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41"/>
        <v>Pre-RE-HV-DHP-13S</v>
      </c>
      <c r="L155" s="3" t="str">
        <f t="shared" si="42"/>
        <v>Std-RE-HV-DHP-15S</v>
      </c>
      <c r="M155" s="3" t="str">
        <f t="shared" si="43"/>
        <v>Msr-RE-HV-DHP-16S</v>
      </c>
      <c r="N155" s="3" t="str">
        <f t="shared" si="44"/>
        <v>MFm&amp;0&amp;rDXHP&amp;Ex&amp;dxHP_equip__spltHP-SEER-BA</v>
      </c>
      <c r="O155" s="3" t="s">
        <v>63</v>
      </c>
      <c r="P155" s="3">
        <v>0</v>
      </c>
      <c r="Q155" s="3" t="s">
        <v>57</v>
      </c>
      <c r="R155" s="3" t="s">
        <v>52</v>
      </c>
      <c r="S155" s="3" t="str">
        <f t="shared" si="45"/>
        <v>No</v>
      </c>
      <c r="T155" s="3" t="str">
        <f t="shared" si="46"/>
        <v>dxHP_equip__spltHP-SEER-BA</v>
      </c>
      <c r="U155" s="3" t="str">
        <f t="shared" si="47"/>
        <v>dxHP_equip__spltHP-SEER-BA</v>
      </c>
      <c r="V155" s="3" t="s">
        <v>105</v>
      </c>
      <c r="W155" s="3" t="s">
        <v>106</v>
      </c>
      <c r="X155" s="3" t="s">
        <v>105</v>
      </c>
      <c r="Y155" s="3" t="s">
        <v>106</v>
      </c>
      <c r="AA155" s="3" t="s">
        <v>55</v>
      </c>
      <c r="AB155" s="3" t="s">
        <v>56</v>
      </c>
    </row>
    <row r="156" spans="1:28" s="3" customFormat="1" x14ac:dyDescent="0.25">
      <c r="A156" s="3" t="s">
        <v>100</v>
      </c>
      <c r="B156" s="3" t="s">
        <v>10675</v>
      </c>
      <c r="C156" s="3" t="s">
        <v>10655</v>
      </c>
      <c r="D156" s="3" t="str">
        <f t="shared" si="33"/>
        <v>SWHC050-03 Ductless Heat Pump_SFm</v>
      </c>
      <c r="F156" s="3" t="s">
        <v>101</v>
      </c>
      <c r="G156" s="3" t="str">
        <f t="shared" ref="G156:G167" si="48">F156</f>
        <v>RE-HV-DHP-16S</v>
      </c>
      <c r="H156" s="3" t="s">
        <v>102</v>
      </c>
      <c r="I156" s="3" t="s">
        <v>103</v>
      </c>
      <c r="J156" s="3" t="s">
        <v>104</v>
      </c>
      <c r="K156" s="3" t="str">
        <f t="shared" si="41"/>
        <v>Pre-RE-HV-DHP-13S</v>
      </c>
      <c r="L156" s="3" t="str">
        <f t="shared" si="42"/>
        <v>Std-RE-HV-DHP-15S</v>
      </c>
      <c r="M156" s="3" t="str">
        <f t="shared" si="43"/>
        <v>Msr-RE-HV-DHP-16S</v>
      </c>
      <c r="N156" s="3" t="str">
        <f t="shared" si="44"/>
        <v>SFm&amp;1&amp;rDXHP&amp;New&amp;dxHP_equip__spltHP-SEER-BA</v>
      </c>
      <c r="O156" s="3" t="s">
        <v>50</v>
      </c>
      <c r="P156" s="3">
        <v>1</v>
      </c>
      <c r="Q156" s="3" t="s">
        <v>57</v>
      </c>
      <c r="R156" s="3" t="s">
        <v>107</v>
      </c>
      <c r="S156" s="3" t="str">
        <f t="shared" si="45"/>
        <v>No</v>
      </c>
      <c r="T156" s="3" t="str">
        <f t="shared" si="46"/>
        <v>dxHP_equip__spltHP-SEER-BA</v>
      </c>
      <c r="U156" s="3" t="str">
        <f t="shared" si="47"/>
        <v>dxHP_equip__spltHP-SEER-BA</v>
      </c>
      <c r="V156" s="3" t="s">
        <v>105</v>
      </c>
      <c r="W156" s="3" t="s">
        <v>106</v>
      </c>
      <c r="X156" s="3" t="s">
        <v>105</v>
      </c>
      <c r="Y156" s="3" t="s">
        <v>106</v>
      </c>
      <c r="AA156" s="3" t="s">
        <v>55</v>
      </c>
      <c r="AB156" s="3" t="s">
        <v>56</v>
      </c>
    </row>
    <row r="157" spans="1:28" s="3" customFormat="1" x14ac:dyDescent="0.25">
      <c r="A157" s="3" t="s">
        <v>100</v>
      </c>
      <c r="B157" s="3" t="s">
        <v>10675</v>
      </c>
      <c r="C157" s="3" t="s">
        <v>10655</v>
      </c>
      <c r="D157" s="3" t="str">
        <f t="shared" si="33"/>
        <v>SWHC050-03 Ductless Heat Pump_SFm</v>
      </c>
      <c r="F157" s="3" t="s">
        <v>101</v>
      </c>
      <c r="G157" s="3" t="str">
        <f t="shared" si="48"/>
        <v>RE-HV-DHP-16S</v>
      </c>
      <c r="H157" s="3" t="s">
        <v>102</v>
      </c>
      <c r="I157" s="3" t="s">
        <v>103</v>
      </c>
      <c r="J157" s="3" t="s">
        <v>104</v>
      </c>
      <c r="K157" s="3" t="str">
        <f t="shared" si="41"/>
        <v>Pre-RE-HV-DHP-13S</v>
      </c>
      <c r="L157" s="3" t="str">
        <f t="shared" si="42"/>
        <v>Std-RE-HV-DHP-15S</v>
      </c>
      <c r="M157" s="3" t="str">
        <f t="shared" si="43"/>
        <v>Msr-RE-HV-DHP-16S</v>
      </c>
      <c r="N157" s="3" t="str">
        <f t="shared" si="44"/>
        <v>SFm&amp;2&amp;rDXHP&amp;New&amp;dxHP_equip__spltHP-SEER-BA</v>
      </c>
      <c r="O157" s="3" t="s">
        <v>50</v>
      </c>
      <c r="P157" s="3">
        <v>2</v>
      </c>
      <c r="Q157" s="3" t="s">
        <v>57</v>
      </c>
      <c r="R157" s="3" t="s">
        <v>107</v>
      </c>
      <c r="S157" s="3" t="str">
        <f t="shared" si="45"/>
        <v>No</v>
      </c>
      <c r="T157" s="3" t="str">
        <f t="shared" ref="T157:T159" si="49">V157&amp;"__"&amp;W157</f>
        <v>dxHP_equip__spltHP-SEER-BA</v>
      </c>
      <c r="U157" s="3" t="str">
        <f t="shared" ref="U157:U159" si="50">X157&amp;"__"&amp;Y157</f>
        <v>dxHP_equip__spltHP-SEER-BA</v>
      </c>
      <c r="V157" s="3" t="s">
        <v>105</v>
      </c>
      <c r="W157" s="3" t="s">
        <v>106</v>
      </c>
      <c r="X157" s="3" t="s">
        <v>105</v>
      </c>
      <c r="Y157" s="3" t="s">
        <v>106</v>
      </c>
      <c r="AA157" s="3" t="s">
        <v>55</v>
      </c>
      <c r="AB157" s="3" t="s">
        <v>56</v>
      </c>
    </row>
    <row r="158" spans="1:28" s="3" customFormat="1" x14ac:dyDescent="0.25">
      <c r="A158" s="3" t="s">
        <v>100</v>
      </c>
      <c r="B158" s="3" t="s">
        <v>10675</v>
      </c>
      <c r="C158" s="3" t="s">
        <v>10655</v>
      </c>
      <c r="D158" s="3" t="str">
        <f t="shared" si="33"/>
        <v>SWHC050-03 Ductless Heat Pump_DMo</v>
      </c>
      <c r="F158" s="3" t="s">
        <v>101</v>
      </c>
      <c r="G158" s="3" t="str">
        <f t="shared" si="48"/>
        <v>RE-HV-DHP-16S</v>
      </c>
      <c r="H158" s="3" t="s">
        <v>102</v>
      </c>
      <c r="I158" s="3" t="s">
        <v>103</v>
      </c>
      <c r="J158" s="3" t="s">
        <v>104</v>
      </c>
      <c r="K158" s="3" t="str">
        <f t="shared" si="41"/>
        <v>Pre-RE-HV-DHP-13S</v>
      </c>
      <c r="L158" s="3" t="str">
        <f t="shared" si="42"/>
        <v>Std-RE-HV-DHP-15S</v>
      </c>
      <c r="M158" s="3" t="str">
        <f t="shared" si="43"/>
        <v>Msr-RE-HV-DHP-16S</v>
      </c>
      <c r="N158" s="3" t="str">
        <f t="shared" si="44"/>
        <v>DMo&amp;0&amp;rDXHP&amp;New&amp;dxHP_equip__spltHP-SEER-BA</v>
      </c>
      <c r="O158" s="3" t="s">
        <v>62</v>
      </c>
      <c r="P158" s="3">
        <v>0</v>
      </c>
      <c r="Q158" s="3" t="s">
        <v>57</v>
      </c>
      <c r="R158" s="3" t="s">
        <v>107</v>
      </c>
      <c r="S158" s="3" t="str">
        <f t="shared" si="45"/>
        <v>No</v>
      </c>
      <c r="T158" s="3" t="str">
        <f t="shared" si="49"/>
        <v>dxHP_equip__spltHP-SEER-BA</v>
      </c>
      <c r="U158" s="3" t="str">
        <f t="shared" si="50"/>
        <v>dxHP_equip__spltHP-SEER-BA</v>
      </c>
      <c r="V158" s="3" t="s">
        <v>105</v>
      </c>
      <c r="W158" s="3" t="s">
        <v>106</v>
      </c>
      <c r="X158" s="3" t="s">
        <v>105</v>
      </c>
      <c r="Y158" s="3" t="s">
        <v>106</v>
      </c>
      <c r="AA158" s="3" t="s">
        <v>55</v>
      </c>
      <c r="AB158" s="3" t="s">
        <v>56</v>
      </c>
    </row>
    <row r="159" spans="1:28" s="3" customFormat="1" x14ac:dyDescent="0.25">
      <c r="A159" s="3" t="s">
        <v>100</v>
      </c>
      <c r="B159" s="3" t="s">
        <v>10675</v>
      </c>
      <c r="C159" s="3" t="s">
        <v>10655</v>
      </c>
      <c r="D159" s="3" t="str">
        <f t="shared" si="33"/>
        <v>SWHC050-03 Ductless Heat Pump_MFm</v>
      </c>
      <c r="F159" s="3" t="s">
        <v>101</v>
      </c>
      <c r="G159" s="3" t="str">
        <f t="shared" si="48"/>
        <v>RE-HV-DHP-16S</v>
      </c>
      <c r="H159" s="3" t="s">
        <v>102</v>
      </c>
      <c r="I159" s="3" t="s">
        <v>103</v>
      </c>
      <c r="J159" s="3" t="s">
        <v>104</v>
      </c>
      <c r="K159" s="3" t="str">
        <f t="shared" si="41"/>
        <v>Pre-RE-HV-DHP-13S</v>
      </c>
      <c r="L159" s="3" t="str">
        <f t="shared" si="42"/>
        <v>Std-RE-HV-DHP-15S</v>
      </c>
      <c r="M159" s="3" t="str">
        <f t="shared" si="43"/>
        <v>Msr-RE-HV-DHP-16S</v>
      </c>
      <c r="N159" s="3" t="str">
        <f t="shared" si="44"/>
        <v>MFm&amp;0&amp;rDXHP&amp;New&amp;dxHP_equip__spltHP-SEER-BA</v>
      </c>
      <c r="O159" s="3" t="s">
        <v>63</v>
      </c>
      <c r="P159" s="3">
        <v>0</v>
      </c>
      <c r="Q159" s="3" t="s">
        <v>57</v>
      </c>
      <c r="R159" s="3" t="s">
        <v>107</v>
      </c>
      <c r="S159" s="3" t="str">
        <f t="shared" si="45"/>
        <v>No</v>
      </c>
      <c r="T159" s="3" t="str">
        <f t="shared" si="49"/>
        <v>dxHP_equip__spltHP-SEER-BA</v>
      </c>
      <c r="U159" s="3" t="str">
        <f t="shared" si="50"/>
        <v>dxHP_equip__spltHP-SEER-BA</v>
      </c>
      <c r="V159" s="3" t="s">
        <v>105</v>
      </c>
      <c r="W159" s="3" t="s">
        <v>106</v>
      </c>
      <c r="X159" s="3" t="s">
        <v>105</v>
      </c>
      <c r="Y159" s="3" t="s">
        <v>106</v>
      </c>
      <c r="AA159" s="3" t="s">
        <v>55</v>
      </c>
      <c r="AB159" s="3" t="s">
        <v>56</v>
      </c>
    </row>
    <row r="160" spans="1:28" s="3" customFormat="1" x14ac:dyDescent="0.25">
      <c r="A160" s="3" t="s">
        <v>100</v>
      </c>
      <c r="B160" s="3" t="s">
        <v>10675</v>
      </c>
      <c r="C160" s="3" t="s">
        <v>10655</v>
      </c>
      <c r="D160" s="3" t="str">
        <f t="shared" si="33"/>
        <v>SWHC050-03 Ductless Heat Pump_SFm</v>
      </c>
      <c r="F160" s="3" t="s">
        <v>108</v>
      </c>
      <c r="G160" s="3" t="str">
        <f t="shared" si="48"/>
        <v>RE-HV-DHP-16S-replRmAC-ER</v>
      </c>
      <c r="H160" s="3" t="s">
        <v>109</v>
      </c>
      <c r="I160" s="3" t="s">
        <v>110</v>
      </c>
      <c r="J160" s="3" t="s">
        <v>104</v>
      </c>
      <c r="K160" s="3" t="str">
        <f t="shared" si="41"/>
        <v>Pre-RE-HV-RoomAC-9.0E-ERheat</v>
      </c>
      <c r="L160" s="3" t="str">
        <f t="shared" si="42"/>
        <v>Std-RE-HV-RoomAC-9.8E-ERheat</v>
      </c>
      <c r="M160" s="3" t="str">
        <f t="shared" si="43"/>
        <v>Msr-RE-HV-DHP-16S</v>
      </c>
      <c r="N160" s="3" t="str">
        <f t="shared" si="44"/>
        <v>SFm&amp;1&amp;rDXHP&amp;Ex&amp;dxHP_equip__spltHP-SEER-BA&amp;dxAC_equip__RoomAC</v>
      </c>
      <c r="O160" s="3" t="s">
        <v>50</v>
      </c>
      <c r="P160" s="3">
        <v>1</v>
      </c>
      <c r="Q160" s="3" t="s">
        <v>57</v>
      </c>
      <c r="R160" s="3" t="s">
        <v>52</v>
      </c>
      <c r="S160" s="3" t="str">
        <f t="shared" ref="S160:S171" si="51">IF(T160=U160, "No", "Yes")</f>
        <v>Yes</v>
      </c>
      <c r="T160" s="3" t="str">
        <f t="shared" ref="T160:T171" si="52">V160&amp;"__"&amp;W160</f>
        <v>dxHP_equip__spltHP-SEER-BA</v>
      </c>
      <c r="U160" s="3" t="str">
        <f t="shared" ref="U160:U171" si="53">X160&amp;"__"&amp;Y160</f>
        <v>dxAC_equip__RoomAC</v>
      </c>
      <c r="V160" s="3" t="s">
        <v>105</v>
      </c>
      <c r="W160" s="3" t="s">
        <v>106</v>
      </c>
      <c r="X160" s="3" t="s">
        <v>111</v>
      </c>
      <c r="Y160" s="3" t="s">
        <v>112</v>
      </c>
      <c r="AA160" s="3" t="s">
        <v>55</v>
      </c>
      <c r="AB160" s="3" t="s">
        <v>56</v>
      </c>
    </row>
    <row r="161" spans="1:28" s="3" customFormat="1" x14ac:dyDescent="0.25">
      <c r="A161" s="3" t="s">
        <v>100</v>
      </c>
      <c r="B161" s="3" t="s">
        <v>10675</v>
      </c>
      <c r="C161" s="3" t="s">
        <v>10655</v>
      </c>
      <c r="D161" s="3" t="str">
        <f t="shared" si="33"/>
        <v>SWHC050-03 Ductless Heat Pump_SFm</v>
      </c>
      <c r="F161" s="3" t="s">
        <v>108</v>
      </c>
      <c r="G161" s="3" t="str">
        <f t="shared" si="48"/>
        <v>RE-HV-DHP-16S-replRmAC-ER</v>
      </c>
      <c r="H161" s="3" t="s">
        <v>109</v>
      </c>
      <c r="I161" s="3" t="s">
        <v>110</v>
      </c>
      <c r="J161" s="3" t="s">
        <v>104</v>
      </c>
      <c r="K161" s="3" t="str">
        <f t="shared" si="41"/>
        <v>Pre-RE-HV-RoomAC-9.0E-ERheat</v>
      </c>
      <c r="L161" s="3" t="str">
        <f t="shared" si="42"/>
        <v>Std-RE-HV-RoomAC-9.8E-ERheat</v>
      </c>
      <c r="M161" s="3" t="str">
        <f t="shared" si="43"/>
        <v>Msr-RE-HV-DHP-16S</v>
      </c>
      <c r="N161" s="3" t="str">
        <f t="shared" si="44"/>
        <v>SFm&amp;2&amp;rDXHP&amp;Ex&amp;dxHP_equip__spltHP-SEER-BA&amp;dxAC_equip__RoomAC</v>
      </c>
      <c r="O161" s="3" t="s">
        <v>50</v>
      </c>
      <c r="P161" s="3">
        <v>2</v>
      </c>
      <c r="Q161" s="3" t="s">
        <v>57</v>
      </c>
      <c r="R161" s="3" t="s">
        <v>52</v>
      </c>
      <c r="S161" s="3" t="str">
        <f t="shared" si="51"/>
        <v>Yes</v>
      </c>
      <c r="T161" s="3" t="str">
        <f t="shared" si="52"/>
        <v>dxHP_equip__spltHP-SEER-BA</v>
      </c>
      <c r="U161" s="3" t="str">
        <f t="shared" si="53"/>
        <v>dxAC_equip__RoomAC</v>
      </c>
      <c r="V161" s="3" t="s">
        <v>105</v>
      </c>
      <c r="W161" s="3" t="s">
        <v>106</v>
      </c>
      <c r="X161" s="3" t="s">
        <v>111</v>
      </c>
      <c r="Y161" s="3" t="s">
        <v>112</v>
      </c>
      <c r="AA161" s="3" t="s">
        <v>55</v>
      </c>
      <c r="AB161" s="3" t="s">
        <v>56</v>
      </c>
    </row>
    <row r="162" spans="1:28" s="3" customFormat="1" x14ac:dyDescent="0.25">
      <c r="A162" s="3" t="s">
        <v>100</v>
      </c>
      <c r="B162" s="3" t="s">
        <v>10675</v>
      </c>
      <c r="C162" s="3" t="s">
        <v>10655</v>
      </c>
      <c r="D162" s="3" t="str">
        <f t="shared" si="33"/>
        <v>SWHC050-03 Ductless Heat Pump_DMo</v>
      </c>
      <c r="F162" s="3" t="s">
        <v>108</v>
      </c>
      <c r="G162" s="3" t="str">
        <f t="shared" si="48"/>
        <v>RE-HV-DHP-16S-replRmAC-ER</v>
      </c>
      <c r="H162" s="3" t="s">
        <v>109</v>
      </c>
      <c r="I162" s="3" t="s">
        <v>110</v>
      </c>
      <c r="J162" s="3" t="s">
        <v>104</v>
      </c>
      <c r="K162" s="3" t="str">
        <f t="shared" si="41"/>
        <v>Pre-RE-HV-RoomAC-9.0E-ERheat</v>
      </c>
      <c r="L162" s="3" t="str">
        <f t="shared" si="42"/>
        <v>Std-RE-HV-RoomAC-9.8E-ERheat</v>
      </c>
      <c r="M162" s="3" t="str">
        <f t="shared" si="43"/>
        <v>Msr-RE-HV-DHP-16S</v>
      </c>
      <c r="N162" s="3" t="str">
        <f t="shared" si="44"/>
        <v>DMo&amp;0&amp;rDXHP&amp;Ex&amp;dxHP_equip__spltHP-SEER-BA&amp;dxAC_equip__RoomAC</v>
      </c>
      <c r="O162" s="3" t="s">
        <v>62</v>
      </c>
      <c r="P162" s="3">
        <v>0</v>
      </c>
      <c r="Q162" s="3" t="s">
        <v>57</v>
      </c>
      <c r="R162" s="3" t="s">
        <v>52</v>
      </c>
      <c r="S162" s="3" t="str">
        <f t="shared" si="51"/>
        <v>Yes</v>
      </c>
      <c r="T162" s="3" t="str">
        <f t="shared" si="52"/>
        <v>dxHP_equip__spltHP-SEER-BA</v>
      </c>
      <c r="U162" s="3" t="str">
        <f t="shared" si="53"/>
        <v>dxAC_equip__RoomAC</v>
      </c>
      <c r="V162" s="3" t="s">
        <v>105</v>
      </c>
      <c r="W162" s="3" t="s">
        <v>106</v>
      </c>
      <c r="X162" s="3" t="s">
        <v>111</v>
      </c>
      <c r="Y162" s="3" t="s">
        <v>112</v>
      </c>
      <c r="AA162" s="3" t="s">
        <v>55</v>
      </c>
      <c r="AB162" s="3" t="s">
        <v>56</v>
      </c>
    </row>
    <row r="163" spans="1:28" s="3" customFormat="1" x14ac:dyDescent="0.25">
      <c r="A163" s="3" t="s">
        <v>100</v>
      </c>
      <c r="B163" s="3" t="s">
        <v>10675</v>
      </c>
      <c r="C163" s="3" t="s">
        <v>10655</v>
      </c>
      <c r="D163" s="3" t="str">
        <f t="shared" si="33"/>
        <v>SWHC050-03 Ductless Heat Pump_MFm</v>
      </c>
      <c r="F163" s="3" t="s">
        <v>108</v>
      </c>
      <c r="G163" s="3" t="str">
        <f t="shared" si="48"/>
        <v>RE-HV-DHP-16S-replRmAC-ER</v>
      </c>
      <c r="H163" s="3" t="s">
        <v>109</v>
      </c>
      <c r="I163" s="3" t="s">
        <v>110</v>
      </c>
      <c r="J163" s="3" t="s">
        <v>104</v>
      </c>
      <c r="K163" s="3" t="str">
        <f t="shared" si="41"/>
        <v>Pre-RE-HV-RoomAC-9.0E-ERheat</v>
      </c>
      <c r="L163" s="3" t="str">
        <f t="shared" si="42"/>
        <v>Std-RE-HV-RoomAC-9.8E-ERheat</v>
      </c>
      <c r="M163" s="3" t="str">
        <f t="shared" si="43"/>
        <v>Msr-RE-HV-DHP-16S</v>
      </c>
      <c r="N163" s="3" t="str">
        <f t="shared" si="44"/>
        <v>MFm&amp;0&amp;rDXHP&amp;Ex&amp;dxHP_equip__spltHP-SEER-BA&amp;dxAC_equip__RoomAC</v>
      </c>
      <c r="O163" s="3" t="s">
        <v>63</v>
      </c>
      <c r="P163" s="3">
        <v>0</v>
      </c>
      <c r="Q163" s="3" t="s">
        <v>57</v>
      </c>
      <c r="R163" s="3" t="s">
        <v>52</v>
      </c>
      <c r="S163" s="3" t="str">
        <f t="shared" si="51"/>
        <v>Yes</v>
      </c>
      <c r="T163" s="3" t="str">
        <f t="shared" si="52"/>
        <v>dxHP_equip__spltHP-SEER-BA</v>
      </c>
      <c r="U163" s="3" t="str">
        <f t="shared" si="53"/>
        <v>dxAC_equip__RoomAC</v>
      </c>
      <c r="V163" s="3" t="s">
        <v>105</v>
      </c>
      <c r="W163" s="3" t="s">
        <v>106</v>
      </c>
      <c r="X163" s="3" t="s">
        <v>111</v>
      </c>
      <c r="Y163" s="3" t="s">
        <v>112</v>
      </c>
      <c r="AA163" s="3" t="s">
        <v>55</v>
      </c>
      <c r="AB163" s="3" t="s">
        <v>56</v>
      </c>
    </row>
    <row r="164" spans="1:28" s="3" customFormat="1" x14ac:dyDescent="0.25">
      <c r="A164" s="3" t="s">
        <v>100</v>
      </c>
      <c r="B164" s="3" t="s">
        <v>10675</v>
      </c>
      <c r="C164" s="3" t="s">
        <v>10655</v>
      </c>
      <c r="D164" s="3" t="str">
        <f t="shared" si="33"/>
        <v>SWHC050-03 Ductless Heat Pump_SFm</v>
      </c>
      <c r="F164" s="3" t="s">
        <v>113</v>
      </c>
      <c r="G164" s="3" t="str">
        <f t="shared" si="48"/>
        <v>RE-HV-DHP-17S</v>
      </c>
      <c r="H164" s="3" t="s">
        <v>102</v>
      </c>
      <c r="I164" s="3" t="s">
        <v>103</v>
      </c>
      <c r="J164" s="3" t="s">
        <v>114</v>
      </c>
      <c r="K164" s="3" t="str">
        <f t="shared" si="41"/>
        <v>Pre-RE-HV-DHP-13S</v>
      </c>
      <c r="L164" s="3" t="str">
        <f t="shared" si="42"/>
        <v>Std-RE-HV-DHP-15S</v>
      </c>
      <c r="M164" s="3" t="str">
        <f t="shared" si="43"/>
        <v>Msr-RE-HV-DHP-17S</v>
      </c>
      <c r="N164" s="3" t="str">
        <f t="shared" si="44"/>
        <v>SFm&amp;1&amp;rDXHP&amp;Ex&amp;dxHP_equip__spltHP-SEER-BA</v>
      </c>
      <c r="O164" s="3" t="s">
        <v>50</v>
      </c>
      <c r="P164" s="3">
        <v>1</v>
      </c>
      <c r="Q164" s="3" t="s">
        <v>57</v>
      </c>
      <c r="R164" s="3" t="s">
        <v>52</v>
      </c>
      <c r="S164" s="3" t="str">
        <f t="shared" si="51"/>
        <v>No</v>
      </c>
      <c r="T164" s="3" t="str">
        <f t="shared" si="52"/>
        <v>dxHP_equip__spltHP-SEER-BA</v>
      </c>
      <c r="U164" s="3" t="str">
        <f t="shared" si="53"/>
        <v>dxHP_equip__spltHP-SEER-BA</v>
      </c>
      <c r="V164" s="3" t="s">
        <v>105</v>
      </c>
      <c r="W164" s="3" t="s">
        <v>106</v>
      </c>
      <c r="X164" s="3" t="s">
        <v>105</v>
      </c>
      <c r="Y164" s="3" t="s">
        <v>106</v>
      </c>
      <c r="AA164" s="3" t="s">
        <v>55</v>
      </c>
      <c r="AB164" s="3" t="s">
        <v>56</v>
      </c>
    </row>
    <row r="165" spans="1:28" s="3" customFormat="1" x14ac:dyDescent="0.25">
      <c r="A165" s="3" t="s">
        <v>100</v>
      </c>
      <c r="B165" s="3" t="s">
        <v>10675</v>
      </c>
      <c r="C165" s="3" t="s">
        <v>10655</v>
      </c>
      <c r="D165" s="3" t="str">
        <f t="shared" si="33"/>
        <v>SWHC050-03 Ductless Heat Pump_SFm</v>
      </c>
      <c r="F165" s="3" t="s">
        <v>113</v>
      </c>
      <c r="G165" s="3" t="str">
        <f t="shared" si="48"/>
        <v>RE-HV-DHP-17S</v>
      </c>
      <c r="H165" s="3" t="s">
        <v>102</v>
      </c>
      <c r="I165" s="3" t="s">
        <v>103</v>
      </c>
      <c r="J165" s="3" t="s">
        <v>114</v>
      </c>
      <c r="K165" s="3" t="str">
        <f t="shared" si="41"/>
        <v>Pre-RE-HV-DHP-13S</v>
      </c>
      <c r="L165" s="3" t="str">
        <f t="shared" si="42"/>
        <v>Std-RE-HV-DHP-15S</v>
      </c>
      <c r="M165" s="3" t="str">
        <f t="shared" si="43"/>
        <v>Msr-RE-HV-DHP-17S</v>
      </c>
      <c r="N165" s="3" t="str">
        <f t="shared" si="44"/>
        <v>SFm&amp;2&amp;rDXHP&amp;Ex&amp;dxHP_equip__spltHP-SEER-BA</v>
      </c>
      <c r="O165" s="3" t="s">
        <v>50</v>
      </c>
      <c r="P165" s="3">
        <v>2</v>
      </c>
      <c r="Q165" s="3" t="s">
        <v>57</v>
      </c>
      <c r="R165" s="3" t="s">
        <v>52</v>
      </c>
      <c r="S165" s="3" t="str">
        <f t="shared" si="51"/>
        <v>No</v>
      </c>
      <c r="T165" s="3" t="str">
        <f t="shared" si="52"/>
        <v>dxHP_equip__spltHP-SEER-BA</v>
      </c>
      <c r="U165" s="3" t="str">
        <f t="shared" si="53"/>
        <v>dxHP_equip__spltHP-SEER-BA</v>
      </c>
      <c r="V165" s="3" t="s">
        <v>105</v>
      </c>
      <c r="W165" s="3" t="s">
        <v>106</v>
      </c>
      <c r="X165" s="3" t="s">
        <v>105</v>
      </c>
      <c r="Y165" s="3" t="s">
        <v>106</v>
      </c>
      <c r="AA165" s="3" t="s">
        <v>55</v>
      </c>
      <c r="AB165" s="3" t="s">
        <v>56</v>
      </c>
    </row>
    <row r="166" spans="1:28" s="3" customFormat="1" x14ac:dyDescent="0.25">
      <c r="A166" s="3" t="s">
        <v>100</v>
      </c>
      <c r="B166" s="3" t="s">
        <v>10675</v>
      </c>
      <c r="C166" s="3" t="s">
        <v>10655</v>
      </c>
      <c r="D166" s="3" t="str">
        <f t="shared" si="33"/>
        <v>SWHC050-03 Ductless Heat Pump_DMo</v>
      </c>
      <c r="F166" s="3" t="s">
        <v>113</v>
      </c>
      <c r="G166" s="3" t="str">
        <f t="shared" si="48"/>
        <v>RE-HV-DHP-17S</v>
      </c>
      <c r="H166" s="3" t="s">
        <v>102</v>
      </c>
      <c r="I166" s="3" t="s">
        <v>103</v>
      </c>
      <c r="J166" s="3" t="s">
        <v>114</v>
      </c>
      <c r="K166" s="3" t="str">
        <f t="shared" si="41"/>
        <v>Pre-RE-HV-DHP-13S</v>
      </c>
      <c r="L166" s="3" t="str">
        <f t="shared" si="42"/>
        <v>Std-RE-HV-DHP-15S</v>
      </c>
      <c r="M166" s="3" t="str">
        <f t="shared" si="43"/>
        <v>Msr-RE-HV-DHP-17S</v>
      </c>
      <c r="N166" s="3" t="str">
        <f t="shared" si="44"/>
        <v>DMo&amp;0&amp;rDXHP&amp;Ex&amp;dxHP_equip__spltHP-SEER-BA</v>
      </c>
      <c r="O166" s="3" t="s">
        <v>62</v>
      </c>
      <c r="P166" s="3">
        <v>0</v>
      </c>
      <c r="Q166" s="3" t="s">
        <v>57</v>
      </c>
      <c r="R166" s="3" t="s">
        <v>52</v>
      </c>
      <c r="S166" s="3" t="str">
        <f t="shared" si="51"/>
        <v>No</v>
      </c>
      <c r="T166" s="3" t="str">
        <f t="shared" si="52"/>
        <v>dxHP_equip__spltHP-SEER-BA</v>
      </c>
      <c r="U166" s="3" t="str">
        <f t="shared" si="53"/>
        <v>dxHP_equip__spltHP-SEER-BA</v>
      </c>
      <c r="V166" s="3" t="s">
        <v>105</v>
      </c>
      <c r="W166" s="3" t="s">
        <v>106</v>
      </c>
      <c r="X166" s="3" t="s">
        <v>105</v>
      </c>
      <c r="Y166" s="3" t="s">
        <v>106</v>
      </c>
      <c r="AA166" s="3" t="s">
        <v>55</v>
      </c>
      <c r="AB166" s="3" t="s">
        <v>56</v>
      </c>
    </row>
    <row r="167" spans="1:28" s="3" customFormat="1" x14ac:dyDescent="0.25">
      <c r="A167" s="3" t="s">
        <v>100</v>
      </c>
      <c r="B167" s="3" t="s">
        <v>10675</v>
      </c>
      <c r="C167" s="3" t="s">
        <v>10655</v>
      </c>
      <c r="D167" s="3" t="str">
        <f t="shared" si="33"/>
        <v>SWHC050-03 Ductless Heat Pump_MFm</v>
      </c>
      <c r="F167" s="3" t="s">
        <v>113</v>
      </c>
      <c r="G167" s="3" t="str">
        <f t="shared" si="48"/>
        <v>RE-HV-DHP-17S</v>
      </c>
      <c r="H167" s="3" t="s">
        <v>102</v>
      </c>
      <c r="I167" s="3" t="s">
        <v>103</v>
      </c>
      <c r="J167" s="3" t="s">
        <v>114</v>
      </c>
      <c r="K167" s="3" t="str">
        <f t="shared" si="41"/>
        <v>Pre-RE-HV-DHP-13S</v>
      </c>
      <c r="L167" s="3" t="str">
        <f t="shared" si="42"/>
        <v>Std-RE-HV-DHP-15S</v>
      </c>
      <c r="M167" s="3" t="str">
        <f t="shared" si="43"/>
        <v>Msr-RE-HV-DHP-17S</v>
      </c>
      <c r="N167" s="3" t="str">
        <f t="shared" si="44"/>
        <v>MFm&amp;0&amp;rDXHP&amp;Ex&amp;dxHP_equip__spltHP-SEER-BA</v>
      </c>
      <c r="O167" s="3" t="s">
        <v>63</v>
      </c>
      <c r="P167" s="3">
        <v>0</v>
      </c>
      <c r="Q167" s="3" t="s">
        <v>57</v>
      </c>
      <c r="R167" s="3" t="s">
        <v>52</v>
      </c>
      <c r="S167" s="3" t="str">
        <f t="shared" si="51"/>
        <v>No</v>
      </c>
      <c r="T167" s="3" t="str">
        <f t="shared" si="52"/>
        <v>dxHP_equip__spltHP-SEER-BA</v>
      </c>
      <c r="U167" s="3" t="str">
        <f t="shared" si="53"/>
        <v>dxHP_equip__spltHP-SEER-BA</v>
      </c>
      <c r="V167" s="3" t="s">
        <v>105</v>
      </c>
      <c r="W167" s="3" t="s">
        <v>106</v>
      </c>
      <c r="X167" s="3" t="s">
        <v>105</v>
      </c>
      <c r="Y167" s="3" t="s">
        <v>106</v>
      </c>
      <c r="AA167" s="3" t="s">
        <v>55</v>
      </c>
      <c r="AB167" s="3" t="s">
        <v>56</v>
      </c>
    </row>
    <row r="168" spans="1:28" s="3" customFormat="1" x14ac:dyDescent="0.25">
      <c r="A168" s="3" t="s">
        <v>100</v>
      </c>
      <c r="B168" s="3" t="s">
        <v>10675</v>
      </c>
      <c r="C168" s="3" t="s">
        <v>10655</v>
      </c>
      <c r="D168" s="3" t="str">
        <f t="shared" si="33"/>
        <v>SWHC050-03 Ductless Heat Pump_SFm</v>
      </c>
      <c r="F168" s="3" t="s">
        <v>113</v>
      </c>
      <c r="G168" s="3" t="str">
        <f t="shared" ref="G168:G179" si="54">F168</f>
        <v>RE-HV-DHP-17S</v>
      </c>
      <c r="H168" s="3" t="s">
        <v>102</v>
      </c>
      <c r="I168" s="3" t="s">
        <v>103</v>
      </c>
      <c r="J168" s="3" t="s">
        <v>114</v>
      </c>
      <c r="K168" s="3" t="str">
        <f t="shared" si="41"/>
        <v>Pre-RE-HV-DHP-13S</v>
      </c>
      <c r="L168" s="3" t="str">
        <f t="shared" si="42"/>
        <v>Std-RE-HV-DHP-15S</v>
      </c>
      <c r="M168" s="3" t="str">
        <f t="shared" si="43"/>
        <v>Msr-RE-HV-DHP-17S</v>
      </c>
      <c r="N168" s="3" t="str">
        <f t="shared" si="44"/>
        <v>SFm&amp;1&amp;rDXHP&amp;New&amp;dxHP_equip__spltHP-SEER-BA</v>
      </c>
      <c r="O168" s="3" t="s">
        <v>50</v>
      </c>
      <c r="P168" s="3">
        <v>1</v>
      </c>
      <c r="Q168" s="3" t="s">
        <v>57</v>
      </c>
      <c r="R168" s="3" t="s">
        <v>107</v>
      </c>
      <c r="S168" s="3" t="str">
        <f t="shared" si="51"/>
        <v>No</v>
      </c>
      <c r="T168" s="3" t="str">
        <f t="shared" si="52"/>
        <v>dxHP_equip__spltHP-SEER-BA</v>
      </c>
      <c r="U168" s="3" t="str">
        <f t="shared" si="53"/>
        <v>dxHP_equip__spltHP-SEER-BA</v>
      </c>
      <c r="V168" s="3" t="s">
        <v>105</v>
      </c>
      <c r="W168" s="3" t="s">
        <v>106</v>
      </c>
      <c r="X168" s="3" t="s">
        <v>105</v>
      </c>
      <c r="Y168" s="3" t="s">
        <v>106</v>
      </c>
      <c r="AA168" s="3" t="s">
        <v>55</v>
      </c>
      <c r="AB168" s="3" t="s">
        <v>56</v>
      </c>
    </row>
    <row r="169" spans="1:28" s="3" customFormat="1" x14ac:dyDescent="0.25">
      <c r="A169" s="3" t="s">
        <v>100</v>
      </c>
      <c r="B169" s="3" t="s">
        <v>10675</v>
      </c>
      <c r="C169" s="3" t="s">
        <v>10655</v>
      </c>
      <c r="D169" s="3" t="str">
        <f t="shared" si="33"/>
        <v>SWHC050-03 Ductless Heat Pump_SFm</v>
      </c>
      <c r="F169" s="3" t="s">
        <v>113</v>
      </c>
      <c r="G169" s="3" t="str">
        <f t="shared" si="54"/>
        <v>RE-HV-DHP-17S</v>
      </c>
      <c r="H169" s="3" t="s">
        <v>102</v>
      </c>
      <c r="I169" s="3" t="s">
        <v>103</v>
      </c>
      <c r="J169" s="3" t="s">
        <v>114</v>
      </c>
      <c r="K169" s="3" t="str">
        <f t="shared" si="41"/>
        <v>Pre-RE-HV-DHP-13S</v>
      </c>
      <c r="L169" s="3" t="str">
        <f t="shared" si="42"/>
        <v>Std-RE-HV-DHP-15S</v>
      </c>
      <c r="M169" s="3" t="str">
        <f t="shared" si="43"/>
        <v>Msr-RE-HV-DHP-17S</v>
      </c>
      <c r="N169" s="3" t="str">
        <f t="shared" si="44"/>
        <v>SFm&amp;2&amp;rDXHP&amp;New&amp;dxHP_equip__spltHP-SEER-BA</v>
      </c>
      <c r="O169" s="3" t="s">
        <v>50</v>
      </c>
      <c r="P169" s="3">
        <v>2</v>
      </c>
      <c r="Q169" s="3" t="s">
        <v>57</v>
      </c>
      <c r="R169" s="3" t="s">
        <v>107</v>
      </c>
      <c r="S169" s="3" t="str">
        <f t="shared" si="51"/>
        <v>No</v>
      </c>
      <c r="T169" s="3" t="str">
        <f t="shared" si="52"/>
        <v>dxHP_equip__spltHP-SEER-BA</v>
      </c>
      <c r="U169" s="3" t="str">
        <f t="shared" si="53"/>
        <v>dxHP_equip__spltHP-SEER-BA</v>
      </c>
      <c r="V169" s="3" t="s">
        <v>105</v>
      </c>
      <c r="W169" s="3" t="s">
        <v>106</v>
      </c>
      <c r="X169" s="3" t="s">
        <v>105</v>
      </c>
      <c r="Y169" s="3" t="s">
        <v>106</v>
      </c>
      <c r="AA169" s="3" t="s">
        <v>55</v>
      </c>
      <c r="AB169" s="3" t="s">
        <v>56</v>
      </c>
    </row>
    <row r="170" spans="1:28" s="3" customFormat="1" x14ac:dyDescent="0.25">
      <c r="A170" s="3" t="s">
        <v>100</v>
      </c>
      <c r="B170" s="3" t="s">
        <v>10675</v>
      </c>
      <c r="C170" s="3" t="s">
        <v>10655</v>
      </c>
      <c r="D170" s="3" t="str">
        <f t="shared" si="33"/>
        <v>SWHC050-03 Ductless Heat Pump_DMo</v>
      </c>
      <c r="F170" s="3" t="s">
        <v>113</v>
      </c>
      <c r="G170" s="3" t="str">
        <f t="shared" si="54"/>
        <v>RE-HV-DHP-17S</v>
      </c>
      <c r="H170" s="3" t="s">
        <v>102</v>
      </c>
      <c r="I170" s="3" t="s">
        <v>103</v>
      </c>
      <c r="J170" s="3" t="s">
        <v>114</v>
      </c>
      <c r="K170" s="3" t="str">
        <f t="shared" si="41"/>
        <v>Pre-RE-HV-DHP-13S</v>
      </c>
      <c r="L170" s="3" t="str">
        <f t="shared" si="42"/>
        <v>Std-RE-HV-DHP-15S</v>
      </c>
      <c r="M170" s="3" t="str">
        <f t="shared" si="43"/>
        <v>Msr-RE-HV-DHP-17S</v>
      </c>
      <c r="N170" s="3" t="str">
        <f t="shared" si="44"/>
        <v>DMo&amp;0&amp;rDXHP&amp;New&amp;dxHP_equip__spltHP-SEER-BA</v>
      </c>
      <c r="O170" s="3" t="s">
        <v>62</v>
      </c>
      <c r="P170" s="3">
        <v>0</v>
      </c>
      <c r="Q170" s="3" t="s">
        <v>57</v>
      </c>
      <c r="R170" s="3" t="s">
        <v>107</v>
      </c>
      <c r="S170" s="3" t="str">
        <f t="shared" si="51"/>
        <v>No</v>
      </c>
      <c r="T170" s="3" t="str">
        <f t="shared" si="52"/>
        <v>dxHP_equip__spltHP-SEER-BA</v>
      </c>
      <c r="U170" s="3" t="str">
        <f t="shared" si="53"/>
        <v>dxHP_equip__spltHP-SEER-BA</v>
      </c>
      <c r="V170" s="3" t="s">
        <v>105</v>
      </c>
      <c r="W170" s="3" t="s">
        <v>106</v>
      </c>
      <c r="X170" s="3" t="s">
        <v>105</v>
      </c>
      <c r="Y170" s="3" t="s">
        <v>106</v>
      </c>
      <c r="AA170" s="3" t="s">
        <v>55</v>
      </c>
      <c r="AB170" s="3" t="s">
        <v>56</v>
      </c>
    </row>
    <row r="171" spans="1:28" s="3" customFormat="1" x14ac:dyDescent="0.25">
      <c r="A171" s="3" t="s">
        <v>100</v>
      </c>
      <c r="B171" s="3" t="s">
        <v>10675</v>
      </c>
      <c r="C171" s="3" t="s">
        <v>10655</v>
      </c>
      <c r="D171" s="3" t="str">
        <f t="shared" si="33"/>
        <v>SWHC050-03 Ductless Heat Pump_MFm</v>
      </c>
      <c r="F171" s="3" t="s">
        <v>113</v>
      </c>
      <c r="G171" s="3" t="str">
        <f t="shared" si="54"/>
        <v>RE-HV-DHP-17S</v>
      </c>
      <c r="H171" s="3" t="s">
        <v>102</v>
      </c>
      <c r="I171" s="3" t="s">
        <v>103</v>
      </c>
      <c r="J171" s="3" t="s">
        <v>114</v>
      </c>
      <c r="K171" s="3" t="str">
        <f t="shared" si="41"/>
        <v>Pre-RE-HV-DHP-13S</v>
      </c>
      <c r="L171" s="3" t="str">
        <f t="shared" si="42"/>
        <v>Std-RE-HV-DHP-15S</v>
      </c>
      <c r="M171" s="3" t="str">
        <f t="shared" si="43"/>
        <v>Msr-RE-HV-DHP-17S</v>
      </c>
      <c r="N171" s="3" t="str">
        <f t="shared" si="44"/>
        <v>MFm&amp;0&amp;rDXHP&amp;New&amp;dxHP_equip__spltHP-SEER-BA</v>
      </c>
      <c r="O171" s="3" t="s">
        <v>63</v>
      </c>
      <c r="P171" s="3">
        <v>0</v>
      </c>
      <c r="Q171" s="3" t="s">
        <v>57</v>
      </c>
      <c r="R171" s="3" t="s">
        <v>107</v>
      </c>
      <c r="S171" s="3" t="str">
        <f t="shared" si="51"/>
        <v>No</v>
      </c>
      <c r="T171" s="3" t="str">
        <f t="shared" si="52"/>
        <v>dxHP_equip__spltHP-SEER-BA</v>
      </c>
      <c r="U171" s="3" t="str">
        <f t="shared" si="53"/>
        <v>dxHP_equip__spltHP-SEER-BA</v>
      </c>
      <c r="V171" s="3" t="s">
        <v>105</v>
      </c>
      <c r="W171" s="3" t="s">
        <v>106</v>
      </c>
      <c r="X171" s="3" t="s">
        <v>105</v>
      </c>
      <c r="Y171" s="3" t="s">
        <v>106</v>
      </c>
      <c r="AA171" s="3" t="s">
        <v>55</v>
      </c>
      <c r="AB171" s="3" t="s">
        <v>56</v>
      </c>
    </row>
    <row r="172" spans="1:28" s="3" customFormat="1" x14ac:dyDescent="0.25">
      <c r="A172" s="3" t="s">
        <v>100</v>
      </c>
      <c r="B172" s="3" t="s">
        <v>10675</v>
      </c>
      <c r="C172" s="3" t="s">
        <v>10655</v>
      </c>
      <c r="D172" s="3" t="str">
        <f t="shared" si="33"/>
        <v>SWHC050-03 Ductless Heat Pump_SFm</v>
      </c>
      <c r="F172" s="3" t="s">
        <v>115</v>
      </c>
      <c r="G172" s="3" t="str">
        <f t="shared" si="54"/>
        <v>RE-HV-DHP-17S-replRmAC-ER</v>
      </c>
      <c r="H172" s="3" t="s">
        <v>109</v>
      </c>
      <c r="I172" s="3" t="s">
        <v>110</v>
      </c>
      <c r="J172" s="3" t="s">
        <v>114</v>
      </c>
      <c r="K172" s="3" t="str">
        <f t="shared" si="41"/>
        <v>Pre-RE-HV-RoomAC-9.0E-ERheat</v>
      </c>
      <c r="L172" s="3" t="str">
        <f t="shared" si="42"/>
        <v>Std-RE-HV-RoomAC-9.8E-ERheat</v>
      </c>
      <c r="M172" s="3" t="str">
        <f t="shared" si="43"/>
        <v>Msr-RE-HV-DHP-17S</v>
      </c>
      <c r="N172" s="3" t="str">
        <f t="shared" si="44"/>
        <v>SFm&amp;1&amp;rDXHP&amp;Ex&amp;dxHP_equip__spltHP-SEER-BA&amp;dxAC_equip__RoomAC</v>
      </c>
      <c r="O172" s="3" t="s">
        <v>50</v>
      </c>
      <c r="P172" s="3">
        <v>1</v>
      </c>
      <c r="Q172" s="3" t="s">
        <v>57</v>
      </c>
      <c r="R172" s="3" t="s">
        <v>52</v>
      </c>
      <c r="S172" s="3" t="str">
        <f t="shared" ref="S172:S183" si="55">IF(T172=U172, "No", "Yes")</f>
        <v>Yes</v>
      </c>
      <c r="T172" s="3" t="str">
        <f t="shared" ref="T172:T183" si="56">V172&amp;"__"&amp;W172</f>
        <v>dxHP_equip__spltHP-SEER-BA</v>
      </c>
      <c r="U172" s="3" t="str">
        <f t="shared" ref="U172:U183" si="57">X172&amp;"__"&amp;Y172</f>
        <v>dxAC_equip__RoomAC</v>
      </c>
      <c r="V172" s="3" t="s">
        <v>105</v>
      </c>
      <c r="W172" s="3" t="s">
        <v>106</v>
      </c>
      <c r="X172" s="3" t="s">
        <v>111</v>
      </c>
      <c r="Y172" s="3" t="s">
        <v>112</v>
      </c>
      <c r="AA172" s="3" t="s">
        <v>55</v>
      </c>
      <c r="AB172" s="3" t="s">
        <v>56</v>
      </c>
    </row>
    <row r="173" spans="1:28" s="3" customFormat="1" x14ac:dyDescent="0.25">
      <c r="A173" s="3" t="s">
        <v>100</v>
      </c>
      <c r="B173" s="3" t="s">
        <v>10675</v>
      </c>
      <c r="C173" s="3" t="s">
        <v>10655</v>
      </c>
      <c r="D173" s="3" t="str">
        <f t="shared" si="33"/>
        <v>SWHC050-03 Ductless Heat Pump_SFm</v>
      </c>
      <c r="F173" s="3" t="s">
        <v>115</v>
      </c>
      <c r="G173" s="3" t="str">
        <f t="shared" si="54"/>
        <v>RE-HV-DHP-17S-replRmAC-ER</v>
      </c>
      <c r="H173" s="3" t="s">
        <v>109</v>
      </c>
      <c r="I173" s="3" t="s">
        <v>110</v>
      </c>
      <c r="J173" s="3" t="s">
        <v>114</v>
      </c>
      <c r="K173" s="3" t="str">
        <f t="shared" si="41"/>
        <v>Pre-RE-HV-RoomAC-9.0E-ERheat</v>
      </c>
      <c r="L173" s="3" t="str">
        <f t="shared" si="42"/>
        <v>Std-RE-HV-RoomAC-9.8E-ERheat</v>
      </c>
      <c r="M173" s="3" t="str">
        <f t="shared" si="43"/>
        <v>Msr-RE-HV-DHP-17S</v>
      </c>
      <c r="N173" s="3" t="str">
        <f t="shared" si="44"/>
        <v>SFm&amp;2&amp;rDXHP&amp;Ex&amp;dxHP_equip__spltHP-SEER-BA&amp;dxAC_equip__RoomAC</v>
      </c>
      <c r="O173" s="3" t="s">
        <v>50</v>
      </c>
      <c r="P173" s="3">
        <v>2</v>
      </c>
      <c r="Q173" s="3" t="s">
        <v>57</v>
      </c>
      <c r="R173" s="3" t="s">
        <v>52</v>
      </c>
      <c r="S173" s="3" t="str">
        <f t="shared" si="55"/>
        <v>Yes</v>
      </c>
      <c r="T173" s="3" t="str">
        <f t="shared" si="56"/>
        <v>dxHP_equip__spltHP-SEER-BA</v>
      </c>
      <c r="U173" s="3" t="str">
        <f t="shared" si="57"/>
        <v>dxAC_equip__RoomAC</v>
      </c>
      <c r="V173" s="3" t="s">
        <v>105</v>
      </c>
      <c r="W173" s="3" t="s">
        <v>106</v>
      </c>
      <c r="X173" s="3" t="s">
        <v>111</v>
      </c>
      <c r="Y173" s="3" t="s">
        <v>112</v>
      </c>
      <c r="AA173" s="3" t="s">
        <v>55</v>
      </c>
      <c r="AB173" s="3" t="s">
        <v>56</v>
      </c>
    </row>
    <row r="174" spans="1:28" s="3" customFormat="1" x14ac:dyDescent="0.25">
      <c r="A174" s="3" t="s">
        <v>100</v>
      </c>
      <c r="B174" s="3" t="s">
        <v>10675</v>
      </c>
      <c r="C174" s="3" t="s">
        <v>10655</v>
      </c>
      <c r="D174" s="3" t="str">
        <f t="shared" si="33"/>
        <v>SWHC050-03 Ductless Heat Pump_DMo</v>
      </c>
      <c r="F174" s="3" t="s">
        <v>115</v>
      </c>
      <c r="G174" s="3" t="str">
        <f t="shared" si="54"/>
        <v>RE-HV-DHP-17S-replRmAC-ER</v>
      </c>
      <c r="H174" s="3" t="s">
        <v>109</v>
      </c>
      <c r="I174" s="3" t="s">
        <v>110</v>
      </c>
      <c r="J174" s="3" t="s">
        <v>114</v>
      </c>
      <c r="K174" s="3" t="str">
        <f t="shared" si="41"/>
        <v>Pre-RE-HV-RoomAC-9.0E-ERheat</v>
      </c>
      <c r="L174" s="3" t="str">
        <f t="shared" si="42"/>
        <v>Std-RE-HV-RoomAC-9.8E-ERheat</v>
      </c>
      <c r="M174" s="3" t="str">
        <f t="shared" si="43"/>
        <v>Msr-RE-HV-DHP-17S</v>
      </c>
      <c r="N174" s="3" t="str">
        <f t="shared" si="44"/>
        <v>DMo&amp;0&amp;rDXHP&amp;Ex&amp;dxHP_equip__spltHP-SEER-BA&amp;dxAC_equip__RoomAC</v>
      </c>
      <c r="O174" s="3" t="s">
        <v>62</v>
      </c>
      <c r="P174" s="3">
        <v>0</v>
      </c>
      <c r="Q174" s="3" t="s">
        <v>57</v>
      </c>
      <c r="R174" s="3" t="s">
        <v>52</v>
      </c>
      <c r="S174" s="3" t="str">
        <f t="shared" si="55"/>
        <v>Yes</v>
      </c>
      <c r="T174" s="3" t="str">
        <f t="shared" si="56"/>
        <v>dxHP_equip__spltHP-SEER-BA</v>
      </c>
      <c r="U174" s="3" t="str">
        <f t="shared" si="57"/>
        <v>dxAC_equip__RoomAC</v>
      </c>
      <c r="V174" s="3" t="s">
        <v>105</v>
      </c>
      <c r="W174" s="3" t="s">
        <v>106</v>
      </c>
      <c r="X174" s="3" t="s">
        <v>111</v>
      </c>
      <c r="Y174" s="3" t="s">
        <v>112</v>
      </c>
      <c r="AA174" s="3" t="s">
        <v>55</v>
      </c>
      <c r="AB174" s="3" t="s">
        <v>56</v>
      </c>
    </row>
    <row r="175" spans="1:28" s="3" customFormat="1" x14ac:dyDescent="0.25">
      <c r="A175" s="3" t="s">
        <v>100</v>
      </c>
      <c r="B175" s="3" t="s">
        <v>10675</v>
      </c>
      <c r="C175" s="3" t="s">
        <v>10655</v>
      </c>
      <c r="D175" s="3" t="str">
        <f t="shared" si="33"/>
        <v>SWHC050-03 Ductless Heat Pump_MFm</v>
      </c>
      <c r="F175" s="3" t="s">
        <v>115</v>
      </c>
      <c r="G175" s="3" t="str">
        <f t="shared" si="54"/>
        <v>RE-HV-DHP-17S-replRmAC-ER</v>
      </c>
      <c r="H175" s="3" t="s">
        <v>109</v>
      </c>
      <c r="I175" s="3" t="s">
        <v>110</v>
      </c>
      <c r="J175" s="3" t="s">
        <v>114</v>
      </c>
      <c r="K175" s="3" t="str">
        <f t="shared" si="41"/>
        <v>Pre-RE-HV-RoomAC-9.0E-ERheat</v>
      </c>
      <c r="L175" s="3" t="str">
        <f t="shared" si="42"/>
        <v>Std-RE-HV-RoomAC-9.8E-ERheat</v>
      </c>
      <c r="M175" s="3" t="str">
        <f t="shared" si="43"/>
        <v>Msr-RE-HV-DHP-17S</v>
      </c>
      <c r="N175" s="3" t="str">
        <f t="shared" si="44"/>
        <v>MFm&amp;0&amp;rDXHP&amp;Ex&amp;dxHP_equip__spltHP-SEER-BA&amp;dxAC_equip__RoomAC</v>
      </c>
      <c r="O175" s="3" t="s">
        <v>63</v>
      </c>
      <c r="P175" s="3">
        <v>0</v>
      </c>
      <c r="Q175" s="3" t="s">
        <v>57</v>
      </c>
      <c r="R175" s="3" t="s">
        <v>52</v>
      </c>
      <c r="S175" s="3" t="str">
        <f t="shared" si="55"/>
        <v>Yes</v>
      </c>
      <c r="T175" s="3" t="str">
        <f t="shared" si="56"/>
        <v>dxHP_equip__spltHP-SEER-BA</v>
      </c>
      <c r="U175" s="3" t="str">
        <f t="shared" si="57"/>
        <v>dxAC_equip__RoomAC</v>
      </c>
      <c r="V175" s="3" t="s">
        <v>105</v>
      </c>
      <c r="W175" s="3" t="s">
        <v>106</v>
      </c>
      <c r="X175" s="3" t="s">
        <v>111</v>
      </c>
      <c r="Y175" s="3" t="s">
        <v>112</v>
      </c>
      <c r="AA175" s="3" t="s">
        <v>55</v>
      </c>
      <c r="AB175" s="3" t="s">
        <v>56</v>
      </c>
    </row>
    <row r="176" spans="1:28" s="3" customFormat="1" x14ac:dyDescent="0.25">
      <c r="A176" s="3" t="s">
        <v>100</v>
      </c>
      <c r="B176" s="3" t="s">
        <v>10675</v>
      </c>
      <c r="C176" s="3" t="s">
        <v>10655</v>
      </c>
      <c r="D176" s="3" t="str">
        <f t="shared" si="33"/>
        <v>SWHC050-03 Ductless Heat Pump_SFm</v>
      </c>
      <c r="F176" s="3" t="s">
        <v>116</v>
      </c>
      <c r="G176" s="3" t="str">
        <f t="shared" si="54"/>
        <v>RE-HV-DHP-18S</v>
      </c>
      <c r="H176" s="3" t="s">
        <v>102</v>
      </c>
      <c r="I176" s="3" t="s">
        <v>103</v>
      </c>
      <c r="J176" s="3" t="s">
        <v>117</v>
      </c>
      <c r="K176" s="3" t="str">
        <f t="shared" si="41"/>
        <v>Pre-RE-HV-DHP-13S</v>
      </c>
      <c r="L176" s="3" t="str">
        <f t="shared" si="42"/>
        <v>Std-RE-HV-DHP-15S</v>
      </c>
      <c r="M176" s="3" t="str">
        <f t="shared" si="43"/>
        <v>Msr-RE-HV-DHP-18S</v>
      </c>
      <c r="N176" s="3" t="str">
        <f t="shared" si="44"/>
        <v>SFm&amp;1&amp;rDXHP&amp;Ex&amp;dxHP_equip__spltHP-SEER-BA</v>
      </c>
      <c r="O176" s="3" t="s">
        <v>50</v>
      </c>
      <c r="P176" s="3">
        <v>1</v>
      </c>
      <c r="Q176" s="3" t="s">
        <v>57</v>
      </c>
      <c r="R176" s="3" t="s">
        <v>52</v>
      </c>
      <c r="S176" s="3" t="str">
        <f t="shared" si="55"/>
        <v>No</v>
      </c>
      <c r="T176" s="3" t="str">
        <f t="shared" si="56"/>
        <v>dxHP_equip__spltHP-SEER-BA</v>
      </c>
      <c r="U176" s="3" t="str">
        <f t="shared" si="57"/>
        <v>dxHP_equip__spltHP-SEER-BA</v>
      </c>
      <c r="V176" s="3" t="s">
        <v>105</v>
      </c>
      <c r="W176" s="3" t="s">
        <v>106</v>
      </c>
      <c r="X176" s="3" t="s">
        <v>105</v>
      </c>
      <c r="Y176" s="3" t="s">
        <v>106</v>
      </c>
      <c r="AA176" s="3" t="s">
        <v>55</v>
      </c>
      <c r="AB176" s="3" t="s">
        <v>56</v>
      </c>
    </row>
    <row r="177" spans="1:28" s="3" customFormat="1" x14ac:dyDescent="0.25">
      <c r="A177" s="3" t="s">
        <v>100</v>
      </c>
      <c r="B177" s="3" t="s">
        <v>10675</v>
      </c>
      <c r="C177" s="3" t="s">
        <v>10655</v>
      </c>
      <c r="D177" s="3" t="str">
        <f t="shared" si="33"/>
        <v>SWHC050-03 Ductless Heat Pump_SFm</v>
      </c>
      <c r="F177" s="3" t="s">
        <v>116</v>
      </c>
      <c r="G177" s="3" t="str">
        <f t="shared" si="54"/>
        <v>RE-HV-DHP-18S</v>
      </c>
      <c r="H177" s="3" t="s">
        <v>102</v>
      </c>
      <c r="I177" s="3" t="s">
        <v>103</v>
      </c>
      <c r="J177" s="3" t="s">
        <v>117</v>
      </c>
      <c r="K177" s="3" t="str">
        <f t="shared" si="41"/>
        <v>Pre-RE-HV-DHP-13S</v>
      </c>
      <c r="L177" s="3" t="str">
        <f t="shared" si="42"/>
        <v>Std-RE-HV-DHP-15S</v>
      </c>
      <c r="M177" s="3" t="str">
        <f t="shared" si="43"/>
        <v>Msr-RE-HV-DHP-18S</v>
      </c>
      <c r="N177" s="3" t="str">
        <f t="shared" si="44"/>
        <v>SFm&amp;2&amp;rDXHP&amp;Ex&amp;dxHP_equip__spltHP-SEER-BA</v>
      </c>
      <c r="O177" s="3" t="s">
        <v>50</v>
      </c>
      <c r="P177" s="3">
        <v>2</v>
      </c>
      <c r="Q177" s="3" t="s">
        <v>57</v>
      </c>
      <c r="R177" s="3" t="s">
        <v>52</v>
      </c>
      <c r="S177" s="3" t="str">
        <f t="shared" si="55"/>
        <v>No</v>
      </c>
      <c r="T177" s="3" t="str">
        <f t="shared" si="56"/>
        <v>dxHP_equip__spltHP-SEER-BA</v>
      </c>
      <c r="U177" s="3" t="str">
        <f t="shared" si="57"/>
        <v>dxHP_equip__spltHP-SEER-BA</v>
      </c>
      <c r="V177" s="3" t="s">
        <v>105</v>
      </c>
      <c r="W177" s="3" t="s">
        <v>106</v>
      </c>
      <c r="X177" s="3" t="s">
        <v>105</v>
      </c>
      <c r="Y177" s="3" t="s">
        <v>106</v>
      </c>
      <c r="AA177" s="3" t="s">
        <v>55</v>
      </c>
      <c r="AB177" s="3" t="s">
        <v>56</v>
      </c>
    </row>
    <row r="178" spans="1:28" s="3" customFormat="1" x14ac:dyDescent="0.25">
      <c r="A178" s="3" t="s">
        <v>100</v>
      </c>
      <c r="B178" s="3" t="s">
        <v>10675</v>
      </c>
      <c r="C178" s="3" t="s">
        <v>10655</v>
      </c>
      <c r="D178" s="3" t="str">
        <f t="shared" si="33"/>
        <v>SWHC050-03 Ductless Heat Pump_DMo</v>
      </c>
      <c r="F178" s="3" t="s">
        <v>116</v>
      </c>
      <c r="G178" s="3" t="str">
        <f t="shared" si="54"/>
        <v>RE-HV-DHP-18S</v>
      </c>
      <c r="H178" s="3" t="s">
        <v>102</v>
      </c>
      <c r="I178" s="3" t="s">
        <v>103</v>
      </c>
      <c r="J178" s="3" t="s">
        <v>117</v>
      </c>
      <c r="K178" s="3" t="str">
        <f t="shared" si="41"/>
        <v>Pre-RE-HV-DHP-13S</v>
      </c>
      <c r="L178" s="3" t="str">
        <f t="shared" si="42"/>
        <v>Std-RE-HV-DHP-15S</v>
      </c>
      <c r="M178" s="3" t="str">
        <f t="shared" si="43"/>
        <v>Msr-RE-HV-DHP-18S</v>
      </c>
      <c r="N178" s="3" t="str">
        <f t="shared" si="44"/>
        <v>DMo&amp;0&amp;rDXHP&amp;Ex&amp;dxHP_equip__spltHP-SEER-BA</v>
      </c>
      <c r="O178" s="3" t="s">
        <v>62</v>
      </c>
      <c r="P178" s="3">
        <v>0</v>
      </c>
      <c r="Q178" s="3" t="s">
        <v>57</v>
      </c>
      <c r="R178" s="3" t="s">
        <v>52</v>
      </c>
      <c r="S178" s="3" t="str">
        <f t="shared" si="55"/>
        <v>No</v>
      </c>
      <c r="T178" s="3" t="str">
        <f t="shared" si="56"/>
        <v>dxHP_equip__spltHP-SEER-BA</v>
      </c>
      <c r="U178" s="3" t="str">
        <f t="shared" si="57"/>
        <v>dxHP_equip__spltHP-SEER-BA</v>
      </c>
      <c r="V178" s="3" t="s">
        <v>105</v>
      </c>
      <c r="W178" s="3" t="s">
        <v>106</v>
      </c>
      <c r="X178" s="3" t="s">
        <v>105</v>
      </c>
      <c r="Y178" s="3" t="s">
        <v>106</v>
      </c>
      <c r="AA178" s="3" t="s">
        <v>55</v>
      </c>
      <c r="AB178" s="3" t="s">
        <v>56</v>
      </c>
    </row>
    <row r="179" spans="1:28" s="3" customFormat="1" x14ac:dyDescent="0.25">
      <c r="A179" s="3" t="s">
        <v>100</v>
      </c>
      <c r="B179" s="3" t="s">
        <v>10675</v>
      </c>
      <c r="C179" s="3" t="s">
        <v>10655</v>
      </c>
      <c r="D179" s="3" t="str">
        <f t="shared" si="33"/>
        <v>SWHC050-03 Ductless Heat Pump_MFm</v>
      </c>
      <c r="F179" s="3" t="s">
        <v>116</v>
      </c>
      <c r="G179" s="3" t="str">
        <f t="shared" si="54"/>
        <v>RE-HV-DHP-18S</v>
      </c>
      <c r="H179" s="3" t="s">
        <v>102</v>
      </c>
      <c r="I179" s="3" t="s">
        <v>103</v>
      </c>
      <c r="J179" s="3" t="s">
        <v>117</v>
      </c>
      <c r="K179" s="3" t="str">
        <f t="shared" si="41"/>
        <v>Pre-RE-HV-DHP-13S</v>
      </c>
      <c r="L179" s="3" t="str">
        <f t="shared" si="42"/>
        <v>Std-RE-HV-DHP-15S</v>
      </c>
      <c r="M179" s="3" t="str">
        <f t="shared" si="43"/>
        <v>Msr-RE-HV-DHP-18S</v>
      </c>
      <c r="N179" s="3" t="str">
        <f t="shared" si="44"/>
        <v>MFm&amp;0&amp;rDXHP&amp;Ex&amp;dxHP_equip__spltHP-SEER-BA</v>
      </c>
      <c r="O179" s="3" t="s">
        <v>63</v>
      </c>
      <c r="P179" s="3">
        <v>0</v>
      </c>
      <c r="Q179" s="3" t="s">
        <v>57</v>
      </c>
      <c r="R179" s="3" t="s">
        <v>52</v>
      </c>
      <c r="S179" s="3" t="str">
        <f t="shared" si="55"/>
        <v>No</v>
      </c>
      <c r="T179" s="3" t="str">
        <f t="shared" si="56"/>
        <v>dxHP_equip__spltHP-SEER-BA</v>
      </c>
      <c r="U179" s="3" t="str">
        <f t="shared" si="57"/>
        <v>dxHP_equip__spltHP-SEER-BA</v>
      </c>
      <c r="V179" s="3" t="s">
        <v>105</v>
      </c>
      <c r="W179" s="3" t="s">
        <v>106</v>
      </c>
      <c r="X179" s="3" t="s">
        <v>105</v>
      </c>
      <c r="Y179" s="3" t="s">
        <v>106</v>
      </c>
      <c r="AA179" s="3" t="s">
        <v>55</v>
      </c>
      <c r="AB179" s="3" t="s">
        <v>56</v>
      </c>
    </row>
    <row r="180" spans="1:28" s="3" customFormat="1" x14ac:dyDescent="0.25">
      <c r="A180" s="3" t="s">
        <v>100</v>
      </c>
      <c r="B180" s="3" t="s">
        <v>10675</v>
      </c>
      <c r="C180" s="3" t="s">
        <v>10655</v>
      </c>
      <c r="D180" s="3" t="str">
        <f t="shared" si="33"/>
        <v>SWHC050-03 Ductless Heat Pump_SFm</v>
      </c>
      <c r="F180" s="3" t="s">
        <v>116</v>
      </c>
      <c r="G180" s="3" t="str">
        <f t="shared" ref="G180:G243" si="58">F180</f>
        <v>RE-HV-DHP-18S</v>
      </c>
      <c r="H180" s="3" t="s">
        <v>102</v>
      </c>
      <c r="I180" s="3" t="s">
        <v>103</v>
      </c>
      <c r="J180" s="3" t="s">
        <v>117</v>
      </c>
      <c r="K180" s="3" t="str">
        <f t="shared" si="41"/>
        <v>Pre-RE-HV-DHP-13S</v>
      </c>
      <c r="L180" s="3" t="str">
        <f t="shared" si="42"/>
        <v>Std-RE-HV-DHP-15S</v>
      </c>
      <c r="M180" s="3" t="str">
        <f t="shared" si="43"/>
        <v>Msr-RE-HV-DHP-18S</v>
      </c>
      <c r="N180" s="3" t="str">
        <f t="shared" si="44"/>
        <v>SFm&amp;1&amp;rDXHP&amp;New&amp;dxHP_equip__spltHP-SEER-BA</v>
      </c>
      <c r="O180" s="3" t="s">
        <v>50</v>
      </c>
      <c r="P180" s="3">
        <v>1</v>
      </c>
      <c r="Q180" s="3" t="s">
        <v>57</v>
      </c>
      <c r="R180" s="3" t="s">
        <v>107</v>
      </c>
      <c r="S180" s="3" t="str">
        <f t="shared" si="55"/>
        <v>No</v>
      </c>
      <c r="T180" s="3" t="str">
        <f t="shared" si="56"/>
        <v>dxHP_equip__spltHP-SEER-BA</v>
      </c>
      <c r="U180" s="3" t="str">
        <f t="shared" si="57"/>
        <v>dxHP_equip__spltHP-SEER-BA</v>
      </c>
      <c r="V180" s="3" t="s">
        <v>105</v>
      </c>
      <c r="W180" s="3" t="s">
        <v>106</v>
      </c>
      <c r="X180" s="3" t="s">
        <v>105</v>
      </c>
      <c r="Y180" s="3" t="s">
        <v>106</v>
      </c>
      <c r="AA180" s="3" t="s">
        <v>55</v>
      </c>
      <c r="AB180" s="3" t="s">
        <v>56</v>
      </c>
    </row>
    <row r="181" spans="1:28" s="3" customFormat="1" x14ac:dyDescent="0.25">
      <c r="A181" s="3" t="s">
        <v>100</v>
      </c>
      <c r="B181" s="3" t="s">
        <v>10675</v>
      </c>
      <c r="C181" s="3" t="s">
        <v>10655</v>
      </c>
      <c r="D181" s="3" t="str">
        <f t="shared" si="33"/>
        <v>SWHC050-03 Ductless Heat Pump_SFm</v>
      </c>
      <c r="F181" s="3" t="s">
        <v>116</v>
      </c>
      <c r="G181" s="3" t="str">
        <f t="shared" si="58"/>
        <v>RE-HV-DHP-18S</v>
      </c>
      <c r="H181" s="3" t="s">
        <v>102</v>
      </c>
      <c r="I181" s="3" t="s">
        <v>103</v>
      </c>
      <c r="J181" s="3" t="s">
        <v>117</v>
      </c>
      <c r="K181" s="3" t="str">
        <f t="shared" si="41"/>
        <v>Pre-RE-HV-DHP-13S</v>
      </c>
      <c r="L181" s="3" t="str">
        <f t="shared" si="42"/>
        <v>Std-RE-HV-DHP-15S</v>
      </c>
      <c r="M181" s="3" t="str">
        <f t="shared" si="43"/>
        <v>Msr-RE-HV-DHP-18S</v>
      </c>
      <c r="N181" s="3" t="str">
        <f t="shared" si="44"/>
        <v>SFm&amp;2&amp;rDXHP&amp;New&amp;dxHP_equip__spltHP-SEER-BA</v>
      </c>
      <c r="O181" s="3" t="s">
        <v>50</v>
      </c>
      <c r="P181" s="3">
        <v>2</v>
      </c>
      <c r="Q181" s="3" t="s">
        <v>57</v>
      </c>
      <c r="R181" s="3" t="s">
        <v>107</v>
      </c>
      <c r="S181" s="3" t="str">
        <f t="shared" si="55"/>
        <v>No</v>
      </c>
      <c r="T181" s="3" t="str">
        <f t="shared" si="56"/>
        <v>dxHP_equip__spltHP-SEER-BA</v>
      </c>
      <c r="U181" s="3" t="str">
        <f t="shared" si="57"/>
        <v>dxHP_equip__spltHP-SEER-BA</v>
      </c>
      <c r="V181" s="3" t="s">
        <v>105</v>
      </c>
      <c r="W181" s="3" t="s">
        <v>106</v>
      </c>
      <c r="X181" s="3" t="s">
        <v>105</v>
      </c>
      <c r="Y181" s="3" t="s">
        <v>106</v>
      </c>
      <c r="AA181" s="3" t="s">
        <v>55</v>
      </c>
      <c r="AB181" s="3" t="s">
        <v>56</v>
      </c>
    </row>
    <row r="182" spans="1:28" s="3" customFormat="1" x14ac:dyDescent="0.25">
      <c r="A182" s="3" t="s">
        <v>100</v>
      </c>
      <c r="B182" s="3" t="s">
        <v>10675</v>
      </c>
      <c r="C182" s="3" t="s">
        <v>10655</v>
      </c>
      <c r="D182" s="3" t="str">
        <f t="shared" si="33"/>
        <v>SWHC050-03 Ductless Heat Pump_DMo</v>
      </c>
      <c r="F182" s="3" t="s">
        <v>116</v>
      </c>
      <c r="G182" s="3" t="str">
        <f t="shared" si="58"/>
        <v>RE-HV-DHP-18S</v>
      </c>
      <c r="H182" s="3" t="s">
        <v>102</v>
      </c>
      <c r="I182" s="3" t="s">
        <v>103</v>
      </c>
      <c r="J182" s="3" t="s">
        <v>117</v>
      </c>
      <c r="K182" s="3" t="str">
        <f t="shared" si="41"/>
        <v>Pre-RE-HV-DHP-13S</v>
      </c>
      <c r="L182" s="3" t="str">
        <f t="shared" si="42"/>
        <v>Std-RE-HV-DHP-15S</v>
      </c>
      <c r="M182" s="3" t="str">
        <f t="shared" si="43"/>
        <v>Msr-RE-HV-DHP-18S</v>
      </c>
      <c r="N182" s="3" t="str">
        <f t="shared" si="44"/>
        <v>DMo&amp;0&amp;rDXHP&amp;New&amp;dxHP_equip__spltHP-SEER-BA</v>
      </c>
      <c r="O182" s="3" t="s">
        <v>62</v>
      </c>
      <c r="P182" s="3">
        <v>0</v>
      </c>
      <c r="Q182" s="3" t="s">
        <v>57</v>
      </c>
      <c r="R182" s="3" t="s">
        <v>107</v>
      </c>
      <c r="S182" s="3" t="str">
        <f t="shared" si="55"/>
        <v>No</v>
      </c>
      <c r="T182" s="3" t="str">
        <f t="shared" si="56"/>
        <v>dxHP_equip__spltHP-SEER-BA</v>
      </c>
      <c r="U182" s="3" t="str">
        <f t="shared" si="57"/>
        <v>dxHP_equip__spltHP-SEER-BA</v>
      </c>
      <c r="V182" s="3" t="s">
        <v>105</v>
      </c>
      <c r="W182" s="3" t="s">
        <v>106</v>
      </c>
      <c r="X182" s="3" t="s">
        <v>105</v>
      </c>
      <c r="Y182" s="3" t="s">
        <v>106</v>
      </c>
      <c r="AA182" s="3" t="s">
        <v>55</v>
      </c>
      <c r="AB182" s="3" t="s">
        <v>56</v>
      </c>
    </row>
    <row r="183" spans="1:28" s="3" customFormat="1" x14ac:dyDescent="0.25">
      <c r="A183" s="3" t="s">
        <v>100</v>
      </c>
      <c r="B183" s="3" t="s">
        <v>10675</v>
      </c>
      <c r="C183" s="3" t="s">
        <v>10655</v>
      </c>
      <c r="D183" s="3" t="str">
        <f t="shared" si="33"/>
        <v>SWHC050-03 Ductless Heat Pump_MFm</v>
      </c>
      <c r="F183" s="3" t="s">
        <v>116</v>
      </c>
      <c r="G183" s="3" t="str">
        <f t="shared" si="58"/>
        <v>RE-HV-DHP-18S</v>
      </c>
      <c r="H183" s="3" t="s">
        <v>102</v>
      </c>
      <c r="I183" s="3" t="s">
        <v>103</v>
      </c>
      <c r="J183" s="3" t="s">
        <v>117</v>
      </c>
      <c r="K183" s="3" t="str">
        <f t="shared" si="41"/>
        <v>Pre-RE-HV-DHP-13S</v>
      </c>
      <c r="L183" s="3" t="str">
        <f t="shared" si="42"/>
        <v>Std-RE-HV-DHP-15S</v>
      </c>
      <c r="M183" s="3" t="str">
        <f t="shared" si="43"/>
        <v>Msr-RE-HV-DHP-18S</v>
      </c>
      <c r="N183" s="3" t="str">
        <f t="shared" si="44"/>
        <v>MFm&amp;0&amp;rDXHP&amp;New&amp;dxHP_equip__spltHP-SEER-BA</v>
      </c>
      <c r="O183" s="3" t="s">
        <v>63</v>
      </c>
      <c r="P183" s="3">
        <v>0</v>
      </c>
      <c r="Q183" s="3" t="s">
        <v>57</v>
      </c>
      <c r="R183" s="3" t="s">
        <v>107</v>
      </c>
      <c r="S183" s="3" t="str">
        <f t="shared" si="55"/>
        <v>No</v>
      </c>
      <c r="T183" s="3" t="str">
        <f t="shared" si="56"/>
        <v>dxHP_equip__spltHP-SEER-BA</v>
      </c>
      <c r="U183" s="3" t="str">
        <f t="shared" si="57"/>
        <v>dxHP_equip__spltHP-SEER-BA</v>
      </c>
      <c r="V183" s="3" t="s">
        <v>105</v>
      </c>
      <c r="W183" s="3" t="s">
        <v>106</v>
      </c>
      <c r="X183" s="3" t="s">
        <v>105</v>
      </c>
      <c r="Y183" s="3" t="s">
        <v>106</v>
      </c>
      <c r="AA183" s="3" t="s">
        <v>55</v>
      </c>
      <c r="AB183" s="3" t="s">
        <v>56</v>
      </c>
    </row>
    <row r="184" spans="1:28" s="3" customFormat="1" x14ac:dyDescent="0.25">
      <c r="A184" s="3" t="s">
        <v>100</v>
      </c>
      <c r="B184" s="3" t="s">
        <v>10675</v>
      </c>
      <c r="C184" s="3" t="s">
        <v>10655</v>
      </c>
      <c r="D184" s="3" t="str">
        <f t="shared" si="33"/>
        <v>SWHC050-03 Ductless Heat Pump_SFm</v>
      </c>
      <c r="F184" s="3" t="s">
        <v>118</v>
      </c>
      <c r="G184" s="3" t="str">
        <f t="shared" si="58"/>
        <v>RE-HV-DHP-18S-replRmAC-ER</v>
      </c>
      <c r="H184" s="3" t="s">
        <v>109</v>
      </c>
      <c r="I184" s="3" t="s">
        <v>110</v>
      </c>
      <c r="J184" s="3" t="s">
        <v>117</v>
      </c>
      <c r="K184" s="3" t="str">
        <f t="shared" si="41"/>
        <v>Pre-RE-HV-RoomAC-9.0E-ERheat</v>
      </c>
      <c r="L184" s="3" t="str">
        <f t="shared" si="42"/>
        <v>Std-RE-HV-RoomAC-9.8E-ERheat</v>
      </c>
      <c r="M184" s="3" t="str">
        <f t="shared" si="43"/>
        <v>Msr-RE-HV-DHP-18S</v>
      </c>
      <c r="N184" s="3" t="str">
        <f t="shared" si="44"/>
        <v>SFm&amp;1&amp;rDXHP&amp;Ex&amp;dxHP_equip__spltHP-SEER-BA&amp;dxAC_equip__RoomAC</v>
      </c>
      <c r="O184" s="3" t="s">
        <v>50</v>
      </c>
      <c r="P184" s="3">
        <v>1</v>
      </c>
      <c r="Q184" s="3" t="s">
        <v>57</v>
      </c>
      <c r="R184" s="3" t="s">
        <v>52</v>
      </c>
      <c r="S184" s="3" t="str">
        <f t="shared" ref="S184:S195" si="59">IF(T184=U184, "No", "Yes")</f>
        <v>Yes</v>
      </c>
      <c r="T184" s="3" t="str">
        <f t="shared" ref="T184:T195" si="60">V184&amp;"__"&amp;W184</f>
        <v>dxHP_equip__spltHP-SEER-BA</v>
      </c>
      <c r="U184" s="3" t="str">
        <f t="shared" ref="U184:U195" si="61">X184&amp;"__"&amp;Y184</f>
        <v>dxAC_equip__RoomAC</v>
      </c>
      <c r="V184" s="3" t="s">
        <v>105</v>
      </c>
      <c r="W184" s="3" t="s">
        <v>106</v>
      </c>
      <c r="X184" s="3" t="s">
        <v>111</v>
      </c>
      <c r="Y184" s="3" t="s">
        <v>112</v>
      </c>
      <c r="AA184" s="3" t="s">
        <v>55</v>
      </c>
      <c r="AB184" s="3" t="s">
        <v>56</v>
      </c>
    </row>
    <row r="185" spans="1:28" s="3" customFormat="1" x14ac:dyDescent="0.25">
      <c r="A185" s="3" t="s">
        <v>100</v>
      </c>
      <c r="B185" s="3" t="s">
        <v>10675</v>
      </c>
      <c r="C185" s="3" t="s">
        <v>10655</v>
      </c>
      <c r="D185" s="3" t="str">
        <f t="shared" si="33"/>
        <v>SWHC050-03 Ductless Heat Pump_SFm</v>
      </c>
      <c r="F185" s="3" t="s">
        <v>118</v>
      </c>
      <c r="G185" s="3" t="str">
        <f t="shared" si="58"/>
        <v>RE-HV-DHP-18S-replRmAC-ER</v>
      </c>
      <c r="H185" s="3" t="s">
        <v>109</v>
      </c>
      <c r="I185" s="3" t="s">
        <v>110</v>
      </c>
      <c r="J185" s="3" t="s">
        <v>117</v>
      </c>
      <c r="K185" s="3" t="str">
        <f t="shared" si="41"/>
        <v>Pre-RE-HV-RoomAC-9.0E-ERheat</v>
      </c>
      <c r="L185" s="3" t="str">
        <f t="shared" si="42"/>
        <v>Std-RE-HV-RoomAC-9.8E-ERheat</v>
      </c>
      <c r="M185" s="3" t="str">
        <f t="shared" si="43"/>
        <v>Msr-RE-HV-DHP-18S</v>
      </c>
      <c r="N185" s="3" t="str">
        <f t="shared" si="44"/>
        <v>SFm&amp;2&amp;rDXHP&amp;Ex&amp;dxHP_equip__spltHP-SEER-BA&amp;dxAC_equip__RoomAC</v>
      </c>
      <c r="O185" s="3" t="s">
        <v>50</v>
      </c>
      <c r="P185" s="3">
        <v>2</v>
      </c>
      <c r="Q185" s="3" t="s">
        <v>57</v>
      </c>
      <c r="R185" s="3" t="s">
        <v>52</v>
      </c>
      <c r="S185" s="3" t="str">
        <f t="shared" si="59"/>
        <v>Yes</v>
      </c>
      <c r="T185" s="3" t="str">
        <f t="shared" si="60"/>
        <v>dxHP_equip__spltHP-SEER-BA</v>
      </c>
      <c r="U185" s="3" t="str">
        <f t="shared" si="61"/>
        <v>dxAC_equip__RoomAC</v>
      </c>
      <c r="V185" s="3" t="s">
        <v>105</v>
      </c>
      <c r="W185" s="3" t="s">
        <v>106</v>
      </c>
      <c r="X185" s="3" t="s">
        <v>111</v>
      </c>
      <c r="Y185" s="3" t="s">
        <v>112</v>
      </c>
      <c r="AA185" s="3" t="s">
        <v>55</v>
      </c>
      <c r="AB185" s="3" t="s">
        <v>56</v>
      </c>
    </row>
    <row r="186" spans="1:28" s="3" customFormat="1" x14ac:dyDescent="0.25">
      <c r="A186" s="3" t="s">
        <v>100</v>
      </c>
      <c r="B186" s="3" t="s">
        <v>10675</v>
      </c>
      <c r="C186" s="3" t="s">
        <v>10655</v>
      </c>
      <c r="D186" s="3" t="str">
        <f t="shared" si="33"/>
        <v>SWHC050-03 Ductless Heat Pump_DMo</v>
      </c>
      <c r="F186" s="3" t="s">
        <v>118</v>
      </c>
      <c r="G186" s="3" t="str">
        <f t="shared" si="58"/>
        <v>RE-HV-DHP-18S-replRmAC-ER</v>
      </c>
      <c r="H186" s="3" t="s">
        <v>109</v>
      </c>
      <c r="I186" s="3" t="s">
        <v>110</v>
      </c>
      <c r="J186" s="3" t="s">
        <v>117</v>
      </c>
      <c r="K186" s="3" t="str">
        <f t="shared" si="41"/>
        <v>Pre-RE-HV-RoomAC-9.0E-ERheat</v>
      </c>
      <c r="L186" s="3" t="str">
        <f t="shared" si="42"/>
        <v>Std-RE-HV-RoomAC-9.8E-ERheat</v>
      </c>
      <c r="M186" s="3" t="str">
        <f t="shared" si="43"/>
        <v>Msr-RE-HV-DHP-18S</v>
      </c>
      <c r="N186" s="3" t="str">
        <f t="shared" si="44"/>
        <v>DMo&amp;0&amp;rDXHP&amp;Ex&amp;dxHP_equip__spltHP-SEER-BA&amp;dxAC_equip__RoomAC</v>
      </c>
      <c r="O186" s="3" t="s">
        <v>62</v>
      </c>
      <c r="P186" s="3">
        <v>0</v>
      </c>
      <c r="Q186" s="3" t="s">
        <v>57</v>
      </c>
      <c r="R186" s="3" t="s">
        <v>52</v>
      </c>
      <c r="S186" s="3" t="str">
        <f t="shared" si="59"/>
        <v>Yes</v>
      </c>
      <c r="T186" s="3" t="str">
        <f t="shared" si="60"/>
        <v>dxHP_equip__spltHP-SEER-BA</v>
      </c>
      <c r="U186" s="3" t="str">
        <f t="shared" si="61"/>
        <v>dxAC_equip__RoomAC</v>
      </c>
      <c r="V186" s="3" t="s">
        <v>105</v>
      </c>
      <c r="W186" s="3" t="s">
        <v>106</v>
      </c>
      <c r="X186" s="3" t="s">
        <v>111</v>
      </c>
      <c r="Y186" s="3" t="s">
        <v>112</v>
      </c>
      <c r="AA186" s="3" t="s">
        <v>55</v>
      </c>
      <c r="AB186" s="3" t="s">
        <v>56</v>
      </c>
    </row>
    <row r="187" spans="1:28" s="3" customFormat="1" x14ac:dyDescent="0.25">
      <c r="A187" s="3" t="s">
        <v>100</v>
      </c>
      <c r="B187" s="3" t="s">
        <v>10675</v>
      </c>
      <c r="C187" s="3" t="s">
        <v>10655</v>
      </c>
      <c r="D187" s="3" t="str">
        <f t="shared" si="33"/>
        <v>SWHC050-03 Ductless Heat Pump_MFm</v>
      </c>
      <c r="F187" s="3" t="s">
        <v>118</v>
      </c>
      <c r="G187" s="3" t="str">
        <f t="shared" si="58"/>
        <v>RE-HV-DHP-18S-replRmAC-ER</v>
      </c>
      <c r="H187" s="3" t="s">
        <v>109</v>
      </c>
      <c r="I187" s="3" t="s">
        <v>110</v>
      </c>
      <c r="J187" s="3" t="s">
        <v>117</v>
      </c>
      <c r="K187" s="3" t="str">
        <f t="shared" si="41"/>
        <v>Pre-RE-HV-RoomAC-9.0E-ERheat</v>
      </c>
      <c r="L187" s="3" t="str">
        <f t="shared" si="42"/>
        <v>Std-RE-HV-RoomAC-9.8E-ERheat</v>
      </c>
      <c r="M187" s="3" t="str">
        <f t="shared" si="43"/>
        <v>Msr-RE-HV-DHP-18S</v>
      </c>
      <c r="N187" s="3" t="str">
        <f t="shared" si="44"/>
        <v>MFm&amp;0&amp;rDXHP&amp;Ex&amp;dxHP_equip__spltHP-SEER-BA&amp;dxAC_equip__RoomAC</v>
      </c>
      <c r="O187" s="3" t="s">
        <v>63</v>
      </c>
      <c r="P187" s="3">
        <v>0</v>
      </c>
      <c r="Q187" s="3" t="s">
        <v>57</v>
      </c>
      <c r="R187" s="3" t="s">
        <v>52</v>
      </c>
      <c r="S187" s="3" t="str">
        <f t="shared" si="59"/>
        <v>Yes</v>
      </c>
      <c r="T187" s="3" t="str">
        <f t="shared" si="60"/>
        <v>dxHP_equip__spltHP-SEER-BA</v>
      </c>
      <c r="U187" s="3" t="str">
        <f t="shared" si="61"/>
        <v>dxAC_equip__RoomAC</v>
      </c>
      <c r="V187" s="3" t="s">
        <v>105</v>
      </c>
      <c r="W187" s="3" t="s">
        <v>106</v>
      </c>
      <c r="X187" s="3" t="s">
        <v>111</v>
      </c>
      <c r="Y187" s="3" t="s">
        <v>112</v>
      </c>
      <c r="AA187" s="3" t="s">
        <v>55</v>
      </c>
      <c r="AB187" s="3" t="s">
        <v>56</v>
      </c>
    </row>
    <row r="188" spans="1:28" s="3" customFormat="1" x14ac:dyDescent="0.25">
      <c r="A188" s="3" t="s">
        <v>100</v>
      </c>
      <c r="B188" s="3" t="s">
        <v>10675</v>
      </c>
      <c r="C188" s="3" t="s">
        <v>10655</v>
      </c>
      <c r="D188" s="3" t="str">
        <f t="shared" si="33"/>
        <v>SWHC050-03 Ductless Heat Pump_SFm</v>
      </c>
      <c r="F188" s="3" t="s">
        <v>119</v>
      </c>
      <c r="G188" s="3" t="str">
        <f t="shared" si="58"/>
        <v>RE-HV-DHP-19S</v>
      </c>
      <c r="H188" s="3" t="s">
        <v>102</v>
      </c>
      <c r="I188" s="3" t="s">
        <v>103</v>
      </c>
      <c r="J188" s="3" t="s">
        <v>120</v>
      </c>
      <c r="K188" s="3" t="str">
        <f t="shared" si="41"/>
        <v>Pre-RE-HV-DHP-13S</v>
      </c>
      <c r="L188" s="3" t="str">
        <f t="shared" si="42"/>
        <v>Std-RE-HV-DHP-15S</v>
      </c>
      <c r="M188" s="3" t="str">
        <f t="shared" si="43"/>
        <v>Msr-RE-HV-DHP-19S</v>
      </c>
      <c r="N188" s="3" t="str">
        <f t="shared" si="44"/>
        <v>SFm&amp;1&amp;rDXHP&amp;Ex&amp;dxHP_equip__spltHP-SEER-BA</v>
      </c>
      <c r="O188" s="3" t="s">
        <v>50</v>
      </c>
      <c r="P188" s="3">
        <v>1</v>
      </c>
      <c r="Q188" s="3" t="s">
        <v>57</v>
      </c>
      <c r="R188" s="3" t="s">
        <v>52</v>
      </c>
      <c r="S188" s="3" t="str">
        <f t="shared" si="59"/>
        <v>No</v>
      </c>
      <c r="T188" s="3" t="str">
        <f t="shared" si="60"/>
        <v>dxHP_equip__spltHP-SEER-BA</v>
      </c>
      <c r="U188" s="3" t="str">
        <f t="shared" si="61"/>
        <v>dxHP_equip__spltHP-SEER-BA</v>
      </c>
      <c r="V188" s="3" t="s">
        <v>105</v>
      </c>
      <c r="W188" s="3" t="s">
        <v>106</v>
      </c>
      <c r="X188" s="3" t="s">
        <v>105</v>
      </c>
      <c r="Y188" s="3" t="s">
        <v>106</v>
      </c>
      <c r="AA188" s="3" t="s">
        <v>55</v>
      </c>
      <c r="AB188" s="3" t="s">
        <v>56</v>
      </c>
    </row>
    <row r="189" spans="1:28" s="3" customFormat="1" x14ac:dyDescent="0.25">
      <c r="A189" s="3" t="s">
        <v>100</v>
      </c>
      <c r="B189" s="3" t="s">
        <v>10675</v>
      </c>
      <c r="C189" s="3" t="s">
        <v>10655</v>
      </c>
      <c r="D189" s="3" t="str">
        <f t="shared" si="33"/>
        <v>SWHC050-03 Ductless Heat Pump_SFm</v>
      </c>
      <c r="F189" s="3" t="s">
        <v>119</v>
      </c>
      <c r="G189" s="3" t="str">
        <f t="shared" si="58"/>
        <v>RE-HV-DHP-19S</v>
      </c>
      <c r="H189" s="3" t="s">
        <v>102</v>
      </c>
      <c r="I189" s="3" t="s">
        <v>103</v>
      </c>
      <c r="J189" s="3" t="s">
        <v>120</v>
      </c>
      <c r="K189" s="3" t="str">
        <f t="shared" si="41"/>
        <v>Pre-RE-HV-DHP-13S</v>
      </c>
      <c r="L189" s="3" t="str">
        <f t="shared" si="42"/>
        <v>Std-RE-HV-DHP-15S</v>
      </c>
      <c r="M189" s="3" t="str">
        <f t="shared" si="43"/>
        <v>Msr-RE-HV-DHP-19S</v>
      </c>
      <c r="N189" s="3" t="str">
        <f t="shared" si="44"/>
        <v>SFm&amp;2&amp;rDXHP&amp;Ex&amp;dxHP_equip__spltHP-SEER-BA</v>
      </c>
      <c r="O189" s="3" t="s">
        <v>50</v>
      </c>
      <c r="P189" s="3">
        <v>2</v>
      </c>
      <c r="Q189" s="3" t="s">
        <v>57</v>
      </c>
      <c r="R189" s="3" t="s">
        <v>52</v>
      </c>
      <c r="S189" s="3" t="str">
        <f t="shared" si="59"/>
        <v>No</v>
      </c>
      <c r="T189" s="3" t="str">
        <f t="shared" si="60"/>
        <v>dxHP_equip__spltHP-SEER-BA</v>
      </c>
      <c r="U189" s="3" t="str">
        <f t="shared" si="61"/>
        <v>dxHP_equip__spltHP-SEER-BA</v>
      </c>
      <c r="V189" s="3" t="s">
        <v>105</v>
      </c>
      <c r="W189" s="3" t="s">
        <v>106</v>
      </c>
      <c r="X189" s="3" t="s">
        <v>105</v>
      </c>
      <c r="Y189" s="3" t="s">
        <v>106</v>
      </c>
      <c r="AA189" s="3" t="s">
        <v>55</v>
      </c>
      <c r="AB189" s="3" t="s">
        <v>56</v>
      </c>
    </row>
    <row r="190" spans="1:28" s="3" customFormat="1" x14ac:dyDescent="0.25">
      <c r="A190" s="3" t="s">
        <v>100</v>
      </c>
      <c r="B190" s="3" t="s">
        <v>10675</v>
      </c>
      <c r="C190" s="3" t="s">
        <v>10655</v>
      </c>
      <c r="D190" s="3" t="str">
        <f t="shared" si="33"/>
        <v>SWHC050-03 Ductless Heat Pump_DMo</v>
      </c>
      <c r="F190" s="3" t="s">
        <v>119</v>
      </c>
      <c r="G190" s="3" t="str">
        <f t="shared" si="58"/>
        <v>RE-HV-DHP-19S</v>
      </c>
      <c r="H190" s="3" t="s">
        <v>102</v>
      </c>
      <c r="I190" s="3" t="s">
        <v>103</v>
      </c>
      <c r="J190" s="3" t="s">
        <v>120</v>
      </c>
      <c r="K190" s="3" t="str">
        <f t="shared" si="41"/>
        <v>Pre-RE-HV-DHP-13S</v>
      </c>
      <c r="L190" s="3" t="str">
        <f t="shared" si="42"/>
        <v>Std-RE-HV-DHP-15S</v>
      </c>
      <c r="M190" s="3" t="str">
        <f t="shared" si="43"/>
        <v>Msr-RE-HV-DHP-19S</v>
      </c>
      <c r="N190" s="3" t="str">
        <f t="shared" si="44"/>
        <v>DMo&amp;0&amp;rDXHP&amp;Ex&amp;dxHP_equip__spltHP-SEER-BA</v>
      </c>
      <c r="O190" s="3" t="s">
        <v>62</v>
      </c>
      <c r="P190" s="3">
        <v>0</v>
      </c>
      <c r="Q190" s="3" t="s">
        <v>57</v>
      </c>
      <c r="R190" s="3" t="s">
        <v>52</v>
      </c>
      <c r="S190" s="3" t="str">
        <f t="shared" si="59"/>
        <v>No</v>
      </c>
      <c r="T190" s="3" t="str">
        <f t="shared" si="60"/>
        <v>dxHP_equip__spltHP-SEER-BA</v>
      </c>
      <c r="U190" s="3" t="str">
        <f t="shared" si="61"/>
        <v>dxHP_equip__spltHP-SEER-BA</v>
      </c>
      <c r="V190" s="3" t="s">
        <v>105</v>
      </c>
      <c r="W190" s="3" t="s">
        <v>106</v>
      </c>
      <c r="X190" s="3" t="s">
        <v>105</v>
      </c>
      <c r="Y190" s="3" t="s">
        <v>106</v>
      </c>
      <c r="AA190" s="3" t="s">
        <v>55</v>
      </c>
      <c r="AB190" s="3" t="s">
        <v>56</v>
      </c>
    </row>
    <row r="191" spans="1:28" s="3" customFormat="1" x14ac:dyDescent="0.25">
      <c r="A191" s="3" t="s">
        <v>100</v>
      </c>
      <c r="B191" s="3" t="s">
        <v>10675</v>
      </c>
      <c r="C191" s="3" t="s">
        <v>10655</v>
      </c>
      <c r="D191" s="3" t="str">
        <f t="shared" si="33"/>
        <v>SWHC050-03 Ductless Heat Pump_MFm</v>
      </c>
      <c r="F191" s="3" t="s">
        <v>119</v>
      </c>
      <c r="G191" s="3" t="str">
        <f t="shared" si="58"/>
        <v>RE-HV-DHP-19S</v>
      </c>
      <c r="H191" s="3" t="s">
        <v>102</v>
      </c>
      <c r="I191" s="3" t="s">
        <v>103</v>
      </c>
      <c r="J191" s="3" t="s">
        <v>120</v>
      </c>
      <c r="K191" s="3" t="str">
        <f t="shared" si="41"/>
        <v>Pre-RE-HV-DHP-13S</v>
      </c>
      <c r="L191" s="3" t="str">
        <f t="shared" si="42"/>
        <v>Std-RE-HV-DHP-15S</v>
      </c>
      <c r="M191" s="3" t="str">
        <f t="shared" si="43"/>
        <v>Msr-RE-HV-DHP-19S</v>
      </c>
      <c r="N191" s="3" t="str">
        <f t="shared" si="44"/>
        <v>MFm&amp;0&amp;rDXHP&amp;Ex&amp;dxHP_equip__spltHP-SEER-BA</v>
      </c>
      <c r="O191" s="3" t="s">
        <v>63</v>
      </c>
      <c r="P191" s="3">
        <v>0</v>
      </c>
      <c r="Q191" s="3" t="s">
        <v>57</v>
      </c>
      <c r="R191" s="3" t="s">
        <v>52</v>
      </c>
      <c r="S191" s="3" t="str">
        <f t="shared" si="59"/>
        <v>No</v>
      </c>
      <c r="T191" s="3" t="str">
        <f t="shared" si="60"/>
        <v>dxHP_equip__spltHP-SEER-BA</v>
      </c>
      <c r="U191" s="3" t="str">
        <f t="shared" si="61"/>
        <v>dxHP_equip__spltHP-SEER-BA</v>
      </c>
      <c r="V191" s="3" t="s">
        <v>105</v>
      </c>
      <c r="W191" s="3" t="s">
        <v>106</v>
      </c>
      <c r="X191" s="3" t="s">
        <v>105</v>
      </c>
      <c r="Y191" s="3" t="s">
        <v>106</v>
      </c>
      <c r="AA191" s="3" t="s">
        <v>55</v>
      </c>
      <c r="AB191" s="3" t="s">
        <v>56</v>
      </c>
    </row>
    <row r="192" spans="1:28" s="3" customFormat="1" x14ac:dyDescent="0.25">
      <c r="A192" s="3" t="s">
        <v>100</v>
      </c>
      <c r="B192" s="3" t="s">
        <v>10675</v>
      </c>
      <c r="C192" s="3" t="s">
        <v>10655</v>
      </c>
      <c r="D192" s="3" t="str">
        <f t="shared" si="33"/>
        <v>SWHC050-03 Ductless Heat Pump_SFm</v>
      </c>
      <c r="F192" s="3" t="s">
        <v>119</v>
      </c>
      <c r="G192" s="3" t="str">
        <f t="shared" si="58"/>
        <v>RE-HV-DHP-19S</v>
      </c>
      <c r="H192" s="3" t="s">
        <v>102</v>
      </c>
      <c r="I192" s="3" t="s">
        <v>103</v>
      </c>
      <c r="J192" s="3" t="s">
        <v>120</v>
      </c>
      <c r="K192" s="3" t="str">
        <f t="shared" si="41"/>
        <v>Pre-RE-HV-DHP-13S</v>
      </c>
      <c r="L192" s="3" t="str">
        <f t="shared" si="42"/>
        <v>Std-RE-HV-DHP-15S</v>
      </c>
      <c r="M192" s="3" t="str">
        <f t="shared" si="43"/>
        <v>Msr-RE-HV-DHP-19S</v>
      </c>
      <c r="N192" s="3" t="str">
        <f t="shared" si="44"/>
        <v>SFm&amp;1&amp;rDXHP&amp;New&amp;dxHP_equip__spltHP-SEER-BA</v>
      </c>
      <c r="O192" s="3" t="s">
        <v>50</v>
      </c>
      <c r="P192" s="3">
        <v>1</v>
      </c>
      <c r="Q192" s="3" t="s">
        <v>57</v>
      </c>
      <c r="R192" s="3" t="s">
        <v>107</v>
      </c>
      <c r="S192" s="3" t="str">
        <f t="shared" si="59"/>
        <v>No</v>
      </c>
      <c r="T192" s="3" t="str">
        <f t="shared" si="60"/>
        <v>dxHP_equip__spltHP-SEER-BA</v>
      </c>
      <c r="U192" s="3" t="str">
        <f t="shared" si="61"/>
        <v>dxHP_equip__spltHP-SEER-BA</v>
      </c>
      <c r="V192" s="3" t="s">
        <v>105</v>
      </c>
      <c r="W192" s="3" t="s">
        <v>106</v>
      </c>
      <c r="X192" s="3" t="s">
        <v>105</v>
      </c>
      <c r="Y192" s="3" t="s">
        <v>106</v>
      </c>
      <c r="AA192" s="3" t="s">
        <v>55</v>
      </c>
      <c r="AB192" s="3" t="s">
        <v>56</v>
      </c>
    </row>
    <row r="193" spans="1:28" s="3" customFormat="1" x14ac:dyDescent="0.25">
      <c r="A193" s="3" t="s">
        <v>100</v>
      </c>
      <c r="B193" s="3" t="s">
        <v>10675</v>
      </c>
      <c r="C193" s="3" t="s">
        <v>10655</v>
      </c>
      <c r="D193" s="3" t="str">
        <f t="shared" si="33"/>
        <v>SWHC050-03 Ductless Heat Pump_SFm</v>
      </c>
      <c r="F193" s="3" t="s">
        <v>119</v>
      </c>
      <c r="G193" s="3" t="str">
        <f t="shared" si="58"/>
        <v>RE-HV-DHP-19S</v>
      </c>
      <c r="H193" s="3" t="s">
        <v>102</v>
      </c>
      <c r="I193" s="3" t="s">
        <v>103</v>
      </c>
      <c r="J193" s="3" t="s">
        <v>120</v>
      </c>
      <c r="K193" s="3" t="str">
        <f t="shared" si="41"/>
        <v>Pre-RE-HV-DHP-13S</v>
      </c>
      <c r="L193" s="3" t="str">
        <f t="shared" si="42"/>
        <v>Std-RE-HV-DHP-15S</v>
      </c>
      <c r="M193" s="3" t="str">
        <f t="shared" si="43"/>
        <v>Msr-RE-HV-DHP-19S</v>
      </c>
      <c r="N193" s="3" t="str">
        <f t="shared" si="44"/>
        <v>SFm&amp;2&amp;rDXHP&amp;New&amp;dxHP_equip__spltHP-SEER-BA</v>
      </c>
      <c r="O193" s="3" t="s">
        <v>50</v>
      </c>
      <c r="P193" s="3">
        <v>2</v>
      </c>
      <c r="Q193" s="3" t="s">
        <v>57</v>
      </c>
      <c r="R193" s="3" t="s">
        <v>107</v>
      </c>
      <c r="S193" s="3" t="str">
        <f t="shared" si="59"/>
        <v>No</v>
      </c>
      <c r="T193" s="3" t="str">
        <f t="shared" si="60"/>
        <v>dxHP_equip__spltHP-SEER-BA</v>
      </c>
      <c r="U193" s="3" t="str">
        <f t="shared" si="61"/>
        <v>dxHP_equip__spltHP-SEER-BA</v>
      </c>
      <c r="V193" s="3" t="s">
        <v>105</v>
      </c>
      <c r="W193" s="3" t="s">
        <v>106</v>
      </c>
      <c r="X193" s="3" t="s">
        <v>105</v>
      </c>
      <c r="Y193" s="3" t="s">
        <v>106</v>
      </c>
      <c r="AA193" s="3" t="s">
        <v>55</v>
      </c>
      <c r="AB193" s="3" t="s">
        <v>56</v>
      </c>
    </row>
    <row r="194" spans="1:28" s="3" customFormat="1" x14ac:dyDescent="0.25">
      <c r="A194" s="3" t="s">
        <v>100</v>
      </c>
      <c r="B194" s="3" t="s">
        <v>10675</v>
      </c>
      <c r="C194" s="3" t="s">
        <v>10655</v>
      </c>
      <c r="D194" s="3" t="str">
        <f t="shared" si="33"/>
        <v>SWHC050-03 Ductless Heat Pump_DMo</v>
      </c>
      <c r="F194" s="3" t="s">
        <v>119</v>
      </c>
      <c r="G194" s="3" t="str">
        <f t="shared" si="58"/>
        <v>RE-HV-DHP-19S</v>
      </c>
      <c r="H194" s="3" t="s">
        <v>102</v>
      </c>
      <c r="I194" s="3" t="s">
        <v>103</v>
      </c>
      <c r="J194" s="3" t="s">
        <v>120</v>
      </c>
      <c r="K194" s="3" t="str">
        <f t="shared" si="41"/>
        <v>Pre-RE-HV-DHP-13S</v>
      </c>
      <c r="L194" s="3" t="str">
        <f t="shared" si="42"/>
        <v>Std-RE-HV-DHP-15S</v>
      </c>
      <c r="M194" s="3" t="str">
        <f t="shared" si="43"/>
        <v>Msr-RE-HV-DHP-19S</v>
      </c>
      <c r="N194" s="3" t="str">
        <f t="shared" si="44"/>
        <v>DMo&amp;0&amp;rDXHP&amp;New&amp;dxHP_equip__spltHP-SEER-BA</v>
      </c>
      <c r="O194" s="3" t="s">
        <v>62</v>
      </c>
      <c r="P194" s="3">
        <v>0</v>
      </c>
      <c r="Q194" s="3" t="s">
        <v>57</v>
      </c>
      <c r="R194" s="3" t="s">
        <v>107</v>
      </c>
      <c r="S194" s="3" t="str">
        <f t="shared" si="59"/>
        <v>No</v>
      </c>
      <c r="T194" s="3" t="str">
        <f t="shared" si="60"/>
        <v>dxHP_equip__spltHP-SEER-BA</v>
      </c>
      <c r="U194" s="3" t="str">
        <f t="shared" si="61"/>
        <v>dxHP_equip__spltHP-SEER-BA</v>
      </c>
      <c r="V194" s="3" t="s">
        <v>105</v>
      </c>
      <c r="W194" s="3" t="s">
        <v>106</v>
      </c>
      <c r="X194" s="3" t="s">
        <v>105</v>
      </c>
      <c r="Y194" s="3" t="s">
        <v>106</v>
      </c>
      <c r="AA194" s="3" t="s">
        <v>55</v>
      </c>
      <c r="AB194" s="3" t="s">
        <v>56</v>
      </c>
    </row>
    <row r="195" spans="1:28" s="3" customFormat="1" x14ac:dyDescent="0.25">
      <c r="A195" s="3" t="s">
        <v>100</v>
      </c>
      <c r="B195" s="3" t="s">
        <v>10675</v>
      </c>
      <c r="C195" s="3" t="s">
        <v>10655</v>
      </c>
      <c r="D195" s="3" t="str">
        <f t="shared" si="33"/>
        <v>SWHC050-03 Ductless Heat Pump_MFm</v>
      </c>
      <c r="F195" s="3" t="s">
        <v>119</v>
      </c>
      <c r="G195" s="3" t="str">
        <f t="shared" si="58"/>
        <v>RE-HV-DHP-19S</v>
      </c>
      <c r="H195" s="3" t="s">
        <v>102</v>
      </c>
      <c r="I195" s="3" t="s">
        <v>103</v>
      </c>
      <c r="J195" s="3" t="s">
        <v>120</v>
      </c>
      <c r="K195" s="3" t="str">
        <f t="shared" si="41"/>
        <v>Pre-RE-HV-DHP-13S</v>
      </c>
      <c r="L195" s="3" t="str">
        <f t="shared" si="42"/>
        <v>Std-RE-HV-DHP-15S</v>
      </c>
      <c r="M195" s="3" t="str">
        <f t="shared" si="43"/>
        <v>Msr-RE-HV-DHP-19S</v>
      </c>
      <c r="N195" s="3" t="str">
        <f t="shared" si="44"/>
        <v>MFm&amp;0&amp;rDXHP&amp;New&amp;dxHP_equip__spltHP-SEER-BA</v>
      </c>
      <c r="O195" s="3" t="s">
        <v>63</v>
      </c>
      <c r="P195" s="3">
        <v>0</v>
      </c>
      <c r="Q195" s="3" t="s">
        <v>57</v>
      </c>
      <c r="R195" s="3" t="s">
        <v>107</v>
      </c>
      <c r="S195" s="3" t="str">
        <f t="shared" si="59"/>
        <v>No</v>
      </c>
      <c r="T195" s="3" t="str">
        <f t="shared" si="60"/>
        <v>dxHP_equip__spltHP-SEER-BA</v>
      </c>
      <c r="U195" s="3" t="str">
        <f t="shared" si="61"/>
        <v>dxHP_equip__spltHP-SEER-BA</v>
      </c>
      <c r="V195" s="3" t="s">
        <v>105</v>
      </c>
      <c r="W195" s="3" t="s">
        <v>106</v>
      </c>
      <c r="X195" s="3" t="s">
        <v>105</v>
      </c>
      <c r="Y195" s="3" t="s">
        <v>106</v>
      </c>
      <c r="AA195" s="3" t="s">
        <v>55</v>
      </c>
      <c r="AB195" s="3" t="s">
        <v>56</v>
      </c>
    </row>
    <row r="196" spans="1:28" s="3" customFormat="1" x14ac:dyDescent="0.25">
      <c r="A196" s="3" t="s">
        <v>100</v>
      </c>
      <c r="B196" s="3" t="s">
        <v>10675</v>
      </c>
      <c r="C196" s="3" t="s">
        <v>10655</v>
      </c>
      <c r="D196" s="3" t="str">
        <f t="shared" si="33"/>
        <v>SWHC050-03 Ductless Heat Pump_SFm</v>
      </c>
      <c r="F196" s="3" t="s">
        <v>121</v>
      </c>
      <c r="G196" s="3" t="str">
        <f t="shared" si="58"/>
        <v>RE-HV-DHP-19S-replRmAC-ER</v>
      </c>
      <c r="H196" s="3" t="s">
        <v>109</v>
      </c>
      <c r="I196" s="3" t="s">
        <v>110</v>
      </c>
      <c r="J196" s="3" t="s">
        <v>120</v>
      </c>
      <c r="K196" s="3" t="str">
        <f t="shared" si="41"/>
        <v>Pre-RE-HV-RoomAC-9.0E-ERheat</v>
      </c>
      <c r="L196" s="3" t="str">
        <f t="shared" si="42"/>
        <v>Std-RE-HV-RoomAC-9.8E-ERheat</v>
      </c>
      <c r="M196" s="3" t="str">
        <f t="shared" si="43"/>
        <v>Msr-RE-HV-DHP-19S</v>
      </c>
      <c r="N196" s="3" t="str">
        <f t="shared" si="44"/>
        <v>SFm&amp;1&amp;rDXHP&amp;Ex&amp;dxHP_equip__spltHP-SEER-BA&amp;dxAC_equip__RoomAC</v>
      </c>
      <c r="O196" s="3" t="s">
        <v>50</v>
      </c>
      <c r="P196" s="3">
        <v>1</v>
      </c>
      <c r="Q196" s="3" t="s">
        <v>57</v>
      </c>
      <c r="R196" s="3" t="s">
        <v>52</v>
      </c>
      <c r="S196" s="3" t="str">
        <f t="shared" ref="S196:S207" si="62">IF(T196=U196, "No", "Yes")</f>
        <v>Yes</v>
      </c>
      <c r="T196" s="3" t="str">
        <f t="shared" ref="T196:T207" si="63">V196&amp;"__"&amp;W196</f>
        <v>dxHP_equip__spltHP-SEER-BA</v>
      </c>
      <c r="U196" s="3" t="str">
        <f t="shared" ref="U196:U207" si="64">X196&amp;"__"&amp;Y196</f>
        <v>dxAC_equip__RoomAC</v>
      </c>
      <c r="V196" s="3" t="s">
        <v>105</v>
      </c>
      <c r="W196" s="3" t="s">
        <v>106</v>
      </c>
      <c r="X196" s="3" t="s">
        <v>111</v>
      </c>
      <c r="Y196" s="3" t="s">
        <v>112</v>
      </c>
      <c r="AA196" s="3" t="s">
        <v>55</v>
      </c>
      <c r="AB196" s="3" t="s">
        <v>56</v>
      </c>
    </row>
    <row r="197" spans="1:28" s="3" customFormat="1" x14ac:dyDescent="0.25">
      <c r="A197" s="3" t="s">
        <v>100</v>
      </c>
      <c r="B197" s="3" t="s">
        <v>10675</v>
      </c>
      <c r="C197" s="3" t="s">
        <v>10655</v>
      </c>
      <c r="D197" s="3" t="str">
        <f t="shared" si="33"/>
        <v>SWHC050-03 Ductless Heat Pump_SFm</v>
      </c>
      <c r="F197" s="3" t="s">
        <v>121</v>
      </c>
      <c r="G197" s="3" t="str">
        <f t="shared" si="58"/>
        <v>RE-HV-DHP-19S-replRmAC-ER</v>
      </c>
      <c r="H197" s="3" t="s">
        <v>109</v>
      </c>
      <c r="I197" s="3" t="s">
        <v>110</v>
      </c>
      <c r="J197" s="3" t="s">
        <v>120</v>
      </c>
      <c r="K197" s="3" t="str">
        <f t="shared" si="41"/>
        <v>Pre-RE-HV-RoomAC-9.0E-ERheat</v>
      </c>
      <c r="L197" s="3" t="str">
        <f t="shared" si="42"/>
        <v>Std-RE-HV-RoomAC-9.8E-ERheat</v>
      </c>
      <c r="M197" s="3" t="str">
        <f t="shared" si="43"/>
        <v>Msr-RE-HV-DHP-19S</v>
      </c>
      <c r="N197" s="3" t="str">
        <f t="shared" si="44"/>
        <v>SFm&amp;2&amp;rDXHP&amp;Ex&amp;dxHP_equip__spltHP-SEER-BA&amp;dxAC_equip__RoomAC</v>
      </c>
      <c r="O197" s="3" t="s">
        <v>50</v>
      </c>
      <c r="P197" s="3">
        <v>2</v>
      </c>
      <c r="Q197" s="3" t="s">
        <v>57</v>
      </c>
      <c r="R197" s="3" t="s">
        <v>52</v>
      </c>
      <c r="S197" s="3" t="str">
        <f t="shared" si="62"/>
        <v>Yes</v>
      </c>
      <c r="T197" s="3" t="str">
        <f t="shared" si="63"/>
        <v>dxHP_equip__spltHP-SEER-BA</v>
      </c>
      <c r="U197" s="3" t="str">
        <f t="shared" si="64"/>
        <v>dxAC_equip__RoomAC</v>
      </c>
      <c r="V197" s="3" t="s">
        <v>105</v>
      </c>
      <c r="W197" s="3" t="s">
        <v>106</v>
      </c>
      <c r="X197" s="3" t="s">
        <v>111</v>
      </c>
      <c r="Y197" s="3" t="s">
        <v>112</v>
      </c>
      <c r="AA197" s="3" t="s">
        <v>55</v>
      </c>
      <c r="AB197" s="3" t="s">
        <v>56</v>
      </c>
    </row>
    <row r="198" spans="1:28" s="3" customFormat="1" x14ac:dyDescent="0.25">
      <c r="A198" s="3" t="s">
        <v>100</v>
      </c>
      <c r="B198" s="3" t="s">
        <v>10675</v>
      </c>
      <c r="C198" s="3" t="s">
        <v>10655</v>
      </c>
      <c r="D198" s="3" t="str">
        <f t="shared" si="33"/>
        <v>SWHC050-03 Ductless Heat Pump_DMo</v>
      </c>
      <c r="F198" s="3" t="s">
        <v>121</v>
      </c>
      <c r="G198" s="3" t="str">
        <f t="shared" si="58"/>
        <v>RE-HV-DHP-19S-replRmAC-ER</v>
      </c>
      <c r="H198" s="3" t="s">
        <v>109</v>
      </c>
      <c r="I198" s="3" t="s">
        <v>110</v>
      </c>
      <c r="J198" s="3" t="s">
        <v>120</v>
      </c>
      <c r="K198" s="3" t="str">
        <f t="shared" si="41"/>
        <v>Pre-RE-HV-RoomAC-9.0E-ERheat</v>
      </c>
      <c r="L198" s="3" t="str">
        <f t="shared" si="42"/>
        <v>Std-RE-HV-RoomAC-9.8E-ERheat</v>
      </c>
      <c r="M198" s="3" t="str">
        <f t="shared" si="43"/>
        <v>Msr-RE-HV-DHP-19S</v>
      </c>
      <c r="N198" s="3" t="str">
        <f t="shared" si="44"/>
        <v>DMo&amp;0&amp;rDXHP&amp;Ex&amp;dxHP_equip__spltHP-SEER-BA&amp;dxAC_equip__RoomAC</v>
      </c>
      <c r="O198" s="3" t="s">
        <v>62</v>
      </c>
      <c r="P198" s="3">
        <v>0</v>
      </c>
      <c r="Q198" s="3" t="s">
        <v>57</v>
      </c>
      <c r="R198" s="3" t="s">
        <v>52</v>
      </c>
      <c r="S198" s="3" t="str">
        <f t="shared" si="62"/>
        <v>Yes</v>
      </c>
      <c r="T198" s="3" t="str">
        <f t="shared" si="63"/>
        <v>dxHP_equip__spltHP-SEER-BA</v>
      </c>
      <c r="U198" s="3" t="str">
        <f t="shared" si="64"/>
        <v>dxAC_equip__RoomAC</v>
      </c>
      <c r="V198" s="3" t="s">
        <v>105</v>
      </c>
      <c r="W198" s="3" t="s">
        <v>106</v>
      </c>
      <c r="X198" s="3" t="s">
        <v>111</v>
      </c>
      <c r="Y198" s="3" t="s">
        <v>112</v>
      </c>
      <c r="AA198" s="3" t="s">
        <v>55</v>
      </c>
      <c r="AB198" s="3" t="s">
        <v>56</v>
      </c>
    </row>
    <row r="199" spans="1:28" s="3" customFormat="1" x14ac:dyDescent="0.25">
      <c r="A199" s="3" t="s">
        <v>100</v>
      </c>
      <c r="B199" s="3" t="s">
        <v>10675</v>
      </c>
      <c r="C199" s="3" t="s">
        <v>10655</v>
      </c>
      <c r="D199" s="3" t="str">
        <f t="shared" ref="D199:D262" si="65">_xlfn.CONCAT(C199, " ", A199,"_",O199)</f>
        <v>SWHC050-03 Ductless Heat Pump_MFm</v>
      </c>
      <c r="F199" s="3" t="s">
        <v>121</v>
      </c>
      <c r="G199" s="3" t="str">
        <f t="shared" si="58"/>
        <v>RE-HV-DHP-19S-replRmAC-ER</v>
      </c>
      <c r="H199" s="3" t="s">
        <v>109</v>
      </c>
      <c r="I199" s="3" t="s">
        <v>110</v>
      </c>
      <c r="J199" s="3" t="s">
        <v>120</v>
      </c>
      <c r="K199" s="3" t="str">
        <f t="shared" si="41"/>
        <v>Pre-RE-HV-RoomAC-9.0E-ERheat</v>
      </c>
      <c r="L199" s="3" t="str">
        <f t="shared" si="42"/>
        <v>Std-RE-HV-RoomAC-9.8E-ERheat</v>
      </c>
      <c r="M199" s="3" t="str">
        <f t="shared" si="43"/>
        <v>Msr-RE-HV-DHP-19S</v>
      </c>
      <c r="N199" s="3" t="str">
        <f t="shared" si="44"/>
        <v>MFm&amp;0&amp;rDXHP&amp;Ex&amp;dxHP_equip__spltHP-SEER-BA&amp;dxAC_equip__RoomAC</v>
      </c>
      <c r="O199" s="3" t="s">
        <v>63</v>
      </c>
      <c r="P199" s="3">
        <v>0</v>
      </c>
      <c r="Q199" s="3" t="s">
        <v>57</v>
      </c>
      <c r="R199" s="3" t="s">
        <v>52</v>
      </c>
      <c r="S199" s="3" t="str">
        <f t="shared" si="62"/>
        <v>Yes</v>
      </c>
      <c r="T199" s="3" t="str">
        <f t="shared" si="63"/>
        <v>dxHP_equip__spltHP-SEER-BA</v>
      </c>
      <c r="U199" s="3" t="str">
        <f t="shared" si="64"/>
        <v>dxAC_equip__RoomAC</v>
      </c>
      <c r="V199" s="3" t="s">
        <v>105</v>
      </c>
      <c r="W199" s="3" t="s">
        <v>106</v>
      </c>
      <c r="X199" s="3" t="s">
        <v>111</v>
      </c>
      <c r="Y199" s="3" t="s">
        <v>112</v>
      </c>
      <c r="AA199" s="3" t="s">
        <v>55</v>
      </c>
      <c r="AB199" s="3" t="s">
        <v>56</v>
      </c>
    </row>
    <row r="200" spans="1:28" s="3" customFormat="1" x14ac:dyDescent="0.25">
      <c r="A200" s="3" t="s">
        <v>100</v>
      </c>
      <c r="B200" s="3" t="s">
        <v>10675</v>
      </c>
      <c r="C200" s="3" t="s">
        <v>10655</v>
      </c>
      <c r="D200" s="3" t="str">
        <f t="shared" si="65"/>
        <v>SWHC050-03 Ductless Heat Pump_SFm</v>
      </c>
      <c r="F200" s="3" t="s">
        <v>122</v>
      </c>
      <c r="G200" s="3" t="str">
        <f t="shared" si="58"/>
        <v>RE-HV-DHP-20S</v>
      </c>
      <c r="H200" s="3" t="s">
        <v>102</v>
      </c>
      <c r="I200" s="3" t="s">
        <v>103</v>
      </c>
      <c r="J200" s="3" t="s">
        <v>123</v>
      </c>
      <c r="K200" s="3" t="str">
        <f t="shared" si="41"/>
        <v>Pre-RE-HV-DHP-13S</v>
      </c>
      <c r="L200" s="3" t="str">
        <f t="shared" si="42"/>
        <v>Std-RE-HV-DHP-15S</v>
      </c>
      <c r="M200" s="3" t="str">
        <f t="shared" si="43"/>
        <v>Msr-RE-HV-DHP-20S</v>
      </c>
      <c r="N200" s="3" t="str">
        <f t="shared" si="44"/>
        <v>SFm&amp;1&amp;rDXHP&amp;Ex&amp;dxHP_equip__spltHP-SEER-BA</v>
      </c>
      <c r="O200" s="3" t="s">
        <v>50</v>
      </c>
      <c r="P200" s="3">
        <v>1</v>
      </c>
      <c r="Q200" s="3" t="s">
        <v>57</v>
      </c>
      <c r="R200" s="3" t="s">
        <v>52</v>
      </c>
      <c r="S200" s="3" t="str">
        <f t="shared" si="62"/>
        <v>No</v>
      </c>
      <c r="T200" s="3" t="str">
        <f t="shared" si="63"/>
        <v>dxHP_equip__spltHP-SEER-BA</v>
      </c>
      <c r="U200" s="3" t="str">
        <f t="shared" si="64"/>
        <v>dxHP_equip__spltHP-SEER-BA</v>
      </c>
      <c r="V200" s="3" t="s">
        <v>105</v>
      </c>
      <c r="W200" s="3" t="s">
        <v>106</v>
      </c>
      <c r="X200" s="3" t="s">
        <v>105</v>
      </c>
      <c r="Y200" s="3" t="s">
        <v>106</v>
      </c>
      <c r="AA200" s="3" t="s">
        <v>55</v>
      </c>
      <c r="AB200" s="3" t="s">
        <v>56</v>
      </c>
    </row>
    <row r="201" spans="1:28" s="3" customFormat="1" x14ac:dyDescent="0.25">
      <c r="A201" s="3" t="s">
        <v>100</v>
      </c>
      <c r="B201" s="3" t="s">
        <v>10675</v>
      </c>
      <c r="C201" s="3" t="s">
        <v>10655</v>
      </c>
      <c r="D201" s="3" t="str">
        <f t="shared" si="65"/>
        <v>SWHC050-03 Ductless Heat Pump_SFm</v>
      </c>
      <c r="F201" s="3" t="s">
        <v>122</v>
      </c>
      <c r="G201" s="3" t="str">
        <f t="shared" si="58"/>
        <v>RE-HV-DHP-20S</v>
      </c>
      <c r="H201" s="3" t="s">
        <v>102</v>
      </c>
      <c r="I201" s="3" t="s">
        <v>103</v>
      </c>
      <c r="J201" s="3" t="s">
        <v>123</v>
      </c>
      <c r="K201" s="3" t="str">
        <f t="shared" si="41"/>
        <v>Pre-RE-HV-DHP-13S</v>
      </c>
      <c r="L201" s="3" t="str">
        <f t="shared" si="42"/>
        <v>Std-RE-HV-DHP-15S</v>
      </c>
      <c r="M201" s="3" t="str">
        <f t="shared" si="43"/>
        <v>Msr-RE-HV-DHP-20S</v>
      </c>
      <c r="N201" s="3" t="str">
        <f t="shared" si="44"/>
        <v>SFm&amp;2&amp;rDXHP&amp;Ex&amp;dxHP_equip__spltHP-SEER-BA</v>
      </c>
      <c r="O201" s="3" t="s">
        <v>50</v>
      </c>
      <c r="P201" s="3">
        <v>2</v>
      </c>
      <c r="Q201" s="3" t="s">
        <v>57</v>
      </c>
      <c r="R201" s="3" t="s">
        <v>52</v>
      </c>
      <c r="S201" s="3" t="str">
        <f t="shared" si="62"/>
        <v>No</v>
      </c>
      <c r="T201" s="3" t="str">
        <f t="shared" si="63"/>
        <v>dxHP_equip__spltHP-SEER-BA</v>
      </c>
      <c r="U201" s="3" t="str">
        <f t="shared" si="64"/>
        <v>dxHP_equip__spltHP-SEER-BA</v>
      </c>
      <c r="V201" s="3" t="s">
        <v>105</v>
      </c>
      <c r="W201" s="3" t="s">
        <v>106</v>
      </c>
      <c r="X201" s="3" t="s">
        <v>105</v>
      </c>
      <c r="Y201" s="3" t="s">
        <v>106</v>
      </c>
      <c r="AA201" s="3" t="s">
        <v>55</v>
      </c>
      <c r="AB201" s="3" t="s">
        <v>56</v>
      </c>
    </row>
    <row r="202" spans="1:28" s="3" customFormat="1" x14ac:dyDescent="0.25">
      <c r="A202" s="3" t="s">
        <v>100</v>
      </c>
      <c r="B202" s="3" t="s">
        <v>10675</v>
      </c>
      <c r="C202" s="3" t="s">
        <v>10655</v>
      </c>
      <c r="D202" s="3" t="str">
        <f t="shared" si="65"/>
        <v>SWHC050-03 Ductless Heat Pump_DMo</v>
      </c>
      <c r="F202" s="3" t="s">
        <v>122</v>
      </c>
      <c r="G202" s="3" t="str">
        <f t="shared" si="58"/>
        <v>RE-HV-DHP-20S</v>
      </c>
      <c r="H202" s="3" t="s">
        <v>102</v>
      </c>
      <c r="I202" s="3" t="s">
        <v>103</v>
      </c>
      <c r="J202" s="3" t="s">
        <v>123</v>
      </c>
      <c r="K202" s="3" t="str">
        <f t="shared" si="41"/>
        <v>Pre-RE-HV-DHP-13S</v>
      </c>
      <c r="L202" s="3" t="str">
        <f t="shared" si="42"/>
        <v>Std-RE-HV-DHP-15S</v>
      </c>
      <c r="M202" s="3" t="str">
        <f t="shared" si="43"/>
        <v>Msr-RE-HV-DHP-20S</v>
      </c>
      <c r="N202" s="3" t="str">
        <f t="shared" si="44"/>
        <v>DMo&amp;0&amp;rDXHP&amp;Ex&amp;dxHP_equip__spltHP-SEER-BA</v>
      </c>
      <c r="O202" s="3" t="s">
        <v>62</v>
      </c>
      <c r="P202" s="3">
        <v>0</v>
      </c>
      <c r="Q202" s="3" t="s">
        <v>57</v>
      </c>
      <c r="R202" s="3" t="s">
        <v>52</v>
      </c>
      <c r="S202" s="3" t="str">
        <f t="shared" si="62"/>
        <v>No</v>
      </c>
      <c r="T202" s="3" t="str">
        <f t="shared" si="63"/>
        <v>dxHP_equip__spltHP-SEER-BA</v>
      </c>
      <c r="U202" s="3" t="str">
        <f t="shared" si="64"/>
        <v>dxHP_equip__spltHP-SEER-BA</v>
      </c>
      <c r="V202" s="3" t="s">
        <v>105</v>
      </c>
      <c r="W202" s="3" t="s">
        <v>106</v>
      </c>
      <c r="X202" s="3" t="s">
        <v>105</v>
      </c>
      <c r="Y202" s="3" t="s">
        <v>106</v>
      </c>
      <c r="AA202" s="3" t="s">
        <v>55</v>
      </c>
      <c r="AB202" s="3" t="s">
        <v>56</v>
      </c>
    </row>
    <row r="203" spans="1:28" s="3" customFormat="1" x14ac:dyDescent="0.25">
      <c r="A203" s="3" t="s">
        <v>100</v>
      </c>
      <c r="B203" s="3" t="s">
        <v>10675</v>
      </c>
      <c r="C203" s="3" t="s">
        <v>10655</v>
      </c>
      <c r="D203" s="3" t="str">
        <f t="shared" si="65"/>
        <v>SWHC050-03 Ductless Heat Pump_MFm</v>
      </c>
      <c r="F203" s="3" t="s">
        <v>122</v>
      </c>
      <c r="G203" s="3" t="str">
        <f t="shared" si="58"/>
        <v>RE-HV-DHP-20S</v>
      </c>
      <c r="H203" s="3" t="s">
        <v>102</v>
      </c>
      <c r="I203" s="3" t="s">
        <v>103</v>
      </c>
      <c r="J203" s="3" t="s">
        <v>123</v>
      </c>
      <c r="K203" s="3" t="str">
        <f t="shared" si="41"/>
        <v>Pre-RE-HV-DHP-13S</v>
      </c>
      <c r="L203" s="3" t="str">
        <f t="shared" si="42"/>
        <v>Std-RE-HV-DHP-15S</v>
      </c>
      <c r="M203" s="3" t="str">
        <f t="shared" si="43"/>
        <v>Msr-RE-HV-DHP-20S</v>
      </c>
      <c r="N203" s="3" t="str">
        <f t="shared" si="44"/>
        <v>MFm&amp;0&amp;rDXHP&amp;Ex&amp;dxHP_equip__spltHP-SEER-BA</v>
      </c>
      <c r="O203" s="3" t="s">
        <v>63</v>
      </c>
      <c r="P203" s="3">
        <v>0</v>
      </c>
      <c r="Q203" s="3" t="s">
        <v>57</v>
      </c>
      <c r="R203" s="3" t="s">
        <v>52</v>
      </c>
      <c r="S203" s="3" t="str">
        <f t="shared" si="62"/>
        <v>No</v>
      </c>
      <c r="T203" s="3" t="str">
        <f t="shared" si="63"/>
        <v>dxHP_equip__spltHP-SEER-BA</v>
      </c>
      <c r="U203" s="3" t="str">
        <f t="shared" si="64"/>
        <v>dxHP_equip__spltHP-SEER-BA</v>
      </c>
      <c r="V203" s="3" t="s">
        <v>105</v>
      </c>
      <c r="W203" s="3" t="s">
        <v>106</v>
      </c>
      <c r="X203" s="3" t="s">
        <v>105</v>
      </c>
      <c r="Y203" s="3" t="s">
        <v>106</v>
      </c>
      <c r="AA203" s="3" t="s">
        <v>55</v>
      </c>
      <c r="AB203" s="3" t="s">
        <v>56</v>
      </c>
    </row>
    <row r="204" spans="1:28" s="3" customFormat="1" x14ac:dyDescent="0.25">
      <c r="A204" s="3" t="s">
        <v>100</v>
      </c>
      <c r="B204" s="3" t="s">
        <v>10675</v>
      </c>
      <c r="C204" s="3" t="s">
        <v>10655</v>
      </c>
      <c r="D204" s="3" t="str">
        <f t="shared" si="65"/>
        <v>SWHC050-03 Ductless Heat Pump_SFm</v>
      </c>
      <c r="F204" s="3" t="s">
        <v>122</v>
      </c>
      <c r="G204" s="3" t="str">
        <f t="shared" si="58"/>
        <v>RE-HV-DHP-20S</v>
      </c>
      <c r="H204" s="3" t="s">
        <v>102</v>
      </c>
      <c r="I204" s="3" t="s">
        <v>103</v>
      </c>
      <c r="J204" s="3" t="s">
        <v>123</v>
      </c>
      <c r="K204" s="3" t="str">
        <f t="shared" si="41"/>
        <v>Pre-RE-HV-DHP-13S</v>
      </c>
      <c r="L204" s="3" t="str">
        <f t="shared" si="42"/>
        <v>Std-RE-HV-DHP-15S</v>
      </c>
      <c r="M204" s="3" t="str">
        <f t="shared" si="43"/>
        <v>Msr-RE-HV-DHP-20S</v>
      </c>
      <c r="N204" s="3" t="str">
        <f t="shared" si="44"/>
        <v>SFm&amp;1&amp;rDXHP&amp;New&amp;dxHP_equip__spltHP-SEER-BA</v>
      </c>
      <c r="O204" s="3" t="s">
        <v>50</v>
      </c>
      <c r="P204" s="3">
        <v>1</v>
      </c>
      <c r="Q204" s="3" t="s">
        <v>57</v>
      </c>
      <c r="R204" s="3" t="s">
        <v>107</v>
      </c>
      <c r="S204" s="3" t="str">
        <f t="shared" si="62"/>
        <v>No</v>
      </c>
      <c r="T204" s="3" t="str">
        <f t="shared" si="63"/>
        <v>dxHP_equip__spltHP-SEER-BA</v>
      </c>
      <c r="U204" s="3" t="str">
        <f t="shared" si="64"/>
        <v>dxHP_equip__spltHP-SEER-BA</v>
      </c>
      <c r="V204" s="3" t="s">
        <v>105</v>
      </c>
      <c r="W204" s="3" t="s">
        <v>106</v>
      </c>
      <c r="X204" s="3" t="s">
        <v>105</v>
      </c>
      <c r="Y204" s="3" t="s">
        <v>106</v>
      </c>
      <c r="AA204" s="3" t="s">
        <v>55</v>
      </c>
      <c r="AB204" s="3" t="s">
        <v>56</v>
      </c>
    </row>
    <row r="205" spans="1:28" s="3" customFormat="1" x14ac:dyDescent="0.25">
      <c r="A205" s="3" t="s">
        <v>100</v>
      </c>
      <c r="B205" s="3" t="s">
        <v>10675</v>
      </c>
      <c r="C205" s="3" t="s">
        <v>10655</v>
      </c>
      <c r="D205" s="3" t="str">
        <f t="shared" si="65"/>
        <v>SWHC050-03 Ductless Heat Pump_SFm</v>
      </c>
      <c r="F205" s="3" t="s">
        <v>122</v>
      </c>
      <c r="G205" s="3" t="str">
        <f t="shared" si="58"/>
        <v>RE-HV-DHP-20S</v>
      </c>
      <c r="H205" s="3" t="s">
        <v>102</v>
      </c>
      <c r="I205" s="3" t="s">
        <v>103</v>
      </c>
      <c r="J205" s="3" t="s">
        <v>123</v>
      </c>
      <c r="K205" s="3" t="str">
        <f t="shared" si="41"/>
        <v>Pre-RE-HV-DHP-13S</v>
      </c>
      <c r="L205" s="3" t="str">
        <f t="shared" si="42"/>
        <v>Std-RE-HV-DHP-15S</v>
      </c>
      <c r="M205" s="3" t="str">
        <f t="shared" si="43"/>
        <v>Msr-RE-HV-DHP-20S</v>
      </c>
      <c r="N205" s="3" t="str">
        <f t="shared" si="44"/>
        <v>SFm&amp;2&amp;rDXHP&amp;New&amp;dxHP_equip__spltHP-SEER-BA</v>
      </c>
      <c r="O205" s="3" t="s">
        <v>50</v>
      </c>
      <c r="P205" s="3">
        <v>2</v>
      </c>
      <c r="Q205" s="3" t="s">
        <v>57</v>
      </c>
      <c r="R205" s="3" t="s">
        <v>107</v>
      </c>
      <c r="S205" s="3" t="str">
        <f t="shared" si="62"/>
        <v>No</v>
      </c>
      <c r="T205" s="3" t="str">
        <f t="shared" si="63"/>
        <v>dxHP_equip__spltHP-SEER-BA</v>
      </c>
      <c r="U205" s="3" t="str">
        <f t="shared" si="64"/>
        <v>dxHP_equip__spltHP-SEER-BA</v>
      </c>
      <c r="V205" s="3" t="s">
        <v>105</v>
      </c>
      <c r="W205" s="3" t="s">
        <v>106</v>
      </c>
      <c r="X205" s="3" t="s">
        <v>105</v>
      </c>
      <c r="Y205" s="3" t="s">
        <v>106</v>
      </c>
      <c r="AA205" s="3" t="s">
        <v>55</v>
      </c>
      <c r="AB205" s="3" t="s">
        <v>56</v>
      </c>
    </row>
    <row r="206" spans="1:28" s="3" customFormat="1" x14ac:dyDescent="0.25">
      <c r="A206" s="3" t="s">
        <v>100</v>
      </c>
      <c r="B206" s="3" t="s">
        <v>10675</v>
      </c>
      <c r="C206" s="3" t="s">
        <v>10655</v>
      </c>
      <c r="D206" s="3" t="str">
        <f t="shared" si="65"/>
        <v>SWHC050-03 Ductless Heat Pump_DMo</v>
      </c>
      <c r="F206" s="3" t="s">
        <v>122</v>
      </c>
      <c r="G206" s="3" t="str">
        <f t="shared" si="58"/>
        <v>RE-HV-DHP-20S</v>
      </c>
      <c r="H206" s="3" t="s">
        <v>102</v>
      </c>
      <c r="I206" s="3" t="s">
        <v>103</v>
      </c>
      <c r="J206" s="3" t="s">
        <v>123</v>
      </c>
      <c r="K206" s="3" t="str">
        <f t="shared" si="41"/>
        <v>Pre-RE-HV-DHP-13S</v>
      </c>
      <c r="L206" s="3" t="str">
        <f t="shared" si="42"/>
        <v>Std-RE-HV-DHP-15S</v>
      </c>
      <c r="M206" s="3" t="str">
        <f t="shared" si="43"/>
        <v>Msr-RE-HV-DHP-20S</v>
      </c>
      <c r="N206" s="3" t="str">
        <f t="shared" si="44"/>
        <v>DMo&amp;0&amp;rDXHP&amp;New&amp;dxHP_equip__spltHP-SEER-BA</v>
      </c>
      <c r="O206" s="3" t="s">
        <v>62</v>
      </c>
      <c r="P206" s="3">
        <v>0</v>
      </c>
      <c r="Q206" s="3" t="s">
        <v>57</v>
      </c>
      <c r="R206" s="3" t="s">
        <v>107</v>
      </c>
      <c r="S206" s="3" t="str">
        <f t="shared" si="62"/>
        <v>No</v>
      </c>
      <c r="T206" s="3" t="str">
        <f t="shared" si="63"/>
        <v>dxHP_equip__spltHP-SEER-BA</v>
      </c>
      <c r="U206" s="3" t="str">
        <f t="shared" si="64"/>
        <v>dxHP_equip__spltHP-SEER-BA</v>
      </c>
      <c r="V206" s="3" t="s">
        <v>105</v>
      </c>
      <c r="W206" s="3" t="s">
        <v>106</v>
      </c>
      <c r="X206" s="3" t="s">
        <v>105</v>
      </c>
      <c r="Y206" s="3" t="s">
        <v>106</v>
      </c>
      <c r="AA206" s="3" t="s">
        <v>55</v>
      </c>
      <c r="AB206" s="3" t="s">
        <v>56</v>
      </c>
    </row>
    <row r="207" spans="1:28" s="3" customFormat="1" x14ac:dyDescent="0.25">
      <c r="A207" s="3" t="s">
        <v>100</v>
      </c>
      <c r="B207" s="3" t="s">
        <v>10675</v>
      </c>
      <c r="C207" s="3" t="s">
        <v>10655</v>
      </c>
      <c r="D207" s="3" t="str">
        <f t="shared" si="65"/>
        <v>SWHC050-03 Ductless Heat Pump_MFm</v>
      </c>
      <c r="F207" s="3" t="s">
        <v>122</v>
      </c>
      <c r="G207" s="3" t="str">
        <f t="shared" si="58"/>
        <v>RE-HV-DHP-20S</v>
      </c>
      <c r="H207" s="3" t="s">
        <v>102</v>
      </c>
      <c r="I207" s="3" t="s">
        <v>103</v>
      </c>
      <c r="J207" s="3" t="s">
        <v>123</v>
      </c>
      <c r="K207" s="3" t="str">
        <f t="shared" si="41"/>
        <v>Pre-RE-HV-DHP-13S</v>
      </c>
      <c r="L207" s="3" t="str">
        <f t="shared" si="42"/>
        <v>Std-RE-HV-DHP-15S</v>
      </c>
      <c r="M207" s="3" t="str">
        <f t="shared" si="43"/>
        <v>Msr-RE-HV-DHP-20S</v>
      </c>
      <c r="N207" s="3" t="str">
        <f t="shared" si="44"/>
        <v>MFm&amp;0&amp;rDXHP&amp;New&amp;dxHP_equip__spltHP-SEER-BA</v>
      </c>
      <c r="O207" s="3" t="s">
        <v>63</v>
      </c>
      <c r="P207" s="3">
        <v>0</v>
      </c>
      <c r="Q207" s="3" t="s">
        <v>57</v>
      </c>
      <c r="R207" s="3" t="s">
        <v>107</v>
      </c>
      <c r="S207" s="3" t="str">
        <f t="shared" si="62"/>
        <v>No</v>
      </c>
      <c r="T207" s="3" t="str">
        <f t="shared" si="63"/>
        <v>dxHP_equip__spltHP-SEER-BA</v>
      </c>
      <c r="U207" s="3" t="str">
        <f t="shared" si="64"/>
        <v>dxHP_equip__spltHP-SEER-BA</v>
      </c>
      <c r="V207" s="3" t="s">
        <v>105</v>
      </c>
      <c r="W207" s="3" t="s">
        <v>106</v>
      </c>
      <c r="X207" s="3" t="s">
        <v>105</v>
      </c>
      <c r="Y207" s="3" t="s">
        <v>106</v>
      </c>
      <c r="AA207" s="3" t="s">
        <v>55</v>
      </c>
      <c r="AB207" s="3" t="s">
        <v>56</v>
      </c>
    </row>
    <row r="208" spans="1:28" s="3" customFormat="1" x14ac:dyDescent="0.25">
      <c r="A208" s="3" t="s">
        <v>100</v>
      </c>
      <c r="B208" s="3" t="s">
        <v>10675</v>
      </c>
      <c r="C208" s="3" t="s">
        <v>10655</v>
      </c>
      <c r="D208" s="3" t="str">
        <f t="shared" si="65"/>
        <v>SWHC050-03 Ductless Heat Pump_SFm</v>
      </c>
      <c r="F208" s="3" t="s">
        <v>124</v>
      </c>
      <c r="G208" s="3" t="str">
        <f t="shared" si="58"/>
        <v>RE-HV-DHP-20S-replRmAC-ER</v>
      </c>
      <c r="H208" s="3" t="s">
        <v>109</v>
      </c>
      <c r="I208" s="3" t="s">
        <v>110</v>
      </c>
      <c r="J208" s="3" t="s">
        <v>123</v>
      </c>
      <c r="K208" s="3" t="str">
        <f t="shared" si="41"/>
        <v>Pre-RE-HV-RoomAC-9.0E-ERheat</v>
      </c>
      <c r="L208" s="3" t="str">
        <f t="shared" si="42"/>
        <v>Std-RE-HV-RoomAC-9.8E-ERheat</v>
      </c>
      <c r="M208" s="3" t="str">
        <f t="shared" si="43"/>
        <v>Msr-RE-HV-DHP-20S</v>
      </c>
      <c r="N208" s="3" t="str">
        <f t="shared" si="44"/>
        <v>SFm&amp;1&amp;rDXHP&amp;Ex&amp;dxHP_equip__spltHP-SEER-BA&amp;dxAC_equip__RoomAC</v>
      </c>
      <c r="O208" s="3" t="s">
        <v>50</v>
      </c>
      <c r="P208" s="3">
        <v>1</v>
      </c>
      <c r="Q208" s="3" t="s">
        <v>57</v>
      </c>
      <c r="R208" s="3" t="s">
        <v>52</v>
      </c>
      <c r="S208" s="3" t="str">
        <f t="shared" ref="S208:S219" si="66">IF(T208=U208, "No", "Yes")</f>
        <v>Yes</v>
      </c>
      <c r="T208" s="3" t="str">
        <f t="shared" ref="T208:T219" si="67">V208&amp;"__"&amp;W208</f>
        <v>dxHP_equip__spltHP-SEER-BA</v>
      </c>
      <c r="U208" s="3" t="str">
        <f t="shared" ref="U208:U219" si="68">X208&amp;"__"&amp;Y208</f>
        <v>dxAC_equip__RoomAC</v>
      </c>
      <c r="V208" s="3" t="s">
        <v>105</v>
      </c>
      <c r="W208" s="3" t="s">
        <v>106</v>
      </c>
      <c r="X208" s="3" t="s">
        <v>111</v>
      </c>
      <c r="Y208" s="3" t="s">
        <v>112</v>
      </c>
      <c r="AA208" s="3" t="s">
        <v>55</v>
      </c>
      <c r="AB208" s="3" t="s">
        <v>56</v>
      </c>
    </row>
    <row r="209" spans="1:28" s="3" customFormat="1" x14ac:dyDescent="0.25">
      <c r="A209" s="3" t="s">
        <v>100</v>
      </c>
      <c r="B209" s="3" t="s">
        <v>10675</v>
      </c>
      <c r="C209" s="3" t="s">
        <v>10655</v>
      </c>
      <c r="D209" s="3" t="str">
        <f t="shared" si="65"/>
        <v>SWHC050-03 Ductless Heat Pump_SFm</v>
      </c>
      <c r="F209" s="3" t="s">
        <v>124</v>
      </c>
      <c r="G209" s="3" t="str">
        <f t="shared" si="58"/>
        <v>RE-HV-DHP-20S-replRmAC-ER</v>
      </c>
      <c r="H209" s="3" t="s">
        <v>109</v>
      </c>
      <c r="I209" s="3" t="s">
        <v>110</v>
      </c>
      <c r="J209" s="3" t="s">
        <v>123</v>
      </c>
      <c r="K209" s="3" t="str">
        <f t="shared" si="41"/>
        <v>Pre-RE-HV-RoomAC-9.0E-ERheat</v>
      </c>
      <c r="L209" s="3" t="str">
        <f t="shared" si="42"/>
        <v>Std-RE-HV-RoomAC-9.8E-ERheat</v>
      </c>
      <c r="M209" s="3" t="str">
        <f t="shared" si="43"/>
        <v>Msr-RE-HV-DHP-20S</v>
      </c>
      <c r="N209" s="3" t="str">
        <f t="shared" si="44"/>
        <v>SFm&amp;2&amp;rDXHP&amp;Ex&amp;dxHP_equip__spltHP-SEER-BA&amp;dxAC_equip__RoomAC</v>
      </c>
      <c r="O209" s="3" t="s">
        <v>50</v>
      </c>
      <c r="P209" s="3">
        <v>2</v>
      </c>
      <c r="Q209" s="3" t="s">
        <v>57</v>
      </c>
      <c r="R209" s="3" t="s">
        <v>52</v>
      </c>
      <c r="S209" s="3" t="str">
        <f t="shared" si="66"/>
        <v>Yes</v>
      </c>
      <c r="T209" s="3" t="str">
        <f t="shared" si="67"/>
        <v>dxHP_equip__spltHP-SEER-BA</v>
      </c>
      <c r="U209" s="3" t="str">
        <f t="shared" si="68"/>
        <v>dxAC_equip__RoomAC</v>
      </c>
      <c r="V209" s="3" t="s">
        <v>105</v>
      </c>
      <c r="W209" s="3" t="s">
        <v>106</v>
      </c>
      <c r="X209" s="3" t="s">
        <v>111</v>
      </c>
      <c r="Y209" s="3" t="s">
        <v>112</v>
      </c>
      <c r="AA209" s="3" t="s">
        <v>55</v>
      </c>
      <c r="AB209" s="3" t="s">
        <v>56</v>
      </c>
    </row>
    <row r="210" spans="1:28" s="3" customFormat="1" x14ac:dyDescent="0.25">
      <c r="A210" s="3" t="s">
        <v>100</v>
      </c>
      <c r="B210" s="3" t="s">
        <v>10675</v>
      </c>
      <c r="C210" s="3" t="s">
        <v>10655</v>
      </c>
      <c r="D210" s="3" t="str">
        <f t="shared" si="65"/>
        <v>SWHC050-03 Ductless Heat Pump_DMo</v>
      </c>
      <c r="F210" s="3" t="s">
        <v>124</v>
      </c>
      <c r="G210" s="3" t="str">
        <f t="shared" si="58"/>
        <v>RE-HV-DHP-20S-replRmAC-ER</v>
      </c>
      <c r="H210" s="3" t="s">
        <v>109</v>
      </c>
      <c r="I210" s="3" t="s">
        <v>110</v>
      </c>
      <c r="J210" s="3" t="s">
        <v>123</v>
      </c>
      <c r="K210" s="3" t="str">
        <f t="shared" si="41"/>
        <v>Pre-RE-HV-RoomAC-9.0E-ERheat</v>
      </c>
      <c r="L210" s="3" t="str">
        <f t="shared" si="42"/>
        <v>Std-RE-HV-RoomAC-9.8E-ERheat</v>
      </c>
      <c r="M210" s="3" t="str">
        <f t="shared" si="43"/>
        <v>Msr-RE-HV-DHP-20S</v>
      </c>
      <c r="N210" s="3" t="str">
        <f t="shared" si="44"/>
        <v>DMo&amp;0&amp;rDXHP&amp;Ex&amp;dxHP_equip__spltHP-SEER-BA&amp;dxAC_equip__RoomAC</v>
      </c>
      <c r="O210" s="3" t="s">
        <v>62</v>
      </c>
      <c r="P210" s="3">
        <v>0</v>
      </c>
      <c r="Q210" s="3" t="s">
        <v>57</v>
      </c>
      <c r="R210" s="3" t="s">
        <v>52</v>
      </c>
      <c r="S210" s="3" t="str">
        <f t="shared" si="66"/>
        <v>Yes</v>
      </c>
      <c r="T210" s="3" t="str">
        <f t="shared" si="67"/>
        <v>dxHP_equip__spltHP-SEER-BA</v>
      </c>
      <c r="U210" s="3" t="str">
        <f t="shared" si="68"/>
        <v>dxAC_equip__RoomAC</v>
      </c>
      <c r="V210" s="3" t="s">
        <v>105</v>
      </c>
      <c r="W210" s="3" t="s">
        <v>106</v>
      </c>
      <c r="X210" s="3" t="s">
        <v>111</v>
      </c>
      <c r="Y210" s="3" t="s">
        <v>112</v>
      </c>
      <c r="AA210" s="3" t="s">
        <v>55</v>
      </c>
      <c r="AB210" s="3" t="s">
        <v>56</v>
      </c>
    </row>
    <row r="211" spans="1:28" s="3" customFormat="1" x14ac:dyDescent="0.25">
      <c r="A211" s="3" t="s">
        <v>100</v>
      </c>
      <c r="B211" s="3" t="s">
        <v>10675</v>
      </c>
      <c r="C211" s="3" t="s">
        <v>10655</v>
      </c>
      <c r="D211" s="3" t="str">
        <f t="shared" si="65"/>
        <v>SWHC050-03 Ductless Heat Pump_MFm</v>
      </c>
      <c r="F211" s="3" t="s">
        <v>124</v>
      </c>
      <c r="G211" s="3" t="str">
        <f t="shared" si="58"/>
        <v>RE-HV-DHP-20S-replRmAC-ER</v>
      </c>
      <c r="H211" s="3" t="s">
        <v>109</v>
      </c>
      <c r="I211" s="3" t="s">
        <v>110</v>
      </c>
      <c r="J211" s="3" t="s">
        <v>123</v>
      </c>
      <c r="K211" s="3" t="str">
        <f t="shared" si="41"/>
        <v>Pre-RE-HV-RoomAC-9.0E-ERheat</v>
      </c>
      <c r="L211" s="3" t="str">
        <f t="shared" si="42"/>
        <v>Std-RE-HV-RoomAC-9.8E-ERheat</v>
      </c>
      <c r="M211" s="3" t="str">
        <f t="shared" si="43"/>
        <v>Msr-RE-HV-DHP-20S</v>
      </c>
      <c r="N211" s="3" t="str">
        <f t="shared" si="44"/>
        <v>MFm&amp;0&amp;rDXHP&amp;Ex&amp;dxHP_equip__spltHP-SEER-BA&amp;dxAC_equip__RoomAC</v>
      </c>
      <c r="O211" s="3" t="s">
        <v>63</v>
      </c>
      <c r="P211" s="3">
        <v>0</v>
      </c>
      <c r="Q211" s="3" t="s">
        <v>57</v>
      </c>
      <c r="R211" s="3" t="s">
        <v>52</v>
      </c>
      <c r="S211" s="3" t="str">
        <f t="shared" si="66"/>
        <v>Yes</v>
      </c>
      <c r="T211" s="3" t="str">
        <f t="shared" si="67"/>
        <v>dxHP_equip__spltHP-SEER-BA</v>
      </c>
      <c r="U211" s="3" t="str">
        <f t="shared" si="68"/>
        <v>dxAC_equip__RoomAC</v>
      </c>
      <c r="V211" s="3" t="s">
        <v>105</v>
      </c>
      <c r="W211" s="3" t="s">
        <v>106</v>
      </c>
      <c r="X211" s="3" t="s">
        <v>111</v>
      </c>
      <c r="Y211" s="3" t="s">
        <v>112</v>
      </c>
      <c r="AA211" s="3" t="s">
        <v>55</v>
      </c>
      <c r="AB211" s="3" t="s">
        <v>56</v>
      </c>
    </row>
    <row r="212" spans="1:28" s="3" customFormat="1" x14ac:dyDescent="0.25">
      <c r="A212" s="3" t="s">
        <v>100</v>
      </c>
      <c r="B212" s="3" t="s">
        <v>10675</v>
      </c>
      <c r="C212" s="3" t="s">
        <v>10655</v>
      </c>
      <c r="D212" s="3" t="str">
        <f t="shared" si="65"/>
        <v>SWHC050-03 Ductless Heat Pump_SFm</v>
      </c>
      <c r="F212" s="3" t="s">
        <v>125</v>
      </c>
      <c r="G212" s="3" t="str">
        <f t="shared" si="58"/>
        <v>RE-HV-DHP-21S</v>
      </c>
      <c r="H212" s="3" t="s">
        <v>102</v>
      </c>
      <c r="I212" s="3" t="s">
        <v>103</v>
      </c>
      <c r="J212" s="3" t="s">
        <v>126</v>
      </c>
      <c r="K212" s="3" t="str">
        <f t="shared" si="41"/>
        <v>Pre-RE-HV-DHP-13S</v>
      </c>
      <c r="L212" s="3" t="str">
        <f t="shared" si="42"/>
        <v>Std-RE-HV-DHP-15S</v>
      </c>
      <c r="M212" s="3" t="str">
        <f t="shared" si="43"/>
        <v>Msr-RE-HV-DHP-21S</v>
      </c>
      <c r="N212" s="3" t="str">
        <f t="shared" si="44"/>
        <v>SFm&amp;1&amp;rDXHP&amp;Ex&amp;dxHP_equip__spltHP-SEER-BA</v>
      </c>
      <c r="O212" s="3" t="s">
        <v>50</v>
      </c>
      <c r="P212" s="3">
        <v>1</v>
      </c>
      <c r="Q212" s="3" t="s">
        <v>57</v>
      </c>
      <c r="R212" s="3" t="s">
        <v>52</v>
      </c>
      <c r="S212" s="3" t="str">
        <f t="shared" si="66"/>
        <v>No</v>
      </c>
      <c r="T212" s="3" t="str">
        <f t="shared" si="67"/>
        <v>dxHP_equip__spltHP-SEER-BA</v>
      </c>
      <c r="U212" s="3" t="str">
        <f t="shared" si="68"/>
        <v>dxHP_equip__spltHP-SEER-BA</v>
      </c>
      <c r="V212" s="3" t="s">
        <v>105</v>
      </c>
      <c r="W212" s="3" t="s">
        <v>106</v>
      </c>
      <c r="X212" s="3" t="s">
        <v>105</v>
      </c>
      <c r="Y212" s="3" t="s">
        <v>106</v>
      </c>
      <c r="AA212" s="3" t="s">
        <v>55</v>
      </c>
      <c r="AB212" s="3" t="s">
        <v>56</v>
      </c>
    </row>
    <row r="213" spans="1:28" s="3" customFormat="1" x14ac:dyDescent="0.25">
      <c r="A213" s="3" t="s">
        <v>100</v>
      </c>
      <c r="B213" s="3" t="s">
        <v>10675</v>
      </c>
      <c r="C213" s="3" t="s">
        <v>10655</v>
      </c>
      <c r="D213" s="3" t="str">
        <f t="shared" si="65"/>
        <v>SWHC050-03 Ductless Heat Pump_SFm</v>
      </c>
      <c r="F213" s="3" t="s">
        <v>125</v>
      </c>
      <c r="G213" s="3" t="str">
        <f t="shared" si="58"/>
        <v>RE-HV-DHP-21S</v>
      </c>
      <c r="H213" s="3" t="s">
        <v>102</v>
      </c>
      <c r="I213" s="3" t="s">
        <v>103</v>
      </c>
      <c r="J213" s="3" t="s">
        <v>126</v>
      </c>
      <c r="K213" s="3" t="str">
        <f t="shared" si="41"/>
        <v>Pre-RE-HV-DHP-13S</v>
      </c>
      <c r="L213" s="3" t="str">
        <f t="shared" si="42"/>
        <v>Std-RE-HV-DHP-15S</v>
      </c>
      <c r="M213" s="3" t="str">
        <f t="shared" si="43"/>
        <v>Msr-RE-HV-DHP-21S</v>
      </c>
      <c r="N213" s="3" t="str">
        <f t="shared" si="44"/>
        <v>SFm&amp;2&amp;rDXHP&amp;Ex&amp;dxHP_equip__spltHP-SEER-BA</v>
      </c>
      <c r="O213" s="3" t="s">
        <v>50</v>
      </c>
      <c r="P213" s="3">
        <v>2</v>
      </c>
      <c r="Q213" s="3" t="s">
        <v>57</v>
      </c>
      <c r="R213" s="3" t="s">
        <v>52</v>
      </c>
      <c r="S213" s="3" t="str">
        <f t="shared" si="66"/>
        <v>No</v>
      </c>
      <c r="T213" s="3" t="str">
        <f t="shared" si="67"/>
        <v>dxHP_equip__spltHP-SEER-BA</v>
      </c>
      <c r="U213" s="3" t="str">
        <f t="shared" si="68"/>
        <v>dxHP_equip__spltHP-SEER-BA</v>
      </c>
      <c r="V213" s="3" t="s">
        <v>105</v>
      </c>
      <c r="W213" s="3" t="s">
        <v>106</v>
      </c>
      <c r="X213" s="3" t="s">
        <v>105</v>
      </c>
      <c r="Y213" s="3" t="s">
        <v>106</v>
      </c>
      <c r="AA213" s="3" t="s">
        <v>55</v>
      </c>
      <c r="AB213" s="3" t="s">
        <v>56</v>
      </c>
    </row>
    <row r="214" spans="1:28" s="3" customFormat="1" x14ac:dyDescent="0.25">
      <c r="A214" s="3" t="s">
        <v>100</v>
      </c>
      <c r="B214" s="3" t="s">
        <v>10675</v>
      </c>
      <c r="C214" s="3" t="s">
        <v>10655</v>
      </c>
      <c r="D214" s="3" t="str">
        <f t="shared" si="65"/>
        <v>SWHC050-03 Ductless Heat Pump_DMo</v>
      </c>
      <c r="F214" s="3" t="s">
        <v>125</v>
      </c>
      <c r="G214" s="3" t="str">
        <f t="shared" si="58"/>
        <v>RE-HV-DHP-21S</v>
      </c>
      <c r="H214" s="3" t="s">
        <v>102</v>
      </c>
      <c r="I214" s="3" t="s">
        <v>103</v>
      </c>
      <c r="J214" s="3" t="s">
        <v>126</v>
      </c>
      <c r="K214" s="3" t="str">
        <f t="shared" si="41"/>
        <v>Pre-RE-HV-DHP-13S</v>
      </c>
      <c r="L214" s="3" t="str">
        <f t="shared" si="42"/>
        <v>Std-RE-HV-DHP-15S</v>
      </c>
      <c r="M214" s="3" t="str">
        <f t="shared" si="43"/>
        <v>Msr-RE-HV-DHP-21S</v>
      </c>
      <c r="N214" s="3" t="str">
        <f t="shared" si="44"/>
        <v>DMo&amp;0&amp;rDXHP&amp;Ex&amp;dxHP_equip__spltHP-SEER-BA</v>
      </c>
      <c r="O214" s="3" t="s">
        <v>62</v>
      </c>
      <c r="P214" s="3">
        <v>0</v>
      </c>
      <c r="Q214" s="3" t="s">
        <v>57</v>
      </c>
      <c r="R214" s="3" t="s">
        <v>52</v>
      </c>
      <c r="S214" s="3" t="str">
        <f t="shared" si="66"/>
        <v>No</v>
      </c>
      <c r="T214" s="3" t="str">
        <f t="shared" si="67"/>
        <v>dxHP_equip__spltHP-SEER-BA</v>
      </c>
      <c r="U214" s="3" t="str">
        <f t="shared" si="68"/>
        <v>dxHP_equip__spltHP-SEER-BA</v>
      </c>
      <c r="V214" s="3" t="s">
        <v>105</v>
      </c>
      <c r="W214" s="3" t="s">
        <v>106</v>
      </c>
      <c r="X214" s="3" t="s">
        <v>105</v>
      </c>
      <c r="Y214" s="3" t="s">
        <v>106</v>
      </c>
      <c r="AA214" s="3" t="s">
        <v>55</v>
      </c>
      <c r="AB214" s="3" t="s">
        <v>56</v>
      </c>
    </row>
    <row r="215" spans="1:28" s="3" customFormat="1" x14ac:dyDescent="0.25">
      <c r="A215" s="3" t="s">
        <v>100</v>
      </c>
      <c r="B215" s="3" t="s">
        <v>10675</v>
      </c>
      <c r="C215" s="3" t="s">
        <v>10655</v>
      </c>
      <c r="D215" s="3" t="str">
        <f t="shared" si="65"/>
        <v>SWHC050-03 Ductless Heat Pump_MFm</v>
      </c>
      <c r="F215" s="3" t="s">
        <v>125</v>
      </c>
      <c r="G215" s="3" t="str">
        <f t="shared" si="58"/>
        <v>RE-HV-DHP-21S</v>
      </c>
      <c r="H215" s="3" t="s">
        <v>102</v>
      </c>
      <c r="I215" s="3" t="s">
        <v>103</v>
      </c>
      <c r="J215" s="3" t="s">
        <v>126</v>
      </c>
      <c r="K215" s="3" t="str">
        <f t="shared" si="41"/>
        <v>Pre-RE-HV-DHP-13S</v>
      </c>
      <c r="L215" s="3" t="str">
        <f t="shared" si="42"/>
        <v>Std-RE-HV-DHP-15S</v>
      </c>
      <c r="M215" s="3" t="str">
        <f t="shared" si="43"/>
        <v>Msr-RE-HV-DHP-21S</v>
      </c>
      <c r="N215" s="3" t="str">
        <f t="shared" si="44"/>
        <v>MFm&amp;0&amp;rDXHP&amp;Ex&amp;dxHP_equip__spltHP-SEER-BA</v>
      </c>
      <c r="O215" s="3" t="s">
        <v>63</v>
      </c>
      <c r="P215" s="3">
        <v>0</v>
      </c>
      <c r="Q215" s="3" t="s">
        <v>57</v>
      </c>
      <c r="R215" s="3" t="s">
        <v>52</v>
      </c>
      <c r="S215" s="3" t="str">
        <f t="shared" si="66"/>
        <v>No</v>
      </c>
      <c r="T215" s="3" t="str">
        <f t="shared" si="67"/>
        <v>dxHP_equip__spltHP-SEER-BA</v>
      </c>
      <c r="U215" s="3" t="str">
        <f t="shared" si="68"/>
        <v>dxHP_equip__spltHP-SEER-BA</v>
      </c>
      <c r="V215" s="3" t="s">
        <v>105</v>
      </c>
      <c r="W215" s="3" t="s">
        <v>106</v>
      </c>
      <c r="X215" s="3" t="s">
        <v>105</v>
      </c>
      <c r="Y215" s="3" t="s">
        <v>106</v>
      </c>
      <c r="AA215" s="3" t="s">
        <v>55</v>
      </c>
      <c r="AB215" s="3" t="s">
        <v>56</v>
      </c>
    </row>
    <row r="216" spans="1:28" s="3" customFormat="1" x14ac:dyDescent="0.25">
      <c r="A216" s="3" t="s">
        <v>100</v>
      </c>
      <c r="B216" s="3" t="s">
        <v>10675</v>
      </c>
      <c r="C216" s="3" t="s">
        <v>10655</v>
      </c>
      <c r="D216" s="3" t="str">
        <f t="shared" si="65"/>
        <v>SWHC050-03 Ductless Heat Pump_SFm</v>
      </c>
      <c r="F216" s="3" t="s">
        <v>125</v>
      </c>
      <c r="G216" s="3" t="str">
        <f t="shared" si="58"/>
        <v>RE-HV-DHP-21S</v>
      </c>
      <c r="H216" s="3" t="s">
        <v>102</v>
      </c>
      <c r="I216" s="3" t="s">
        <v>103</v>
      </c>
      <c r="J216" s="3" t="s">
        <v>126</v>
      </c>
      <c r="K216" s="3" t="str">
        <f t="shared" si="41"/>
        <v>Pre-RE-HV-DHP-13S</v>
      </c>
      <c r="L216" s="3" t="str">
        <f t="shared" si="42"/>
        <v>Std-RE-HV-DHP-15S</v>
      </c>
      <c r="M216" s="3" t="str">
        <f t="shared" si="43"/>
        <v>Msr-RE-HV-DHP-21S</v>
      </c>
      <c r="N216" s="3" t="str">
        <f t="shared" si="44"/>
        <v>SFm&amp;1&amp;rDXHP&amp;New&amp;dxHP_equip__spltHP-SEER-BA</v>
      </c>
      <c r="O216" s="3" t="s">
        <v>50</v>
      </c>
      <c r="P216" s="3">
        <v>1</v>
      </c>
      <c r="Q216" s="3" t="s">
        <v>57</v>
      </c>
      <c r="R216" s="3" t="s">
        <v>107</v>
      </c>
      <c r="S216" s="3" t="str">
        <f t="shared" si="66"/>
        <v>No</v>
      </c>
      <c r="T216" s="3" t="str">
        <f t="shared" si="67"/>
        <v>dxHP_equip__spltHP-SEER-BA</v>
      </c>
      <c r="U216" s="3" t="str">
        <f t="shared" si="68"/>
        <v>dxHP_equip__spltHP-SEER-BA</v>
      </c>
      <c r="V216" s="3" t="s">
        <v>105</v>
      </c>
      <c r="W216" s="3" t="s">
        <v>106</v>
      </c>
      <c r="X216" s="3" t="s">
        <v>105</v>
      </c>
      <c r="Y216" s="3" t="s">
        <v>106</v>
      </c>
      <c r="AA216" s="3" t="s">
        <v>55</v>
      </c>
      <c r="AB216" s="3" t="s">
        <v>56</v>
      </c>
    </row>
    <row r="217" spans="1:28" s="3" customFormat="1" x14ac:dyDescent="0.25">
      <c r="A217" s="3" t="s">
        <v>100</v>
      </c>
      <c r="B217" s="3" t="s">
        <v>10675</v>
      </c>
      <c r="C217" s="3" t="s">
        <v>10655</v>
      </c>
      <c r="D217" s="3" t="str">
        <f t="shared" si="65"/>
        <v>SWHC050-03 Ductless Heat Pump_SFm</v>
      </c>
      <c r="F217" s="3" t="s">
        <v>125</v>
      </c>
      <c r="G217" s="3" t="str">
        <f t="shared" si="58"/>
        <v>RE-HV-DHP-21S</v>
      </c>
      <c r="H217" s="3" t="s">
        <v>102</v>
      </c>
      <c r="I217" s="3" t="s">
        <v>103</v>
      </c>
      <c r="J217" s="3" t="s">
        <v>126</v>
      </c>
      <c r="K217" s="3" t="str">
        <f t="shared" ref="K217:K235" si="69">H217</f>
        <v>Pre-RE-HV-DHP-13S</v>
      </c>
      <c r="L217" s="3" t="str">
        <f t="shared" ref="L217:L235" si="70">I217</f>
        <v>Std-RE-HV-DHP-15S</v>
      </c>
      <c r="M217" s="3" t="str">
        <f t="shared" ref="M217:M235" si="71">J217</f>
        <v>Msr-RE-HV-DHP-21S</v>
      </c>
      <c r="N217" s="3" t="str">
        <f t="shared" ref="N217:N235" si="72">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66"/>
        <v>No</v>
      </c>
      <c r="T217" s="3" t="str">
        <f t="shared" si="67"/>
        <v>dxHP_equip__spltHP-SEER-BA</v>
      </c>
      <c r="U217" s="3" t="str">
        <f t="shared" si="68"/>
        <v>dxHP_equip__spltHP-SEER-BA</v>
      </c>
      <c r="V217" s="3" t="s">
        <v>105</v>
      </c>
      <c r="W217" s="3" t="s">
        <v>106</v>
      </c>
      <c r="X217" s="3" t="s">
        <v>105</v>
      </c>
      <c r="Y217" s="3" t="s">
        <v>106</v>
      </c>
      <c r="AA217" s="3" t="s">
        <v>55</v>
      </c>
      <c r="AB217" s="3" t="s">
        <v>56</v>
      </c>
    </row>
    <row r="218" spans="1:28" s="3" customFormat="1" x14ac:dyDescent="0.25">
      <c r="A218" s="3" t="s">
        <v>100</v>
      </c>
      <c r="B218" s="3" t="s">
        <v>10675</v>
      </c>
      <c r="C218" s="3" t="s">
        <v>10655</v>
      </c>
      <c r="D218" s="3" t="str">
        <f t="shared" si="65"/>
        <v>SWHC050-03 Ductless Heat Pump_DMo</v>
      </c>
      <c r="F218" s="3" t="s">
        <v>125</v>
      </c>
      <c r="G218" s="3" t="str">
        <f t="shared" si="58"/>
        <v>RE-HV-DHP-21S</v>
      </c>
      <c r="H218" s="3" t="s">
        <v>102</v>
      </c>
      <c r="I218" s="3" t="s">
        <v>103</v>
      </c>
      <c r="J218" s="3" t="s">
        <v>126</v>
      </c>
      <c r="K218" s="3" t="str">
        <f t="shared" si="69"/>
        <v>Pre-RE-HV-DHP-13S</v>
      </c>
      <c r="L218" s="3" t="str">
        <f t="shared" si="70"/>
        <v>Std-RE-HV-DHP-15S</v>
      </c>
      <c r="M218" s="3" t="str">
        <f t="shared" si="71"/>
        <v>Msr-RE-HV-DHP-21S</v>
      </c>
      <c r="N218" s="3" t="str">
        <f t="shared" si="72"/>
        <v>DMo&amp;0&amp;rDXHP&amp;New&amp;dxHP_equip__spltHP-SEER-BA</v>
      </c>
      <c r="O218" s="3" t="s">
        <v>62</v>
      </c>
      <c r="P218" s="3">
        <v>0</v>
      </c>
      <c r="Q218" s="3" t="s">
        <v>57</v>
      </c>
      <c r="R218" s="3" t="s">
        <v>107</v>
      </c>
      <c r="S218" s="3" t="str">
        <f t="shared" si="66"/>
        <v>No</v>
      </c>
      <c r="T218" s="3" t="str">
        <f t="shared" si="67"/>
        <v>dxHP_equip__spltHP-SEER-BA</v>
      </c>
      <c r="U218" s="3" t="str">
        <f t="shared" si="68"/>
        <v>dxHP_equip__spltHP-SEER-BA</v>
      </c>
      <c r="V218" s="3" t="s">
        <v>105</v>
      </c>
      <c r="W218" s="3" t="s">
        <v>106</v>
      </c>
      <c r="X218" s="3" t="s">
        <v>105</v>
      </c>
      <c r="Y218" s="3" t="s">
        <v>106</v>
      </c>
      <c r="AA218" s="3" t="s">
        <v>55</v>
      </c>
      <c r="AB218" s="3" t="s">
        <v>56</v>
      </c>
    </row>
    <row r="219" spans="1:28" s="3" customFormat="1" x14ac:dyDescent="0.25">
      <c r="A219" s="3" t="s">
        <v>100</v>
      </c>
      <c r="B219" s="3" t="s">
        <v>10675</v>
      </c>
      <c r="C219" s="3" t="s">
        <v>10655</v>
      </c>
      <c r="D219" s="3" t="str">
        <f t="shared" si="65"/>
        <v>SWHC050-03 Ductless Heat Pump_MFm</v>
      </c>
      <c r="F219" s="3" t="s">
        <v>125</v>
      </c>
      <c r="G219" s="3" t="str">
        <f t="shared" si="58"/>
        <v>RE-HV-DHP-21S</v>
      </c>
      <c r="H219" s="3" t="s">
        <v>102</v>
      </c>
      <c r="I219" s="3" t="s">
        <v>103</v>
      </c>
      <c r="J219" s="3" t="s">
        <v>126</v>
      </c>
      <c r="K219" s="3" t="str">
        <f t="shared" si="69"/>
        <v>Pre-RE-HV-DHP-13S</v>
      </c>
      <c r="L219" s="3" t="str">
        <f t="shared" si="70"/>
        <v>Std-RE-HV-DHP-15S</v>
      </c>
      <c r="M219" s="3" t="str">
        <f t="shared" si="71"/>
        <v>Msr-RE-HV-DHP-21S</v>
      </c>
      <c r="N219" s="3" t="str">
        <f t="shared" si="72"/>
        <v>MFm&amp;0&amp;rDXHP&amp;New&amp;dxHP_equip__spltHP-SEER-BA</v>
      </c>
      <c r="O219" s="3" t="s">
        <v>63</v>
      </c>
      <c r="P219" s="3">
        <v>0</v>
      </c>
      <c r="Q219" s="3" t="s">
        <v>57</v>
      </c>
      <c r="R219" s="3" t="s">
        <v>107</v>
      </c>
      <c r="S219" s="3" t="str">
        <f t="shared" si="66"/>
        <v>No</v>
      </c>
      <c r="T219" s="3" t="str">
        <f t="shared" si="67"/>
        <v>dxHP_equip__spltHP-SEER-BA</v>
      </c>
      <c r="U219" s="3" t="str">
        <f t="shared" si="68"/>
        <v>dxHP_equip__spltHP-SEER-BA</v>
      </c>
      <c r="V219" s="3" t="s">
        <v>105</v>
      </c>
      <c r="W219" s="3" t="s">
        <v>106</v>
      </c>
      <c r="X219" s="3" t="s">
        <v>105</v>
      </c>
      <c r="Y219" s="3" t="s">
        <v>106</v>
      </c>
      <c r="AA219" s="3" t="s">
        <v>55</v>
      </c>
      <c r="AB219" s="3" t="s">
        <v>56</v>
      </c>
    </row>
    <row r="220" spans="1:28" s="3" customFormat="1" x14ac:dyDescent="0.25">
      <c r="A220" s="3" t="s">
        <v>100</v>
      </c>
      <c r="B220" s="3" t="s">
        <v>10675</v>
      </c>
      <c r="C220" s="3" t="s">
        <v>10655</v>
      </c>
      <c r="D220" s="3" t="str">
        <f t="shared" si="65"/>
        <v>SWHC050-03 Ductless Heat Pump_SFm</v>
      </c>
      <c r="F220" s="3" t="s">
        <v>127</v>
      </c>
      <c r="G220" s="3" t="str">
        <f t="shared" si="58"/>
        <v>RE-HV-DHP-21S-replRmAC-ER</v>
      </c>
      <c r="H220" s="3" t="s">
        <v>109</v>
      </c>
      <c r="I220" s="3" t="s">
        <v>110</v>
      </c>
      <c r="J220" s="3" t="s">
        <v>126</v>
      </c>
      <c r="K220" s="3" t="str">
        <f t="shared" si="69"/>
        <v>Pre-RE-HV-RoomAC-9.0E-ERheat</v>
      </c>
      <c r="L220" s="3" t="str">
        <f t="shared" si="70"/>
        <v>Std-RE-HV-RoomAC-9.8E-ERheat</v>
      </c>
      <c r="M220" s="3" t="str">
        <f t="shared" si="71"/>
        <v>Msr-RE-HV-DHP-21S</v>
      </c>
      <c r="N220" s="3" t="str">
        <f t="shared" si="72"/>
        <v>SFm&amp;1&amp;rDXHP&amp;Ex&amp;dxHP_equip__spltHP-SEER-BA&amp;dxAC_equip__RoomAC</v>
      </c>
      <c r="O220" s="3" t="s">
        <v>50</v>
      </c>
      <c r="P220" s="3">
        <v>1</v>
      </c>
      <c r="Q220" s="3" t="s">
        <v>57</v>
      </c>
      <c r="R220" s="3" t="s">
        <v>52</v>
      </c>
      <c r="S220" s="3" t="str">
        <f t="shared" ref="S220:S231" si="73">IF(T220=U220, "No", "Yes")</f>
        <v>Yes</v>
      </c>
      <c r="T220" s="3" t="str">
        <f t="shared" ref="T220:T231" si="74">V220&amp;"__"&amp;W220</f>
        <v>dxHP_equip__spltHP-SEER-BA</v>
      </c>
      <c r="U220" s="3" t="str">
        <f t="shared" ref="U220:U231" si="75">X220&amp;"__"&amp;Y220</f>
        <v>dxAC_equip__RoomAC</v>
      </c>
      <c r="V220" s="3" t="s">
        <v>105</v>
      </c>
      <c r="W220" s="3" t="s">
        <v>106</v>
      </c>
      <c r="X220" s="3" t="s">
        <v>111</v>
      </c>
      <c r="Y220" s="3" t="s">
        <v>112</v>
      </c>
      <c r="AA220" s="3" t="s">
        <v>55</v>
      </c>
      <c r="AB220" s="3" t="s">
        <v>56</v>
      </c>
    </row>
    <row r="221" spans="1:28" s="3" customFormat="1" x14ac:dyDescent="0.25">
      <c r="A221" s="3" t="s">
        <v>100</v>
      </c>
      <c r="B221" s="3" t="s">
        <v>10675</v>
      </c>
      <c r="C221" s="3" t="s">
        <v>10655</v>
      </c>
      <c r="D221" s="3" t="str">
        <f t="shared" si="65"/>
        <v>SWHC050-03 Ductless Heat Pump_SFm</v>
      </c>
      <c r="F221" s="3" t="s">
        <v>127</v>
      </c>
      <c r="G221" s="3" t="str">
        <f t="shared" si="58"/>
        <v>RE-HV-DHP-21S-replRmAC-ER</v>
      </c>
      <c r="H221" s="3" t="s">
        <v>109</v>
      </c>
      <c r="I221" s="3" t="s">
        <v>110</v>
      </c>
      <c r="J221" s="3" t="s">
        <v>126</v>
      </c>
      <c r="K221" s="3" t="str">
        <f t="shared" si="69"/>
        <v>Pre-RE-HV-RoomAC-9.0E-ERheat</v>
      </c>
      <c r="L221" s="3" t="str">
        <f t="shared" si="70"/>
        <v>Std-RE-HV-RoomAC-9.8E-ERheat</v>
      </c>
      <c r="M221" s="3" t="str">
        <f t="shared" si="71"/>
        <v>Msr-RE-HV-DHP-21S</v>
      </c>
      <c r="N221" s="3" t="str">
        <f t="shared" si="72"/>
        <v>SFm&amp;2&amp;rDXHP&amp;Ex&amp;dxHP_equip__spltHP-SEER-BA&amp;dxAC_equip__RoomAC</v>
      </c>
      <c r="O221" s="3" t="s">
        <v>50</v>
      </c>
      <c r="P221" s="3">
        <v>2</v>
      </c>
      <c r="Q221" s="3" t="s">
        <v>57</v>
      </c>
      <c r="R221" s="3" t="s">
        <v>52</v>
      </c>
      <c r="S221" s="3" t="str">
        <f t="shared" si="73"/>
        <v>Yes</v>
      </c>
      <c r="T221" s="3" t="str">
        <f t="shared" si="74"/>
        <v>dxHP_equip__spltHP-SEER-BA</v>
      </c>
      <c r="U221" s="3" t="str">
        <f t="shared" si="75"/>
        <v>dxAC_equip__RoomAC</v>
      </c>
      <c r="V221" s="3" t="s">
        <v>105</v>
      </c>
      <c r="W221" s="3" t="s">
        <v>106</v>
      </c>
      <c r="X221" s="3" t="s">
        <v>111</v>
      </c>
      <c r="Y221" s="3" t="s">
        <v>112</v>
      </c>
      <c r="AA221" s="3" t="s">
        <v>55</v>
      </c>
      <c r="AB221" s="3" t="s">
        <v>56</v>
      </c>
    </row>
    <row r="222" spans="1:28" s="3" customFormat="1" x14ac:dyDescent="0.25">
      <c r="A222" s="3" t="s">
        <v>100</v>
      </c>
      <c r="B222" s="3" t="s">
        <v>10675</v>
      </c>
      <c r="C222" s="3" t="s">
        <v>10655</v>
      </c>
      <c r="D222" s="3" t="str">
        <f t="shared" si="65"/>
        <v>SWHC050-03 Ductless Heat Pump_DMo</v>
      </c>
      <c r="F222" s="3" t="s">
        <v>127</v>
      </c>
      <c r="G222" s="3" t="str">
        <f t="shared" si="58"/>
        <v>RE-HV-DHP-21S-replRmAC-ER</v>
      </c>
      <c r="H222" s="3" t="s">
        <v>109</v>
      </c>
      <c r="I222" s="3" t="s">
        <v>110</v>
      </c>
      <c r="J222" s="3" t="s">
        <v>126</v>
      </c>
      <c r="K222" s="3" t="str">
        <f t="shared" si="69"/>
        <v>Pre-RE-HV-RoomAC-9.0E-ERheat</v>
      </c>
      <c r="L222" s="3" t="str">
        <f t="shared" si="70"/>
        <v>Std-RE-HV-RoomAC-9.8E-ERheat</v>
      </c>
      <c r="M222" s="3" t="str">
        <f t="shared" si="71"/>
        <v>Msr-RE-HV-DHP-21S</v>
      </c>
      <c r="N222" s="3" t="str">
        <f t="shared" si="72"/>
        <v>DMo&amp;0&amp;rDXHP&amp;Ex&amp;dxHP_equip__spltHP-SEER-BA&amp;dxAC_equip__RoomAC</v>
      </c>
      <c r="O222" s="3" t="s">
        <v>62</v>
      </c>
      <c r="P222" s="3">
        <v>0</v>
      </c>
      <c r="Q222" s="3" t="s">
        <v>57</v>
      </c>
      <c r="R222" s="3" t="s">
        <v>52</v>
      </c>
      <c r="S222" s="3" t="str">
        <f t="shared" si="73"/>
        <v>Yes</v>
      </c>
      <c r="T222" s="3" t="str">
        <f t="shared" si="74"/>
        <v>dxHP_equip__spltHP-SEER-BA</v>
      </c>
      <c r="U222" s="3" t="str">
        <f t="shared" si="75"/>
        <v>dxAC_equip__RoomAC</v>
      </c>
      <c r="V222" s="3" t="s">
        <v>105</v>
      </c>
      <c r="W222" s="3" t="s">
        <v>106</v>
      </c>
      <c r="X222" s="3" t="s">
        <v>111</v>
      </c>
      <c r="Y222" s="3" t="s">
        <v>112</v>
      </c>
      <c r="AA222" s="3" t="s">
        <v>55</v>
      </c>
      <c r="AB222" s="3" t="s">
        <v>56</v>
      </c>
    </row>
    <row r="223" spans="1:28" s="3" customFormat="1" x14ac:dyDescent="0.25">
      <c r="A223" s="3" t="s">
        <v>100</v>
      </c>
      <c r="B223" s="3" t="s">
        <v>10675</v>
      </c>
      <c r="C223" s="3" t="s">
        <v>10655</v>
      </c>
      <c r="D223" s="3" t="str">
        <f t="shared" si="65"/>
        <v>SWHC050-03 Ductless Heat Pump_MFm</v>
      </c>
      <c r="F223" s="3" t="s">
        <v>127</v>
      </c>
      <c r="G223" s="3" t="str">
        <f t="shared" si="58"/>
        <v>RE-HV-DHP-21S-replRmAC-ER</v>
      </c>
      <c r="H223" s="3" t="s">
        <v>109</v>
      </c>
      <c r="I223" s="3" t="s">
        <v>110</v>
      </c>
      <c r="J223" s="3" t="s">
        <v>126</v>
      </c>
      <c r="K223" s="3" t="str">
        <f t="shared" si="69"/>
        <v>Pre-RE-HV-RoomAC-9.0E-ERheat</v>
      </c>
      <c r="L223" s="3" t="str">
        <f t="shared" si="70"/>
        <v>Std-RE-HV-RoomAC-9.8E-ERheat</v>
      </c>
      <c r="M223" s="3" t="str">
        <f t="shared" si="71"/>
        <v>Msr-RE-HV-DHP-21S</v>
      </c>
      <c r="N223" s="3" t="str">
        <f t="shared" si="72"/>
        <v>MFm&amp;0&amp;rDXHP&amp;Ex&amp;dxHP_equip__spltHP-SEER-BA&amp;dxAC_equip__RoomAC</v>
      </c>
      <c r="O223" s="3" t="s">
        <v>63</v>
      </c>
      <c r="P223" s="3">
        <v>0</v>
      </c>
      <c r="Q223" s="3" t="s">
        <v>57</v>
      </c>
      <c r="R223" s="3" t="s">
        <v>52</v>
      </c>
      <c r="S223" s="3" t="str">
        <f t="shared" si="73"/>
        <v>Yes</v>
      </c>
      <c r="T223" s="3" t="str">
        <f t="shared" si="74"/>
        <v>dxHP_equip__spltHP-SEER-BA</v>
      </c>
      <c r="U223" s="3" t="str">
        <f t="shared" si="75"/>
        <v>dxAC_equip__RoomAC</v>
      </c>
      <c r="V223" s="3" t="s">
        <v>105</v>
      </c>
      <c r="W223" s="3" t="s">
        <v>106</v>
      </c>
      <c r="X223" s="3" t="s">
        <v>111</v>
      </c>
      <c r="Y223" s="3" t="s">
        <v>112</v>
      </c>
      <c r="AA223" s="3" t="s">
        <v>55</v>
      </c>
      <c r="AB223" s="3" t="s">
        <v>56</v>
      </c>
    </row>
    <row r="224" spans="1:28" s="3" customFormat="1" x14ac:dyDescent="0.25">
      <c r="A224" s="3" t="s">
        <v>100</v>
      </c>
      <c r="B224" s="3" t="s">
        <v>10675</v>
      </c>
      <c r="C224" s="3" t="s">
        <v>10655</v>
      </c>
      <c r="D224" s="3" t="str">
        <f t="shared" si="65"/>
        <v>SWHC050-03 Ductless Heat Pump_SFm</v>
      </c>
      <c r="F224" s="3" t="s">
        <v>128</v>
      </c>
      <c r="G224" s="3" t="str">
        <f t="shared" si="58"/>
        <v>RE-HV-DHP-22S</v>
      </c>
      <c r="H224" s="3" t="s">
        <v>102</v>
      </c>
      <c r="I224" s="3" t="s">
        <v>103</v>
      </c>
      <c r="J224" s="3" t="s">
        <v>129</v>
      </c>
      <c r="K224" s="3" t="str">
        <f t="shared" si="69"/>
        <v>Pre-RE-HV-DHP-13S</v>
      </c>
      <c r="L224" s="3" t="str">
        <f t="shared" si="70"/>
        <v>Std-RE-HV-DHP-15S</v>
      </c>
      <c r="M224" s="3" t="str">
        <f t="shared" si="71"/>
        <v>Msr-RE-HV-DHP-22S</v>
      </c>
      <c r="N224" s="3" t="str">
        <f t="shared" si="72"/>
        <v>SFm&amp;1&amp;rDXHP&amp;Ex&amp;dxHP_equip__spltHP-SEER-BA</v>
      </c>
      <c r="O224" s="3" t="s">
        <v>50</v>
      </c>
      <c r="P224" s="3">
        <v>1</v>
      </c>
      <c r="Q224" s="3" t="s">
        <v>57</v>
      </c>
      <c r="R224" s="3" t="s">
        <v>52</v>
      </c>
      <c r="S224" s="3" t="str">
        <f t="shared" si="73"/>
        <v>No</v>
      </c>
      <c r="T224" s="3" t="str">
        <f t="shared" si="74"/>
        <v>dxHP_equip__spltHP-SEER-BA</v>
      </c>
      <c r="U224" s="3" t="str">
        <f t="shared" si="75"/>
        <v>dxHP_equip__spltHP-SEER-BA</v>
      </c>
      <c r="V224" s="3" t="s">
        <v>105</v>
      </c>
      <c r="W224" s="3" t="s">
        <v>106</v>
      </c>
      <c r="X224" s="3" t="s">
        <v>105</v>
      </c>
      <c r="Y224" s="3" t="s">
        <v>106</v>
      </c>
      <c r="AA224" s="3" t="s">
        <v>55</v>
      </c>
      <c r="AB224" s="3" t="s">
        <v>56</v>
      </c>
    </row>
    <row r="225" spans="1:28" s="3" customFormat="1" x14ac:dyDescent="0.25">
      <c r="A225" s="3" t="s">
        <v>100</v>
      </c>
      <c r="B225" s="3" t="s">
        <v>10675</v>
      </c>
      <c r="C225" s="3" t="s">
        <v>10655</v>
      </c>
      <c r="D225" s="3" t="str">
        <f t="shared" si="65"/>
        <v>SWHC050-03 Ductless Heat Pump_SFm</v>
      </c>
      <c r="F225" s="3" t="s">
        <v>128</v>
      </c>
      <c r="G225" s="3" t="str">
        <f t="shared" si="58"/>
        <v>RE-HV-DHP-22S</v>
      </c>
      <c r="H225" s="3" t="s">
        <v>102</v>
      </c>
      <c r="I225" s="3" t="s">
        <v>103</v>
      </c>
      <c r="J225" s="3" t="s">
        <v>129</v>
      </c>
      <c r="K225" s="3" t="str">
        <f t="shared" si="69"/>
        <v>Pre-RE-HV-DHP-13S</v>
      </c>
      <c r="L225" s="3" t="str">
        <f t="shared" si="70"/>
        <v>Std-RE-HV-DHP-15S</v>
      </c>
      <c r="M225" s="3" t="str">
        <f t="shared" si="71"/>
        <v>Msr-RE-HV-DHP-22S</v>
      </c>
      <c r="N225" s="3" t="str">
        <f t="shared" si="72"/>
        <v>SFm&amp;2&amp;rDXHP&amp;Ex&amp;dxHP_equip__spltHP-SEER-BA</v>
      </c>
      <c r="O225" s="3" t="s">
        <v>50</v>
      </c>
      <c r="P225" s="3">
        <v>2</v>
      </c>
      <c r="Q225" s="3" t="s">
        <v>57</v>
      </c>
      <c r="R225" s="3" t="s">
        <v>52</v>
      </c>
      <c r="S225" s="3" t="str">
        <f t="shared" si="73"/>
        <v>No</v>
      </c>
      <c r="T225" s="3" t="str">
        <f t="shared" si="74"/>
        <v>dxHP_equip__spltHP-SEER-BA</v>
      </c>
      <c r="U225" s="3" t="str">
        <f t="shared" si="75"/>
        <v>dxHP_equip__spltHP-SEER-BA</v>
      </c>
      <c r="V225" s="3" t="s">
        <v>105</v>
      </c>
      <c r="W225" s="3" t="s">
        <v>106</v>
      </c>
      <c r="X225" s="3" t="s">
        <v>105</v>
      </c>
      <c r="Y225" s="3" t="s">
        <v>106</v>
      </c>
      <c r="AA225" s="3" t="s">
        <v>55</v>
      </c>
      <c r="AB225" s="3" t="s">
        <v>56</v>
      </c>
    </row>
    <row r="226" spans="1:28" s="3" customFormat="1" x14ac:dyDescent="0.25">
      <c r="A226" s="3" t="s">
        <v>100</v>
      </c>
      <c r="B226" s="3" t="s">
        <v>10675</v>
      </c>
      <c r="C226" s="3" t="s">
        <v>10655</v>
      </c>
      <c r="D226" s="3" t="str">
        <f t="shared" si="65"/>
        <v>SWHC050-03 Ductless Heat Pump_DMo</v>
      </c>
      <c r="F226" s="3" t="s">
        <v>128</v>
      </c>
      <c r="G226" s="3" t="str">
        <f t="shared" si="58"/>
        <v>RE-HV-DHP-22S</v>
      </c>
      <c r="H226" s="3" t="s">
        <v>102</v>
      </c>
      <c r="I226" s="3" t="s">
        <v>103</v>
      </c>
      <c r="J226" s="3" t="s">
        <v>129</v>
      </c>
      <c r="K226" s="3" t="str">
        <f t="shared" si="69"/>
        <v>Pre-RE-HV-DHP-13S</v>
      </c>
      <c r="L226" s="3" t="str">
        <f t="shared" si="70"/>
        <v>Std-RE-HV-DHP-15S</v>
      </c>
      <c r="M226" s="3" t="str">
        <f t="shared" si="71"/>
        <v>Msr-RE-HV-DHP-22S</v>
      </c>
      <c r="N226" s="3" t="str">
        <f t="shared" si="72"/>
        <v>DMo&amp;0&amp;rDXHP&amp;Ex&amp;dxHP_equip__spltHP-SEER-BA</v>
      </c>
      <c r="O226" s="3" t="s">
        <v>62</v>
      </c>
      <c r="P226" s="3">
        <v>0</v>
      </c>
      <c r="Q226" s="3" t="s">
        <v>57</v>
      </c>
      <c r="R226" s="3" t="s">
        <v>52</v>
      </c>
      <c r="S226" s="3" t="str">
        <f t="shared" si="73"/>
        <v>No</v>
      </c>
      <c r="T226" s="3" t="str">
        <f t="shared" si="74"/>
        <v>dxHP_equip__spltHP-SEER-BA</v>
      </c>
      <c r="U226" s="3" t="str">
        <f t="shared" si="75"/>
        <v>dxHP_equip__spltHP-SEER-BA</v>
      </c>
      <c r="V226" s="3" t="s">
        <v>105</v>
      </c>
      <c r="W226" s="3" t="s">
        <v>106</v>
      </c>
      <c r="X226" s="3" t="s">
        <v>105</v>
      </c>
      <c r="Y226" s="3" t="s">
        <v>106</v>
      </c>
      <c r="AA226" s="3" t="s">
        <v>55</v>
      </c>
      <c r="AB226" s="3" t="s">
        <v>56</v>
      </c>
    </row>
    <row r="227" spans="1:28" s="3" customFormat="1" x14ac:dyDescent="0.25">
      <c r="A227" s="3" t="s">
        <v>100</v>
      </c>
      <c r="B227" s="3" t="s">
        <v>10675</v>
      </c>
      <c r="C227" s="3" t="s">
        <v>10655</v>
      </c>
      <c r="D227" s="3" t="str">
        <f t="shared" si="65"/>
        <v>SWHC050-03 Ductless Heat Pump_MFm</v>
      </c>
      <c r="F227" s="3" t="s">
        <v>128</v>
      </c>
      <c r="G227" s="3" t="str">
        <f t="shared" si="58"/>
        <v>RE-HV-DHP-22S</v>
      </c>
      <c r="H227" s="3" t="s">
        <v>102</v>
      </c>
      <c r="I227" s="3" t="s">
        <v>103</v>
      </c>
      <c r="J227" s="3" t="s">
        <v>129</v>
      </c>
      <c r="K227" s="3" t="str">
        <f t="shared" si="69"/>
        <v>Pre-RE-HV-DHP-13S</v>
      </c>
      <c r="L227" s="3" t="str">
        <f t="shared" si="70"/>
        <v>Std-RE-HV-DHP-15S</v>
      </c>
      <c r="M227" s="3" t="str">
        <f t="shared" si="71"/>
        <v>Msr-RE-HV-DHP-22S</v>
      </c>
      <c r="N227" s="3" t="str">
        <f t="shared" si="72"/>
        <v>MFm&amp;0&amp;rDXHP&amp;Ex&amp;dxHP_equip__spltHP-SEER-BA</v>
      </c>
      <c r="O227" s="3" t="s">
        <v>63</v>
      </c>
      <c r="P227" s="3">
        <v>0</v>
      </c>
      <c r="Q227" s="3" t="s">
        <v>57</v>
      </c>
      <c r="R227" s="3" t="s">
        <v>52</v>
      </c>
      <c r="S227" s="3" t="str">
        <f t="shared" si="73"/>
        <v>No</v>
      </c>
      <c r="T227" s="3" t="str">
        <f t="shared" si="74"/>
        <v>dxHP_equip__spltHP-SEER-BA</v>
      </c>
      <c r="U227" s="3" t="str">
        <f t="shared" si="75"/>
        <v>dxHP_equip__spltHP-SEER-BA</v>
      </c>
      <c r="V227" s="3" t="s">
        <v>105</v>
      </c>
      <c r="W227" s="3" t="s">
        <v>106</v>
      </c>
      <c r="X227" s="3" t="s">
        <v>105</v>
      </c>
      <c r="Y227" s="3" t="s">
        <v>106</v>
      </c>
      <c r="AA227" s="3" t="s">
        <v>55</v>
      </c>
      <c r="AB227" s="3" t="s">
        <v>56</v>
      </c>
    </row>
    <row r="228" spans="1:28" s="3" customFormat="1" x14ac:dyDescent="0.25">
      <c r="A228" s="3" t="s">
        <v>100</v>
      </c>
      <c r="B228" s="3" t="s">
        <v>10675</v>
      </c>
      <c r="C228" s="3" t="s">
        <v>10655</v>
      </c>
      <c r="D228" s="3" t="str">
        <f t="shared" si="65"/>
        <v>SWHC050-03 Ductless Heat Pump_SFm</v>
      </c>
      <c r="F228" s="3" t="s">
        <v>128</v>
      </c>
      <c r="G228" s="3" t="str">
        <f t="shared" si="58"/>
        <v>RE-HV-DHP-22S</v>
      </c>
      <c r="H228" s="3" t="s">
        <v>102</v>
      </c>
      <c r="I228" s="3" t="s">
        <v>103</v>
      </c>
      <c r="J228" s="3" t="s">
        <v>129</v>
      </c>
      <c r="K228" s="3" t="str">
        <f t="shared" si="69"/>
        <v>Pre-RE-HV-DHP-13S</v>
      </c>
      <c r="L228" s="3" t="str">
        <f t="shared" si="70"/>
        <v>Std-RE-HV-DHP-15S</v>
      </c>
      <c r="M228" s="3" t="str">
        <f t="shared" si="71"/>
        <v>Msr-RE-HV-DHP-22S</v>
      </c>
      <c r="N228" s="3" t="str">
        <f t="shared" si="72"/>
        <v>SFm&amp;1&amp;rDXHP&amp;New&amp;dxHP_equip__spltHP-SEER-BA</v>
      </c>
      <c r="O228" s="3" t="s">
        <v>50</v>
      </c>
      <c r="P228" s="3">
        <v>1</v>
      </c>
      <c r="Q228" s="3" t="s">
        <v>57</v>
      </c>
      <c r="R228" s="3" t="s">
        <v>107</v>
      </c>
      <c r="S228" s="3" t="str">
        <f t="shared" si="73"/>
        <v>No</v>
      </c>
      <c r="T228" s="3" t="str">
        <f t="shared" si="74"/>
        <v>dxHP_equip__spltHP-SEER-BA</v>
      </c>
      <c r="U228" s="3" t="str">
        <f t="shared" si="75"/>
        <v>dxHP_equip__spltHP-SEER-BA</v>
      </c>
      <c r="V228" s="3" t="s">
        <v>105</v>
      </c>
      <c r="W228" s="3" t="s">
        <v>106</v>
      </c>
      <c r="X228" s="3" t="s">
        <v>105</v>
      </c>
      <c r="Y228" s="3" t="s">
        <v>106</v>
      </c>
      <c r="AA228" s="3" t="s">
        <v>55</v>
      </c>
      <c r="AB228" s="3" t="s">
        <v>56</v>
      </c>
    </row>
    <row r="229" spans="1:28" s="3" customFormat="1" x14ac:dyDescent="0.25">
      <c r="A229" s="3" t="s">
        <v>100</v>
      </c>
      <c r="B229" s="3" t="s">
        <v>10675</v>
      </c>
      <c r="C229" s="3" t="s">
        <v>10655</v>
      </c>
      <c r="D229" s="3" t="str">
        <f t="shared" si="65"/>
        <v>SWHC050-03 Ductless Heat Pump_SFm</v>
      </c>
      <c r="F229" s="3" t="s">
        <v>128</v>
      </c>
      <c r="G229" s="3" t="str">
        <f t="shared" si="58"/>
        <v>RE-HV-DHP-22S</v>
      </c>
      <c r="H229" s="3" t="s">
        <v>102</v>
      </c>
      <c r="I229" s="3" t="s">
        <v>103</v>
      </c>
      <c r="J229" s="3" t="s">
        <v>129</v>
      </c>
      <c r="K229" s="3" t="str">
        <f t="shared" si="69"/>
        <v>Pre-RE-HV-DHP-13S</v>
      </c>
      <c r="L229" s="3" t="str">
        <f t="shared" si="70"/>
        <v>Std-RE-HV-DHP-15S</v>
      </c>
      <c r="M229" s="3" t="str">
        <f t="shared" si="71"/>
        <v>Msr-RE-HV-DHP-22S</v>
      </c>
      <c r="N229" s="3" t="str">
        <f t="shared" si="72"/>
        <v>SFm&amp;2&amp;rDXHP&amp;New&amp;dxHP_equip__spltHP-SEER-BA</v>
      </c>
      <c r="O229" s="3" t="s">
        <v>50</v>
      </c>
      <c r="P229" s="3">
        <v>2</v>
      </c>
      <c r="Q229" s="3" t="s">
        <v>57</v>
      </c>
      <c r="R229" s="3" t="s">
        <v>107</v>
      </c>
      <c r="S229" s="3" t="str">
        <f t="shared" si="73"/>
        <v>No</v>
      </c>
      <c r="T229" s="3" t="str">
        <f t="shared" si="74"/>
        <v>dxHP_equip__spltHP-SEER-BA</v>
      </c>
      <c r="U229" s="3" t="str">
        <f t="shared" si="75"/>
        <v>dxHP_equip__spltHP-SEER-BA</v>
      </c>
      <c r="V229" s="3" t="s">
        <v>105</v>
      </c>
      <c r="W229" s="3" t="s">
        <v>106</v>
      </c>
      <c r="X229" s="3" t="s">
        <v>105</v>
      </c>
      <c r="Y229" s="3" t="s">
        <v>106</v>
      </c>
      <c r="AA229" s="3" t="s">
        <v>55</v>
      </c>
      <c r="AB229" s="3" t="s">
        <v>56</v>
      </c>
    </row>
    <row r="230" spans="1:28" s="3" customFormat="1" x14ac:dyDescent="0.25">
      <c r="A230" s="3" t="s">
        <v>100</v>
      </c>
      <c r="B230" s="3" t="s">
        <v>10675</v>
      </c>
      <c r="C230" s="3" t="s">
        <v>10655</v>
      </c>
      <c r="D230" s="3" t="str">
        <f t="shared" si="65"/>
        <v>SWHC050-03 Ductless Heat Pump_DMo</v>
      </c>
      <c r="F230" s="3" t="s">
        <v>128</v>
      </c>
      <c r="G230" s="3" t="str">
        <f t="shared" si="58"/>
        <v>RE-HV-DHP-22S</v>
      </c>
      <c r="H230" s="3" t="s">
        <v>102</v>
      </c>
      <c r="I230" s="3" t="s">
        <v>103</v>
      </c>
      <c r="J230" s="3" t="s">
        <v>129</v>
      </c>
      <c r="K230" s="3" t="str">
        <f t="shared" si="69"/>
        <v>Pre-RE-HV-DHP-13S</v>
      </c>
      <c r="L230" s="3" t="str">
        <f t="shared" si="70"/>
        <v>Std-RE-HV-DHP-15S</v>
      </c>
      <c r="M230" s="3" t="str">
        <f t="shared" si="71"/>
        <v>Msr-RE-HV-DHP-22S</v>
      </c>
      <c r="N230" s="3" t="str">
        <f t="shared" si="72"/>
        <v>DMo&amp;0&amp;rDXHP&amp;New&amp;dxHP_equip__spltHP-SEER-BA</v>
      </c>
      <c r="O230" s="3" t="s">
        <v>62</v>
      </c>
      <c r="P230" s="3">
        <v>0</v>
      </c>
      <c r="Q230" s="3" t="s">
        <v>57</v>
      </c>
      <c r="R230" s="3" t="s">
        <v>107</v>
      </c>
      <c r="S230" s="3" t="str">
        <f t="shared" si="73"/>
        <v>No</v>
      </c>
      <c r="T230" s="3" t="str">
        <f t="shared" si="74"/>
        <v>dxHP_equip__spltHP-SEER-BA</v>
      </c>
      <c r="U230" s="3" t="str">
        <f t="shared" si="75"/>
        <v>dxHP_equip__spltHP-SEER-BA</v>
      </c>
      <c r="V230" s="3" t="s">
        <v>105</v>
      </c>
      <c r="W230" s="3" t="s">
        <v>106</v>
      </c>
      <c r="X230" s="3" t="s">
        <v>105</v>
      </c>
      <c r="Y230" s="3" t="s">
        <v>106</v>
      </c>
      <c r="AA230" s="3" t="s">
        <v>55</v>
      </c>
      <c r="AB230" s="3" t="s">
        <v>56</v>
      </c>
    </row>
    <row r="231" spans="1:28" s="3" customFormat="1" x14ac:dyDescent="0.25">
      <c r="A231" s="3" t="s">
        <v>100</v>
      </c>
      <c r="B231" s="3" t="s">
        <v>10675</v>
      </c>
      <c r="C231" s="3" t="s">
        <v>10655</v>
      </c>
      <c r="D231" s="3" t="str">
        <f t="shared" si="65"/>
        <v>SWHC050-03 Ductless Heat Pump_MFm</v>
      </c>
      <c r="F231" s="3" t="s">
        <v>128</v>
      </c>
      <c r="G231" s="3" t="str">
        <f t="shared" si="58"/>
        <v>RE-HV-DHP-22S</v>
      </c>
      <c r="H231" s="3" t="s">
        <v>102</v>
      </c>
      <c r="I231" s="3" t="s">
        <v>103</v>
      </c>
      <c r="J231" s="3" t="s">
        <v>129</v>
      </c>
      <c r="K231" s="3" t="str">
        <f t="shared" si="69"/>
        <v>Pre-RE-HV-DHP-13S</v>
      </c>
      <c r="L231" s="3" t="str">
        <f t="shared" si="70"/>
        <v>Std-RE-HV-DHP-15S</v>
      </c>
      <c r="M231" s="3" t="str">
        <f t="shared" si="71"/>
        <v>Msr-RE-HV-DHP-22S</v>
      </c>
      <c r="N231" s="3" t="str">
        <f t="shared" si="72"/>
        <v>MFm&amp;0&amp;rDXHP&amp;New&amp;dxHP_equip__spltHP-SEER-BA</v>
      </c>
      <c r="O231" s="3" t="s">
        <v>63</v>
      </c>
      <c r="P231" s="3">
        <v>0</v>
      </c>
      <c r="Q231" s="3" t="s">
        <v>57</v>
      </c>
      <c r="R231" s="3" t="s">
        <v>107</v>
      </c>
      <c r="S231" s="3" t="str">
        <f t="shared" si="73"/>
        <v>No</v>
      </c>
      <c r="T231" s="3" t="str">
        <f t="shared" si="74"/>
        <v>dxHP_equip__spltHP-SEER-BA</v>
      </c>
      <c r="U231" s="3" t="str">
        <f t="shared" si="75"/>
        <v>dxHP_equip__spltHP-SEER-BA</v>
      </c>
      <c r="V231" s="3" t="s">
        <v>105</v>
      </c>
      <c r="W231" s="3" t="s">
        <v>106</v>
      </c>
      <c r="X231" s="3" t="s">
        <v>105</v>
      </c>
      <c r="Y231" s="3" t="s">
        <v>106</v>
      </c>
      <c r="AA231" s="3" t="s">
        <v>55</v>
      </c>
      <c r="AB231" s="3" t="s">
        <v>56</v>
      </c>
    </row>
    <row r="232" spans="1:28" s="3" customFormat="1" x14ac:dyDescent="0.25">
      <c r="A232" s="3" t="s">
        <v>100</v>
      </c>
      <c r="B232" s="3" t="s">
        <v>10675</v>
      </c>
      <c r="C232" s="3" t="s">
        <v>10655</v>
      </c>
      <c r="D232" s="3" t="str">
        <f t="shared" si="65"/>
        <v>SWHC050-03 Ductless Heat Pump_SFm</v>
      </c>
      <c r="F232" s="3" t="s">
        <v>130</v>
      </c>
      <c r="G232" s="3" t="str">
        <f t="shared" si="58"/>
        <v>RE-HV-DHP-22S-replRmAC-ER</v>
      </c>
      <c r="H232" s="3" t="s">
        <v>109</v>
      </c>
      <c r="I232" s="3" t="s">
        <v>110</v>
      </c>
      <c r="J232" s="3" t="s">
        <v>129</v>
      </c>
      <c r="K232" s="3" t="str">
        <f t="shared" si="69"/>
        <v>Pre-RE-HV-RoomAC-9.0E-ERheat</v>
      </c>
      <c r="L232" s="3" t="str">
        <f t="shared" si="70"/>
        <v>Std-RE-HV-RoomAC-9.8E-ERheat</v>
      </c>
      <c r="M232" s="3" t="str">
        <f t="shared" si="71"/>
        <v>Msr-RE-HV-DHP-22S</v>
      </c>
      <c r="N232" s="3" t="str">
        <f t="shared" si="72"/>
        <v>SFm&amp;1&amp;rDXHP&amp;Ex&amp;dxHP_equip__spltHP-SEER-BA&amp;dxAC_equip__RoomAC</v>
      </c>
      <c r="O232" s="3" t="s">
        <v>50</v>
      </c>
      <c r="P232" s="3">
        <v>1</v>
      </c>
      <c r="Q232" s="3" t="s">
        <v>57</v>
      </c>
      <c r="R232" s="3" t="s">
        <v>52</v>
      </c>
      <c r="S232" s="3" t="str">
        <f t="shared" ref="S232:S295" si="76">IF(T232=U232, "No", "Yes")</f>
        <v>Yes</v>
      </c>
      <c r="T232" s="3" t="str">
        <f t="shared" ref="T232:T235" si="77">V232&amp;"__"&amp;W232</f>
        <v>dxHP_equip__spltHP-SEER-BA</v>
      </c>
      <c r="U232" s="3" t="str">
        <f t="shared" ref="U232:U235" si="78">X232&amp;"__"&amp;Y232</f>
        <v>dxAC_equip__RoomAC</v>
      </c>
      <c r="V232" s="3" t="s">
        <v>105</v>
      </c>
      <c r="W232" s="3" t="s">
        <v>106</v>
      </c>
      <c r="X232" s="3" t="s">
        <v>111</v>
      </c>
      <c r="Y232" s="3" t="s">
        <v>112</v>
      </c>
      <c r="AA232" s="3" t="s">
        <v>55</v>
      </c>
      <c r="AB232" s="3" t="s">
        <v>56</v>
      </c>
    </row>
    <row r="233" spans="1:28" s="3" customFormat="1" x14ac:dyDescent="0.25">
      <c r="A233" s="3" t="s">
        <v>100</v>
      </c>
      <c r="B233" s="3" t="s">
        <v>10675</v>
      </c>
      <c r="C233" s="3" t="s">
        <v>10655</v>
      </c>
      <c r="D233" s="3" t="str">
        <f t="shared" si="65"/>
        <v>SWHC050-03 Ductless Heat Pump_SFm</v>
      </c>
      <c r="F233" s="3" t="s">
        <v>130</v>
      </c>
      <c r="G233" s="3" t="str">
        <f t="shared" si="58"/>
        <v>RE-HV-DHP-22S-replRmAC-ER</v>
      </c>
      <c r="H233" s="3" t="s">
        <v>109</v>
      </c>
      <c r="I233" s="3" t="s">
        <v>110</v>
      </c>
      <c r="J233" s="3" t="s">
        <v>129</v>
      </c>
      <c r="K233" s="3" t="str">
        <f t="shared" si="69"/>
        <v>Pre-RE-HV-RoomAC-9.0E-ERheat</v>
      </c>
      <c r="L233" s="3" t="str">
        <f t="shared" si="70"/>
        <v>Std-RE-HV-RoomAC-9.8E-ERheat</v>
      </c>
      <c r="M233" s="3" t="str">
        <f t="shared" si="71"/>
        <v>Msr-RE-HV-DHP-22S</v>
      </c>
      <c r="N233" s="3" t="str">
        <f t="shared" si="72"/>
        <v>SFm&amp;2&amp;rDXHP&amp;Ex&amp;dxHP_equip__spltHP-SEER-BA&amp;dxAC_equip__RoomAC</v>
      </c>
      <c r="O233" s="3" t="s">
        <v>50</v>
      </c>
      <c r="P233" s="3">
        <v>2</v>
      </c>
      <c r="Q233" s="3" t="s">
        <v>57</v>
      </c>
      <c r="R233" s="3" t="s">
        <v>52</v>
      </c>
      <c r="S233" s="3" t="str">
        <f t="shared" si="76"/>
        <v>Yes</v>
      </c>
      <c r="T233" s="3" t="str">
        <f t="shared" si="77"/>
        <v>dxHP_equip__spltHP-SEER-BA</v>
      </c>
      <c r="U233" s="3" t="str">
        <f t="shared" si="78"/>
        <v>dxAC_equip__RoomAC</v>
      </c>
      <c r="V233" s="3" t="s">
        <v>105</v>
      </c>
      <c r="W233" s="3" t="s">
        <v>106</v>
      </c>
      <c r="X233" s="3" t="s">
        <v>111</v>
      </c>
      <c r="Y233" s="3" t="s">
        <v>112</v>
      </c>
      <c r="AA233" s="3" t="s">
        <v>55</v>
      </c>
      <c r="AB233" s="3" t="s">
        <v>56</v>
      </c>
    </row>
    <row r="234" spans="1:28" s="3" customFormat="1" x14ac:dyDescent="0.25">
      <c r="A234" s="3" t="s">
        <v>100</v>
      </c>
      <c r="B234" s="3" t="s">
        <v>10675</v>
      </c>
      <c r="C234" s="3" t="s">
        <v>10655</v>
      </c>
      <c r="D234" s="3" t="str">
        <f t="shared" si="65"/>
        <v>SWHC050-03 Ductless Heat Pump_DMo</v>
      </c>
      <c r="F234" s="3" t="s">
        <v>130</v>
      </c>
      <c r="G234" s="3" t="str">
        <f t="shared" si="58"/>
        <v>RE-HV-DHP-22S-replRmAC-ER</v>
      </c>
      <c r="H234" s="3" t="s">
        <v>109</v>
      </c>
      <c r="I234" s="3" t="s">
        <v>110</v>
      </c>
      <c r="J234" s="3" t="s">
        <v>129</v>
      </c>
      <c r="K234" s="3" t="str">
        <f t="shared" si="69"/>
        <v>Pre-RE-HV-RoomAC-9.0E-ERheat</v>
      </c>
      <c r="L234" s="3" t="str">
        <f t="shared" si="70"/>
        <v>Std-RE-HV-RoomAC-9.8E-ERheat</v>
      </c>
      <c r="M234" s="3" t="str">
        <f t="shared" si="71"/>
        <v>Msr-RE-HV-DHP-22S</v>
      </c>
      <c r="N234" s="3" t="str">
        <f t="shared" si="72"/>
        <v>DMo&amp;0&amp;rDXHP&amp;Ex&amp;dxHP_equip__spltHP-SEER-BA&amp;dxAC_equip__RoomAC</v>
      </c>
      <c r="O234" s="3" t="s">
        <v>62</v>
      </c>
      <c r="P234" s="3">
        <v>0</v>
      </c>
      <c r="Q234" s="3" t="s">
        <v>57</v>
      </c>
      <c r="R234" s="3" t="s">
        <v>52</v>
      </c>
      <c r="S234" s="3" t="str">
        <f t="shared" si="76"/>
        <v>Yes</v>
      </c>
      <c r="T234" s="3" t="str">
        <f t="shared" si="77"/>
        <v>dxHP_equip__spltHP-SEER-BA</v>
      </c>
      <c r="U234" s="3" t="str">
        <f t="shared" si="78"/>
        <v>dxAC_equip__RoomAC</v>
      </c>
      <c r="V234" s="3" t="s">
        <v>105</v>
      </c>
      <c r="W234" s="3" t="s">
        <v>106</v>
      </c>
      <c r="X234" s="3" t="s">
        <v>111</v>
      </c>
      <c r="Y234" s="3" t="s">
        <v>112</v>
      </c>
      <c r="AA234" s="3" t="s">
        <v>55</v>
      </c>
      <c r="AB234" s="3" t="s">
        <v>56</v>
      </c>
    </row>
    <row r="235" spans="1:28" s="3" customFormat="1" x14ac:dyDescent="0.25">
      <c r="A235" s="3" t="s">
        <v>100</v>
      </c>
      <c r="B235" s="3" t="s">
        <v>10675</v>
      </c>
      <c r="C235" s="3" t="s">
        <v>10655</v>
      </c>
      <c r="D235" s="3" t="str">
        <f t="shared" si="65"/>
        <v>SWHC050-03 Ductless Heat Pump_MFm</v>
      </c>
      <c r="F235" s="3" t="s">
        <v>130</v>
      </c>
      <c r="G235" s="3" t="str">
        <f t="shared" si="58"/>
        <v>RE-HV-DHP-22S-replRmAC-ER</v>
      </c>
      <c r="H235" s="3" t="s">
        <v>109</v>
      </c>
      <c r="I235" s="3" t="s">
        <v>110</v>
      </c>
      <c r="J235" s="3" t="s">
        <v>129</v>
      </c>
      <c r="K235" s="3" t="str">
        <f t="shared" si="69"/>
        <v>Pre-RE-HV-RoomAC-9.0E-ERheat</v>
      </c>
      <c r="L235" s="3" t="str">
        <f t="shared" si="70"/>
        <v>Std-RE-HV-RoomAC-9.8E-ERheat</v>
      </c>
      <c r="M235" s="3" t="str">
        <f t="shared" si="71"/>
        <v>Msr-RE-HV-DHP-22S</v>
      </c>
      <c r="N235" s="3" t="str">
        <f t="shared" si="72"/>
        <v>MFm&amp;0&amp;rDXHP&amp;Ex&amp;dxHP_equip__spltHP-SEER-BA&amp;dxAC_equip__RoomAC</v>
      </c>
      <c r="O235" s="3" t="s">
        <v>63</v>
      </c>
      <c r="P235" s="3">
        <v>0</v>
      </c>
      <c r="Q235" s="3" t="s">
        <v>57</v>
      </c>
      <c r="R235" s="3" t="s">
        <v>52</v>
      </c>
      <c r="S235" s="3" t="str">
        <f t="shared" si="76"/>
        <v>Yes</v>
      </c>
      <c r="T235" s="3" t="str">
        <f t="shared" si="77"/>
        <v>dxHP_equip__spltHP-SEER-BA</v>
      </c>
      <c r="U235" s="3" t="str">
        <f t="shared" si="78"/>
        <v>dxAC_equip__RoomAC</v>
      </c>
      <c r="V235" s="3" t="s">
        <v>105</v>
      </c>
      <c r="W235" s="3" t="s">
        <v>106</v>
      </c>
      <c r="X235" s="3" t="s">
        <v>111</v>
      </c>
      <c r="Y235" s="3" t="s">
        <v>112</v>
      </c>
      <c r="AA235" s="3" t="s">
        <v>55</v>
      </c>
      <c r="AB235" s="3" t="s">
        <v>56</v>
      </c>
    </row>
    <row r="236" spans="1:28" x14ac:dyDescent="0.25">
      <c r="A236" t="s">
        <v>131</v>
      </c>
      <c r="B236" s="3" t="s">
        <v>10675</v>
      </c>
      <c r="C236" t="s">
        <v>10656</v>
      </c>
      <c r="D236" s="3" t="str">
        <f t="shared" si="65"/>
        <v>SWHC031-03 Furnace_SFm</v>
      </c>
      <c r="E236" s="3"/>
      <c r="F236" t="s">
        <v>132</v>
      </c>
      <c r="G236" t="str">
        <f t="shared" si="58"/>
        <v>Res-GasFurnace-AFUE92-ECM</v>
      </c>
      <c r="H236" t="s">
        <v>133</v>
      </c>
      <c r="I236" t="s">
        <v>134</v>
      </c>
      <c r="J236" t="s">
        <v>135</v>
      </c>
      <c r="K236" s="32" t="s">
        <v>136</v>
      </c>
      <c r="L236" s="32" t="s">
        <v>136</v>
      </c>
      <c r="M236" t="str">
        <f>J236</f>
        <v>Msr-Res-GasFurnace-AFUE92-ECM</v>
      </c>
      <c r="N236" t="str">
        <f t="shared" ref="N236:N283" si="79">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76"/>
        <v>No</v>
      </c>
      <c r="T236" t="str">
        <f t="shared" ref="T236" si="80">V236&amp;"__"&amp;W236</f>
        <v>SpaceHtg_eq__GasFurnace</v>
      </c>
      <c r="U236" t="str">
        <f t="shared" ref="U236" si="81">X236&amp;"__"&amp;Y236</f>
        <v>SpaceHtg_eq__GasFurnace</v>
      </c>
      <c r="V236" t="s">
        <v>137</v>
      </c>
      <c r="W236" t="s">
        <v>138</v>
      </c>
      <c r="X236" t="s">
        <v>137</v>
      </c>
      <c r="Y236" t="s">
        <v>138</v>
      </c>
      <c r="AA236" t="s">
        <v>55</v>
      </c>
      <c r="AB236" s="3" t="s">
        <v>139</v>
      </c>
    </row>
    <row r="237" spans="1:28" x14ac:dyDescent="0.25">
      <c r="A237" t="s">
        <v>131</v>
      </c>
      <c r="B237" s="3" t="s">
        <v>10675</v>
      </c>
      <c r="C237" t="s">
        <v>10656</v>
      </c>
      <c r="D237" s="3" t="str">
        <f t="shared" si="65"/>
        <v>SWHC031-03 Furnace_SFm</v>
      </c>
      <c r="E237" s="3"/>
      <c r="F237" t="s">
        <v>132</v>
      </c>
      <c r="G237" t="str">
        <f t="shared" si="58"/>
        <v>Res-GasFurnace-AFUE92-ECM</v>
      </c>
      <c r="H237" t="s">
        <v>133</v>
      </c>
      <c r="I237" t="s">
        <v>134</v>
      </c>
      <c r="J237" t="s">
        <v>135</v>
      </c>
      <c r="K237" s="32" t="s">
        <v>136</v>
      </c>
      <c r="L237" s="32" t="s">
        <v>136</v>
      </c>
      <c r="M237" t="str">
        <f t="shared" ref="M237:M283" si="82">J237</f>
        <v>Msr-Res-GasFurnace-AFUE92-ECM</v>
      </c>
      <c r="N237" t="str">
        <f t="shared" si="79"/>
        <v>SFm&amp;2&amp;rDXGF&amp;Ex&amp;SpaceHtg_eq__GasFurnace</v>
      </c>
      <c r="O237" t="s">
        <v>50</v>
      </c>
      <c r="P237">
        <v>2</v>
      </c>
      <c r="Q237" t="s">
        <v>51</v>
      </c>
      <c r="R237" t="s">
        <v>52</v>
      </c>
      <c r="S237" s="3" t="str">
        <f t="shared" si="76"/>
        <v>No</v>
      </c>
      <c r="T237" t="str">
        <f t="shared" ref="T237:T284" si="83">V237&amp;"__"&amp;W237</f>
        <v>SpaceHtg_eq__GasFurnace</v>
      </c>
      <c r="U237" t="str">
        <f t="shared" ref="U237:U284" si="84">X237&amp;"__"&amp;Y237</f>
        <v>SpaceHtg_eq__GasFurnace</v>
      </c>
      <c r="V237" t="s">
        <v>137</v>
      </c>
      <c r="W237" t="s">
        <v>138</v>
      </c>
      <c r="X237" t="s">
        <v>137</v>
      </c>
      <c r="Y237" t="s">
        <v>138</v>
      </c>
      <c r="AA237" t="s">
        <v>55</v>
      </c>
      <c r="AB237" s="3" t="s">
        <v>139</v>
      </c>
    </row>
    <row r="238" spans="1:28" x14ac:dyDescent="0.25">
      <c r="A238" t="s">
        <v>131</v>
      </c>
      <c r="B238" s="3" t="s">
        <v>10675</v>
      </c>
      <c r="C238" t="s">
        <v>10656</v>
      </c>
      <c r="D238" s="3" t="str">
        <f t="shared" si="65"/>
        <v>SWHC031-03 Furnace_DMo</v>
      </c>
      <c r="E238" s="3"/>
      <c r="F238" t="s">
        <v>132</v>
      </c>
      <c r="G238" t="str">
        <f t="shared" si="58"/>
        <v>Res-GasFurnace-AFUE92-ECM</v>
      </c>
      <c r="H238" t="s">
        <v>133</v>
      </c>
      <c r="I238" t="s">
        <v>134</v>
      </c>
      <c r="J238" t="s">
        <v>135</v>
      </c>
      <c r="K238" s="32" t="s">
        <v>136</v>
      </c>
      <c r="L238" s="32" t="s">
        <v>136</v>
      </c>
      <c r="M238" t="str">
        <f t="shared" si="82"/>
        <v>Msr-Res-GasFurnace-AFUE92-ECM</v>
      </c>
      <c r="N238" t="str">
        <f t="shared" si="79"/>
        <v>DMo&amp;0&amp;rDXGF&amp;Ex&amp;SpaceHtg_eq__GasFurnace</v>
      </c>
      <c r="O238" t="s">
        <v>62</v>
      </c>
      <c r="P238">
        <v>0</v>
      </c>
      <c r="Q238" t="s">
        <v>51</v>
      </c>
      <c r="R238" t="s">
        <v>52</v>
      </c>
      <c r="S238" s="3" t="str">
        <f t="shared" si="76"/>
        <v>No</v>
      </c>
      <c r="T238" t="str">
        <f t="shared" si="83"/>
        <v>SpaceHtg_eq__GasFurnace</v>
      </c>
      <c r="U238" t="str">
        <f t="shared" si="84"/>
        <v>SpaceHtg_eq__GasFurnace</v>
      </c>
      <c r="V238" t="s">
        <v>137</v>
      </c>
      <c r="W238" t="s">
        <v>138</v>
      </c>
      <c r="X238" t="s">
        <v>137</v>
      </c>
      <c r="Y238" t="s">
        <v>138</v>
      </c>
      <c r="AA238" t="s">
        <v>55</v>
      </c>
      <c r="AB238" s="3" t="s">
        <v>139</v>
      </c>
    </row>
    <row r="239" spans="1:28" x14ac:dyDescent="0.25">
      <c r="A239" t="s">
        <v>131</v>
      </c>
      <c r="B239" s="3" t="s">
        <v>10675</v>
      </c>
      <c r="C239" t="s">
        <v>10656</v>
      </c>
      <c r="D239" s="3" t="str">
        <f t="shared" si="65"/>
        <v>SWHC031-03 Furnace_MFm</v>
      </c>
      <c r="E239" s="3"/>
      <c r="F239" t="s">
        <v>132</v>
      </c>
      <c r="G239" t="str">
        <f t="shared" si="58"/>
        <v>Res-GasFurnace-AFUE92-ECM</v>
      </c>
      <c r="H239" t="s">
        <v>133</v>
      </c>
      <c r="I239" t="s">
        <v>134</v>
      </c>
      <c r="J239" t="s">
        <v>135</v>
      </c>
      <c r="K239" s="32" t="s">
        <v>136</v>
      </c>
      <c r="L239" s="32" t="s">
        <v>136</v>
      </c>
      <c r="M239" t="str">
        <f t="shared" si="82"/>
        <v>Msr-Res-GasFurnace-AFUE92-ECM</v>
      </c>
      <c r="N239" t="str">
        <f t="shared" si="79"/>
        <v>MFm&amp;0&amp;rDXGF&amp;Ex&amp;SpaceHtg_eq__GasFurnace</v>
      </c>
      <c r="O239" t="s">
        <v>63</v>
      </c>
      <c r="P239">
        <v>0</v>
      </c>
      <c r="Q239" t="s">
        <v>51</v>
      </c>
      <c r="R239" t="s">
        <v>52</v>
      </c>
      <c r="S239" s="3" t="str">
        <f t="shared" si="76"/>
        <v>No</v>
      </c>
      <c r="T239" t="str">
        <f t="shared" si="83"/>
        <v>SpaceHtg_eq__GasFurnace</v>
      </c>
      <c r="U239" t="str">
        <f t="shared" si="84"/>
        <v>SpaceHtg_eq__GasFurnace</v>
      </c>
      <c r="V239" t="s">
        <v>137</v>
      </c>
      <c r="W239" t="s">
        <v>138</v>
      </c>
      <c r="X239" t="s">
        <v>137</v>
      </c>
      <c r="Y239" t="s">
        <v>138</v>
      </c>
      <c r="AA239" t="s">
        <v>55</v>
      </c>
      <c r="AB239" s="3" t="s">
        <v>139</v>
      </c>
    </row>
    <row r="240" spans="1:28" x14ac:dyDescent="0.25">
      <c r="A240" t="s">
        <v>131</v>
      </c>
      <c r="B240" s="3" t="s">
        <v>10675</v>
      </c>
      <c r="C240" t="s">
        <v>10656</v>
      </c>
      <c r="D240" s="3" t="str">
        <f t="shared" si="65"/>
        <v>SWHC031-03 Furnace_SFm</v>
      </c>
      <c r="E240" s="3"/>
      <c r="F240" t="s">
        <v>132</v>
      </c>
      <c r="G240" t="str">
        <f t="shared" si="58"/>
        <v>Res-GasFurnace-AFUE92-ECM</v>
      </c>
      <c r="H240" t="s">
        <v>133</v>
      </c>
      <c r="I240" t="s">
        <v>134</v>
      </c>
      <c r="J240" t="s">
        <v>135</v>
      </c>
      <c r="K240" s="32" t="s">
        <v>136</v>
      </c>
      <c r="L240" s="32" t="s">
        <v>136</v>
      </c>
      <c r="M240" t="str">
        <f t="shared" si="82"/>
        <v>Msr-Res-GasFurnace-AFUE92-ECM</v>
      </c>
      <c r="N240" t="str">
        <f t="shared" si="79"/>
        <v>SFm&amp;1&amp;rNCGF&amp;Ex&amp;SpaceHtg_eq__GasFurnace</v>
      </c>
      <c r="O240" t="s">
        <v>50</v>
      </c>
      <c r="P240">
        <v>1</v>
      </c>
      <c r="Q240" t="s">
        <v>58</v>
      </c>
      <c r="R240" t="s">
        <v>52</v>
      </c>
      <c r="S240" s="3" t="str">
        <f t="shared" si="76"/>
        <v>No</v>
      </c>
      <c r="T240" t="str">
        <f t="shared" si="83"/>
        <v>SpaceHtg_eq__GasFurnace</v>
      </c>
      <c r="U240" t="str">
        <f t="shared" si="84"/>
        <v>SpaceHtg_eq__GasFurnace</v>
      </c>
      <c r="V240" t="s">
        <v>137</v>
      </c>
      <c r="W240" t="s">
        <v>138</v>
      </c>
      <c r="X240" t="s">
        <v>137</v>
      </c>
      <c r="Y240" t="s">
        <v>138</v>
      </c>
      <c r="AA240" t="s">
        <v>55</v>
      </c>
      <c r="AB240" s="3" t="s">
        <v>139</v>
      </c>
    </row>
    <row r="241" spans="1:28" x14ac:dyDescent="0.25">
      <c r="A241" t="s">
        <v>131</v>
      </c>
      <c r="B241" s="3" t="s">
        <v>10675</v>
      </c>
      <c r="C241" t="s">
        <v>10656</v>
      </c>
      <c r="D241" s="3" t="str">
        <f t="shared" si="65"/>
        <v>SWHC031-03 Furnace_SFm</v>
      </c>
      <c r="E241" s="3"/>
      <c r="F241" t="s">
        <v>132</v>
      </c>
      <c r="G241" t="str">
        <f t="shared" si="58"/>
        <v>Res-GasFurnace-AFUE92-ECM</v>
      </c>
      <c r="H241" t="s">
        <v>133</v>
      </c>
      <c r="I241" t="s">
        <v>134</v>
      </c>
      <c r="J241" t="s">
        <v>135</v>
      </c>
      <c r="K241" s="32" t="s">
        <v>136</v>
      </c>
      <c r="L241" s="32" t="s">
        <v>136</v>
      </c>
      <c r="M241" t="str">
        <f t="shared" si="82"/>
        <v>Msr-Res-GasFurnace-AFUE92-ECM</v>
      </c>
      <c r="N241" t="str">
        <f t="shared" si="79"/>
        <v>SFm&amp;2&amp;rNCGF&amp;Ex&amp;SpaceHtg_eq__GasFurnace</v>
      </c>
      <c r="O241" t="s">
        <v>50</v>
      </c>
      <c r="P241">
        <v>2</v>
      </c>
      <c r="Q241" t="s">
        <v>58</v>
      </c>
      <c r="R241" t="s">
        <v>52</v>
      </c>
      <c r="S241" s="3" t="str">
        <f t="shared" si="76"/>
        <v>No</v>
      </c>
      <c r="T241" t="str">
        <f t="shared" si="83"/>
        <v>SpaceHtg_eq__GasFurnace</v>
      </c>
      <c r="U241" t="str">
        <f t="shared" si="84"/>
        <v>SpaceHtg_eq__GasFurnace</v>
      </c>
      <c r="V241" t="s">
        <v>137</v>
      </c>
      <c r="W241" t="s">
        <v>138</v>
      </c>
      <c r="X241" t="s">
        <v>137</v>
      </c>
      <c r="Y241" t="s">
        <v>138</v>
      </c>
      <c r="AA241" t="s">
        <v>55</v>
      </c>
      <c r="AB241" s="3" t="s">
        <v>139</v>
      </c>
    </row>
    <row r="242" spans="1:28" x14ac:dyDescent="0.25">
      <c r="A242" t="s">
        <v>131</v>
      </c>
      <c r="B242" s="3" t="s">
        <v>10675</v>
      </c>
      <c r="C242" t="s">
        <v>10656</v>
      </c>
      <c r="D242" s="3" t="str">
        <f t="shared" si="65"/>
        <v>SWHC031-03 Furnace_DMo</v>
      </c>
      <c r="E242" s="3"/>
      <c r="F242" t="s">
        <v>132</v>
      </c>
      <c r="G242" t="str">
        <f t="shared" si="58"/>
        <v>Res-GasFurnace-AFUE92-ECM</v>
      </c>
      <c r="H242" t="s">
        <v>133</v>
      </c>
      <c r="I242" t="s">
        <v>134</v>
      </c>
      <c r="J242" t="s">
        <v>135</v>
      </c>
      <c r="K242" s="32" t="s">
        <v>136</v>
      </c>
      <c r="L242" s="32" t="s">
        <v>136</v>
      </c>
      <c r="M242" t="str">
        <f t="shared" si="82"/>
        <v>Msr-Res-GasFurnace-AFUE92-ECM</v>
      </c>
      <c r="N242" t="str">
        <f t="shared" si="79"/>
        <v>DMo&amp;0&amp;rNCGF&amp;Ex&amp;SpaceHtg_eq__GasFurnace</v>
      </c>
      <c r="O242" t="s">
        <v>62</v>
      </c>
      <c r="P242">
        <v>0</v>
      </c>
      <c r="Q242" t="s">
        <v>58</v>
      </c>
      <c r="R242" t="s">
        <v>52</v>
      </c>
      <c r="S242" s="3" t="str">
        <f t="shared" si="76"/>
        <v>No</v>
      </c>
      <c r="T242" t="str">
        <f t="shared" si="83"/>
        <v>SpaceHtg_eq__GasFurnace</v>
      </c>
      <c r="U242" t="str">
        <f t="shared" si="84"/>
        <v>SpaceHtg_eq__GasFurnace</v>
      </c>
      <c r="V242" t="s">
        <v>137</v>
      </c>
      <c r="W242" t="s">
        <v>138</v>
      </c>
      <c r="X242" t="s">
        <v>137</v>
      </c>
      <c r="Y242" t="s">
        <v>138</v>
      </c>
      <c r="AA242" t="s">
        <v>55</v>
      </c>
      <c r="AB242" s="3" t="s">
        <v>139</v>
      </c>
    </row>
    <row r="243" spans="1:28" x14ac:dyDescent="0.25">
      <c r="A243" t="s">
        <v>131</v>
      </c>
      <c r="B243" s="3" t="s">
        <v>10675</v>
      </c>
      <c r="C243" t="s">
        <v>10656</v>
      </c>
      <c r="D243" s="3" t="str">
        <f t="shared" si="65"/>
        <v>SWHC031-03 Furnace_MFm</v>
      </c>
      <c r="E243" s="3"/>
      <c r="F243" t="s">
        <v>132</v>
      </c>
      <c r="G243" t="str">
        <f t="shared" si="58"/>
        <v>Res-GasFurnace-AFUE92-ECM</v>
      </c>
      <c r="H243" t="s">
        <v>133</v>
      </c>
      <c r="I243" t="s">
        <v>134</v>
      </c>
      <c r="J243" t="s">
        <v>135</v>
      </c>
      <c r="K243" s="32" t="s">
        <v>136</v>
      </c>
      <c r="L243" s="32" t="s">
        <v>136</v>
      </c>
      <c r="M243" t="str">
        <f t="shared" si="82"/>
        <v>Msr-Res-GasFurnace-AFUE92-ECM</v>
      </c>
      <c r="N243" t="str">
        <f t="shared" si="79"/>
        <v>MFm&amp;0&amp;rNCGF&amp;Ex&amp;SpaceHtg_eq__GasFurnace</v>
      </c>
      <c r="O243" t="s">
        <v>63</v>
      </c>
      <c r="P243">
        <v>0</v>
      </c>
      <c r="Q243" t="s">
        <v>58</v>
      </c>
      <c r="R243" t="s">
        <v>52</v>
      </c>
      <c r="S243" s="3" t="str">
        <f t="shared" si="76"/>
        <v>No</v>
      </c>
      <c r="T243" t="str">
        <f t="shared" si="83"/>
        <v>SpaceHtg_eq__GasFurnace</v>
      </c>
      <c r="U243" t="str">
        <f t="shared" si="84"/>
        <v>SpaceHtg_eq__GasFurnace</v>
      </c>
      <c r="V243" t="s">
        <v>137</v>
      </c>
      <c r="W243" t="s">
        <v>138</v>
      </c>
      <c r="X243" t="s">
        <v>137</v>
      </c>
      <c r="Y243" t="s">
        <v>138</v>
      </c>
      <c r="AA243" t="s">
        <v>55</v>
      </c>
      <c r="AB243" s="3" t="s">
        <v>139</v>
      </c>
    </row>
    <row r="244" spans="1:28" x14ac:dyDescent="0.25">
      <c r="A244" t="s">
        <v>131</v>
      </c>
      <c r="B244" s="3" t="s">
        <v>10675</v>
      </c>
      <c r="C244" t="s">
        <v>10656</v>
      </c>
      <c r="D244" s="3" t="str">
        <f t="shared" si="65"/>
        <v>SWHC031-03 Furnace_SFm</v>
      </c>
      <c r="E244" s="3"/>
      <c r="F244" t="s">
        <v>132</v>
      </c>
      <c r="G244" t="str">
        <f t="shared" ref="G244:G259" si="85">F244</f>
        <v>Res-GasFurnace-AFUE92-ECM</v>
      </c>
      <c r="H244" t="s">
        <v>133</v>
      </c>
      <c r="I244" t="s">
        <v>134</v>
      </c>
      <c r="J244" t="s">
        <v>135</v>
      </c>
      <c r="K244" s="32" t="s">
        <v>136</v>
      </c>
      <c r="L244" s="32" t="s">
        <v>136</v>
      </c>
      <c r="M244" t="str">
        <f t="shared" si="82"/>
        <v>Msr-Res-GasFurnace-AFUE92-ECM</v>
      </c>
      <c r="N244" t="str">
        <f t="shared" si="79"/>
        <v>SFm&amp;1&amp;rDXGF&amp;New&amp;SpaceHtg_eq__GasFurnace</v>
      </c>
      <c r="O244" t="s">
        <v>50</v>
      </c>
      <c r="P244">
        <v>1</v>
      </c>
      <c r="Q244" t="s">
        <v>51</v>
      </c>
      <c r="R244" t="s">
        <v>107</v>
      </c>
      <c r="S244" s="3" t="str">
        <f t="shared" si="76"/>
        <v>No</v>
      </c>
      <c r="T244" t="str">
        <f t="shared" si="83"/>
        <v>SpaceHtg_eq__GasFurnace</v>
      </c>
      <c r="U244" t="str">
        <f t="shared" si="84"/>
        <v>SpaceHtg_eq__GasFurnace</v>
      </c>
      <c r="V244" t="s">
        <v>137</v>
      </c>
      <c r="W244" t="s">
        <v>138</v>
      </c>
      <c r="X244" t="s">
        <v>137</v>
      </c>
      <c r="Y244" t="s">
        <v>138</v>
      </c>
      <c r="AA244" t="s">
        <v>55</v>
      </c>
      <c r="AB244" s="3" t="s">
        <v>139</v>
      </c>
    </row>
    <row r="245" spans="1:28" x14ac:dyDescent="0.25">
      <c r="A245" t="s">
        <v>131</v>
      </c>
      <c r="B245" s="3" t="s">
        <v>10675</v>
      </c>
      <c r="C245" t="s">
        <v>10656</v>
      </c>
      <c r="D245" s="3" t="str">
        <f t="shared" si="65"/>
        <v>SWHC031-03 Furnace_SFm</v>
      </c>
      <c r="E245" s="3"/>
      <c r="F245" t="s">
        <v>132</v>
      </c>
      <c r="G245" t="str">
        <f t="shared" si="85"/>
        <v>Res-GasFurnace-AFUE92-ECM</v>
      </c>
      <c r="H245" t="s">
        <v>133</v>
      </c>
      <c r="I245" t="s">
        <v>134</v>
      </c>
      <c r="J245" t="s">
        <v>135</v>
      </c>
      <c r="K245" s="32" t="s">
        <v>136</v>
      </c>
      <c r="L245" s="32" t="s">
        <v>136</v>
      </c>
      <c r="M245" t="str">
        <f t="shared" si="82"/>
        <v>Msr-Res-GasFurnace-AFUE92-ECM</v>
      </c>
      <c r="N245" t="str">
        <f t="shared" si="79"/>
        <v>SFm&amp;2&amp;rDXGF&amp;New&amp;SpaceHtg_eq__GasFurnace</v>
      </c>
      <c r="O245" t="s">
        <v>50</v>
      </c>
      <c r="P245">
        <v>2</v>
      </c>
      <c r="Q245" t="s">
        <v>51</v>
      </c>
      <c r="R245" t="s">
        <v>107</v>
      </c>
      <c r="S245" s="3" t="str">
        <f t="shared" si="76"/>
        <v>No</v>
      </c>
      <c r="T245" t="str">
        <f t="shared" si="83"/>
        <v>SpaceHtg_eq__GasFurnace</v>
      </c>
      <c r="U245" t="str">
        <f t="shared" si="84"/>
        <v>SpaceHtg_eq__GasFurnace</v>
      </c>
      <c r="V245" t="s">
        <v>137</v>
      </c>
      <c r="W245" t="s">
        <v>138</v>
      </c>
      <c r="X245" t="s">
        <v>137</v>
      </c>
      <c r="Y245" t="s">
        <v>138</v>
      </c>
      <c r="AA245" t="s">
        <v>55</v>
      </c>
      <c r="AB245" s="3" t="s">
        <v>139</v>
      </c>
    </row>
    <row r="246" spans="1:28" x14ac:dyDescent="0.25">
      <c r="A246" t="s">
        <v>131</v>
      </c>
      <c r="B246" s="3" t="s">
        <v>10675</v>
      </c>
      <c r="C246" t="s">
        <v>10656</v>
      </c>
      <c r="D246" s="3" t="str">
        <f t="shared" si="65"/>
        <v>SWHC031-03 Furnace_DMo</v>
      </c>
      <c r="E246" s="3"/>
      <c r="F246" t="s">
        <v>132</v>
      </c>
      <c r="G246" t="str">
        <f t="shared" si="85"/>
        <v>Res-GasFurnace-AFUE92-ECM</v>
      </c>
      <c r="H246" t="s">
        <v>133</v>
      </c>
      <c r="I246" t="s">
        <v>134</v>
      </c>
      <c r="J246" t="s">
        <v>135</v>
      </c>
      <c r="K246" s="32" t="s">
        <v>136</v>
      </c>
      <c r="L246" s="32" t="s">
        <v>136</v>
      </c>
      <c r="M246" t="str">
        <f t="shared" si="82"/>
        <v>Msr-Res-GasFurnace-AFUE92-ECM</v>
      </c>
      <c r="N246" t="str">
        <f t="shared" si="79"/>
        <v>DMo&amp;0&amp;rDXGF&amp;New&amp;SpaceHtg_eq__GasFurnace</v>
      </c>
      <c r="O246" t="s">
        <v>62</v>
      </c>
      <c r="P246">
        <v>0</v>
      </c>
      <c r="Q246" t="s">
        <v>51</v>
      </c>
      <c r="R246" t="s">
        <v>107</v>
      </c>
      <c r="S246" s="3" t="str">
        <f t="shared" si="76"/>
        <v>No</v>
      </c>
      <c r="T246" t="str">
        <f t="shared" si="83"/>
        <v>SpaceHtg_eq__GasFurnace</v>
      </c>
      <c r="U246" t="str">
        <f t="shared" si="84"/>
        <v>SpaceHtg_eq__GasFurnace</v>
      </c>
      <c r="V246" t="s">
        <v>137</v>
      </c>
      <c r="W246" t="s">
        <v>138</v>
      </c>
      <c r="X246" t="s">
        <v>137</v>
      </c>
      <c r="Y246" t="s">
        <v>138</v>
      </c>
      <c r="AA246" t="s">
        <v>55</v>
      </c>
      <c r="AB246" s="3" t="s">
        <v>139</v>
      </c>
    </row>
    <row r="247" spans="1:28" x14ac:dyDescent="0.25">
      <c r="A247" t="s">
        <v>131</v>
      </c>
      <c r="B247" s="3" t="s">
        <v>10675</v>
      </c>
      <c r="C247" t="s">
        <v>10656</v>
      </c>
      <c r="D247" s="3" t="str">
        <f t="shared" si="65"/>
        <v>SWHC031-03 Furnace_MFm</v>
      </c>
      <c r="E247" s="3"/>
      <c r="F247" t="s">
        <v>132</v>
      </c>
      <c r="G247" t="str">
        <f t="shared" si="85"/>
        <v>Res-GasFurnace-AFUE92-ECM</v>
      </c>
      <c r="H247" t="s">
        <v>133</v>
      </c>
      <c r="I247" t="s">
        <v>134</v>
      </c>
      <c r="J247" t="s">
        <v>135</v>
      </c>
      <c r="K247" s="32" t="s">
        <v>136</v>
      </c>
      <c r="L247" s="32" t="s">
        <v>136</v>
      </c>
      <c r="M247" t="str">
        <f t="shared" si="82"/>
        <v>Msr-Res-GasFurnace-AFUE92-ECM</v>
      </c>
      <c r="N247" t="str">
        <f t="shared" si="79"/>
        <v>MFm&amp;0&amp;rDXGF&amp;New&amp;SpaceHtg_eq__GasFurnace</v>
      </c>
      <c r="O247" t="s">
        <v>63</v>
      </c>
      <c r="P247">
        <v>0</v>
      </c>
      <c r="Q247" t="s">
        <v>51</v>
      </c>
      <c r="R247" t="s">
        <v>107</v>
      </c>
      <c r="S247" s="3" t="str">
        <f t="shared" si="76"/>
        <v>No</v>
      </c>
      <c r="T247" t="str">
        <f t="shared" si="83"/>
        <v>SpaceHtg_eq__GasFurnace</v>
      </c>
      <c r="U247" t="str">
        <f t="shared" si="84"/>
        <v>SpaceHtg_eq__GasFurnace</v>
      </c>
      <c r="V247" t="s">
        <v>137</v>
      </c>
      <c r="W247" t="s">
        <v>138</v>
      </c>
      <c r="X247" t="s">
        <v>137</v>
      </c>
      <c r="Y247" t="s">
        <v>138</v>
      </c>
      <c r="AA247" t="s">
        <v>55</v>
      </c>
      <c r="AB247" s="3" t="s">
        <v>139</v>
      </c>
    </row>
    <row r="248" spans="1:28" x14ac:dyDescent="0.25">
      <c r="A248" t="s">
        <v>131</v>
      </c>
      <c r="B248" s="3" t="s">
        <v>10675</v>
      </c>
      <c r="C248" t="s">
        <v>10656</v>
      </c>
      <c r="D248" s="3" t="str">
        <f t="shared" si="65"/>
        <v>SWHC031-03 Furnace_SFm</v>
      </c>
      <c r="E248" s="3"/>
      <c r="F248" t="s">
        <v>132</v>
      </c>
      <c r="G248" t="str">
        <f t="shared" si="85"/>
        <v>Res-GasFurnace-AFUE92-ECM</v>
      </c>
      <c r="H248" t="s">
        <v>133</v>
      </c>
      <c r="I248" t="s">
        <v>134</v>
      </c>
      <c r="J248" t="s">
        <v>135</v>
      </c>
      <c r="K248" s="32" t="s">
        <v>136</v>
      </c>
      <c r="L248" s="32" t="s">
        <v>136</v>
      </c>
      <c r="M248" t="str">
        <f t="shared" si="82"/>
        <v>Msr-Res-GasFurnace-AFUE92-ECM</v>
      </c>
      <c r="N248" t="str">
        <f t="shared" si="79"/>
        <v>SFm&amp;1&amp;rNCGF&amp;New&amp;SpaceHtg_eq__GasFurnace</v>
      </c>
      <c r="O248" t="s">
        <v>50</v>
      </c>
      <c r="P248">
        <v>1</v>
      </c>
      <c r="Q248" t="s">
        <v>58</v>
      </c>
      <c r="R248" t="s">
        <v>107</v>
      </c>
      <c r="S248" s="3" t="str">
        <f t="shared" si="76"/>
        <v>No</v>
      </c>
      <c r="T248" t="str">
        <f t="shared" si="83"/>
        <v>SpaceHtg_eq__GasFurnace</v>
      </c>
      <c r="U248" t="str">
        <f t="shared" si="84"/>
        <v>SpaceHtg_eq__GasFurnace</v>
      </c>
      <c r="V248" t="s">
        <v>137</v>
      </c>
      <c r="W248" t="s">
        <v>138</v>
      </c>
      <c r="X248" t="s">
        <v>137</v>
      </c>
      <c r="Y248" t="s">
        <v>138</v>
      </c>
      <c r="AA248" t="s">
        <v>55</v>
      </c>
      <c r="AB248" s="3" t="s">
        <v>139</v>
      </c>
    </row>
    <row r="249" spans="1:28" x14ac:dyDescent="0.25">
      <c r="A249" t="s">
        <v>131</v>
      </c>
      <c r="B249" s="3" t="s">
        <v>10675</v>
      </c>
      <c r="C249" t="s">
        <v>10656</v>
      </c>
      <c r="D249" s="3" t="str">
        <f t="shared" si="65"/>
        <v>SWHC031-03 Furnace_SFm</v>
      </c>
      <c r="E249" s="3"/>
      <c r="F249" t="s">
        <v>132</v>
      </c>
      <c r="G249" t="str">
        <f t="shared" si="85"/>
        <v>Res-GasFurnace-AFUE92-ECM</v>
      </c>
      <c r="H249" t="s">
        <v>133</v>
      </c>
      <c r="I249" t="s">
        <v>134</v>
      </c>
      <c r="J249" t="s">
        <v>135</v>
      </c>
      <c r="K249" s="32" t="s">
        <v>136</v>
      </c>
      <c r="L249" s="32" t="s">
        <v>136</v>
      </c>
      <c r="M249" t="str">
        <f t="shared" si="82"/>
        <v>Msr-Res-GasFurnace-AFUE92-ECM</v>
      </c>
      <c r="N249" t="str">
        <f t="shared" si="79"/>
        <v>SFm&amp;2&amp;rNCGF&amp;New&amp;SpaceHtg_eq__GasFurnace</v>
      </c>
      <c r="O249" t="s">
        <v>50</v>
      </c>
      <c r="P249">
        <v>2</v>
      </c>
      <c r="Q249" t="s">
        <v>58</v>
      </c>
      <c r="R249" t="s">
        <v>107</v>
      </c>
      <c r="S249" s="3" t="str">
        <f t="shared" si="76"/>
        <v>No</v>
      </c>
      <c r="T249" t="str">
        <f t="shared" si="83"/>
        <v>SpaceHtg_eq__GasFurnace</v>
      </c>
      <c r="U249" t="str">
        <f t="shared" si="84"/>
        <v>SpaceHtg_eq__GasFurnace</v>
      </c>
      <c r="V249" t="s">
        <v>137</v>
      </c>
      <c r="W249" t="s">
        <v>138</v>
      </c>
      <c r="X249" t="s">
        <v>137</v>
      </c>
      <c r="Y249" t="s">
        <v>138</v>
      </c>
      <c r="AA249" t="s">
        <v>55</v>
      </c>
      <c r="AB249" s="3" t="s">
        <v>139</v>
      </c>
    </row>
    <row r="250" spans="1:28" x14ac:dyDescent="0.25">
      <c r="A250" t="s">
        <v>131</v>
      </c>
      <c r="B250" s="3" t="s">
        <v>10675</v>
      </c>
      <c r="C250" t="s">
        <v>10656</v>
      </c>
      <c r="D250" s="3" t="str">
        <f t="shared" si="65"/>
        <v>SWHC031-03 Furnace_DMo</v>
      </c>
      <c r="E250" s="3"/>
      <c r="F250" t="s">
        <v>132</v>
      </c>
      <c r="G250" t="str">
        <f t="shared" si="85"/>
        <v>Res-GasFurnace-AFUE92-ECM</v>
      </c>
      <c r="H250" t="s">
        <v>133</v>
      </c>
      <c r="I250" t="s">
        <v>134</v>
      </c>
      <c r="J250" t="s">
        <v>135</v>
      </c>
      <c r="K250" s="32" t="s">
        <v>136</v>
      </c>
      <c r="L250" s="32" t="s">
        <v>136</v>
      </c>
      <c r="M250" t="str">
        <f t="shared" si="82"/>
        <v>Msr-Res-GasFurnace-AFUE92-ECM</v>
      </c>
      <c r="N250" t="str">
        <f t="shared" si="79"/>
        <v>DMo&amp;0&amp;rNCGF&amp;New&amp;SpaceHtg_eq__GasFurnace</v>
      </c>
      <c r="O250" t="s">
        <v>62</v>
      </c>
      <c r="P250">
        <v>0</v>
      </c>
      <c r="Q250" t="s">
        <v>58</v>
      </c>
      <c r="R250" t="s">
        <v>107</v>
      </c>
      <c r="S250" s="3" t="str">
        <f t="shared" si="76"/>
        <v>No</v>
      </c>
      <c r="T250" t="str">
        <f t="shared" si="83"/>
        <v>SpaceHtg_eq__GasFurnace</v>
      </c>
      <c r="U250" t="str">
        <f t="shared" si="84"/>
        <v>SpaceHtg_eq__GasFurnace</v>
      </c>
      <c r="V250" t="s">
        <v>137</v>
      </c>
      <c r="W250" t="s">
        <v>138</v>
      </c>
      <c r="X250" t="s">
        <v>137</v>
      </c>
      <c r="Y250" t="s">
        <v>138</v>
      </c>
      <c r="AA250" t="s">
        <v>55</v>
      </c>
      <c r="AB250" s="3" t="s">
        <v>139</v>
      </c>
    </row>
    <row r="251" spans="1:28" x14ac:dyDescent="0.25">
      <c r="A251" t="s">
        <v>131</v>
      </c>
      <c r="B251" s="3" t="s">
        <v>10675</v>
      </c>
      <c r="C251" t="s">
        <v>10656</v>
      </c>
      <c r="D251" s="3" t="str">
        <f t="shared" si="65"/>
        <v>SWHC031-03 Furnace_MFm</v>
      </c>
      <c r="E251" s="3"/>
      <c r="F251" t="s">
        <v>132</v>
      </c>
      <c r="G251" t="str">
        <f t="shared" si="85"/>
        <v>Res-GasFurnace-AFUE92-ECM</v>
      </c>
      <c r="H251" t="s">
        <v>133</v>
      </c>
      <c r="I251" t="s">
        <v>134</v>
      </c>
      <c r="J251" t="s">
        <v>135</v>
      </c>
      <c r="K251" s="32" t="s">
        <v>136</v>
      </c>
      <c r="L251" s="32" t="s">
        <v>136</v>
      </c>
      <c r="M251" t="str">
        <f t="shared" si="82"/>
        <v>Msr-Res-GasFurnace-AFUE92-ECM</v>
      </c>
      <c r="N251" t="str">
        <f t="shared" si="79"/>
        <v>MFm&amp;0&amp;rNCGF&amp;New&amp;SpaceHtg_eq__GasFurnace</v>
      </c>
      <c r="O251" t="s">
        <v>63</v>
      </c>
      <c r="P251">
        <v>0</v>
      </c>
      <c r="Q251" t="s">
        <v>58</v>
      </c>
      <c r="R251" t="s">
        <v>107</v>
      </c>
      <c r="S251" s="3" t="str">
        <f t="shared" si="76"/>
        <v>No</v>
      </c>
      <c r="T251" t="str">
        <f t="shared" si="83"/>
        <v>SpaceHtg_eq__GasFurnace</v>
      </c>
      <c r="U251" t="str">
        <f t="shared" si="84"/>
        <v>SpaceHtg_eq__GasFurnace</v>
      </c>
      <c r="V251" t="s">
        <v>137</v>
      </c>
      <c r="W251" t="s">
        <v>138</v>
      </c>
      <c r="X251" t="s">
        <v>137</v>
      </c>
      <c r="Y251" t="s">
        <v>138</v>
      </c>
      <c r="AA251" t="s">
        <v>55</v>
      </c>
      <c r="AB251" s="3" t="s">
        <v>139</v>
      </c>
    </row>
    <row r="252" spans="1:28" x14ac:dyDescent="0.25">
      <c r="A252" t="s">
        <v>131</v>
      </c>
      <c r="B252" s="3" t="s">
        <v>10675</v>
      </c>
      <c r="C252" t="s">
        <v>10656</v>
      </c>
      <c r="D252" s="3" t="str">
        <f t="shared" si="65"/>
        <v>SWHC031-03 Furnace_SFm</v>
      </c>
      <c r="E252" s="3"/>
      <c r="F252" t="s">
        <v>140</v>
      </c>
      <c r="G252" t="str">
        <f t="shared" si="85"/>
        <v>Res-GasFurnace-AFUE95-ECM</v>
      </c>
      <c r="H252" t="s">
        <v>133</v>
      </c>
      <c r="I252" t="s">
        <v>134</v>
      </c>
      <c r="J252" t="s">
        <v>141</v>
      </c>
      <c r="K252" s="32" t="s">
        <v>136</v>
      </c>
      <c r="L252" s="32" t="s">
        <v>136</v>
      </c>
      <c r="M252" t="str">
        <f t="shared" si="82"/>
        <v>Msr-Res-GasFurnace-AFUE95-ECM</v>
      </c>
      <c r="N252" t="str">
        <f t="shared" si="79"/>
        <v>SFm&amp;1&amp;rDXGF&amp;Ex&amp;SpaceHtg_eq__GasFurnace</v>
      </c>
      <c r="O252" t="s">
        <v>50</v>
      </c>
      <c r="P252">
        <v>1</v>
      </c>
      <c r="Q252" t="s">
        <v>51</v>
      </c>
      <c r="R252" t="s">
        <v>52</v>
      </c>
      <c r="S252" s="3" t="str">
        <f t="shared" si="76"/>
        <v>No</v>
      </c>
      <c r="T252" t="str">
        <f t="shared" si="83"/>
        <v>SpaceHtg_eq__GasFurnace</v>
      </c>
      <c r="U252" t="str">
        <f t="shared" si="84"/>
        <v>SpaceHtg_eq__GasFurnace</v>
      </c>
      <c r="V252" t="s">
        <v>137</v>
      </c>
      <c r="W252" t="s">
        <v>138</v>
      </c>
      <c r="X252" t="s">
        <v>137</v>
      </c>
      <c r="Y252" t="s">
        <v>138</v>
      </c>
      <c r="AA252" t="s">
        <v>55</v>
      </c>
      <c r="AB252" s="3" t="s">
        <v>139</v>
      </c>
    </row>
    <row r="253" spans="1:28" x14ac:dyDescent="0.25">
      <c r="A253" t="s">
        <v>131</v>
      </c>
      <c r="B253" s="3" t="s">
        <v>10675</v>
      </c>
      <c r="C253" t="s">
        <v>10656</v>
      </c>
      <c r="D253" s="3" t="str">
        <f t="shared" si="65"/>
        <v>SWHC031-03 Furnace_SFm</v>
      </c>
      <c r="E253" s="3"/>
      <c r="F253" t="s">
        <v>140</v>
      </c>
      <c r="G253" t="str">
        <f t="shared" si="85"/>
        <v>Res-GasFurnace-AFUE95-ECM</v>
      </c>
      <c r="H253" t="s">
        <v>133</v>
      </c>
      <c r="I253" t="s">
        <v>134</v>
      </c>
      <c r="J253" t="s">
        <v>141</v>
      </c>
      <c r="K253" s="32" t="s">
        <v>136</v>
      </c>
      <c r="L253" s="32" t="s">
        <v>136</v>
      </c>
      <c r="M253" t="str">
        <f t="shared" si="82"/>
        <v>Msr-Res-GasFurnace-AFUE95-ECM</v>
      </c>
      <c r="N253" t="str">
        <f t="shared" si="79"/>
        <v>SFm&amp;2&amp;rDXGF&amp;Ex&amp;SpaceHtg_eq__GasFurnace</v>
      </c>
      <c r="O253" t="s">
        <v>50</v>
      </c>
      <c r="P253">
        <v>2</v>
      </c>
      <c r="Q253" t="s">
        <v>51</v>
      </c>
      <c r="R253" t="s">
        <v>52</v>
      </c>
      <c r="S253" s="3" t="str">
        <f t="shared" si="76"/>
        <v>No</v>
      </c>
      <c r="T253" t="str">
        <f t="shared" si="83"/>
        <v>SpaceHtg_eq__GasFurnace</v>
      </c>
      <c r="U253" t="str">
        <f t="shared" si="84"/>
        <v>SpaceHtg_eq__GasFurnace</v>
      </c>
      <c r="V253" t="s">
        <v>137</v>
      </c>
      <c r="W253" t="s">
        <v>138</v>
      </c>
      <c r="X253" t="s">
        <v>137</v>
      </c>
      <c r="Y253" t="s">
        <v>138</v>
      </c>
      <c r="AA253" t="s">
        <v>55</v>
      </c>
      <c r="AB253" s="3" t="s">
        <v>139</v>
      </c>
    </row>
    <row r="254" spans="1:28" x14ac:dyDescent="0.25">
      <c r="A254" t="s">
        <v>131</v>
      </c>
      <c r="B254" s="3" t="s">
        <v>10675</v>
      </c>
      <c r="C254" t="s">
        <v>10656</v>
      </c>
      <c r="D254" s="3" t="str">
        <f t="shared" si="65"/>
        <v>SWHC031-03 Furnace_DMo</v>
      </c>
      <c r="E254" s="3"/>
      <c r="F254" t="s">
        <v>140</v>
      </c>
      <c r="G254" t="str">
        <f t="shared" si="85"/>
        <v>Res-GasFurnace-AFUE95-ECM</v>
      </c>
      <c r="H254" t="s">
        <v>133</v>
      </c>
      <c r="I254" t="s">
        <v>134</v>
      </c>
      <c r="J254" t="s">
        <v>141</v>
      </c>
      <c r="K254" s="32" t="s">
        <v>136</v>
      </c>
      <c r="L254" s="32" t="s">
        <v>136</v>
      </c>
      <c r="M254" t="str">
        <f t="shared" si="82"/>
        <v>Msr-Res-GasFurnace-AFUE95-ECM</v>
      </c>
      <c r="N254" t="str">
        <f t="shared" si="79"/>
        <v>DMo&amp;0&amp;rDXGF&amp;Ex&amp;SpaceHtg_eq__GasFurnace</v>
      </c>
      <c r="O254" t="s">
        <v>62</v>
      </c>
      <c r="P254">
        <v>0</v>
      </c>
      <c r="Q254" t="s">
        <v>51</v>
      </c>
      <c r="R254" t="s">
        <v>52</v>
      </c>
      <c r="S254" s="3" t="str">
        <f t="shared" si="76"/>
        <v>No</v>
      </c>
      <c r="T254" t="str">
        <f t="shared" si="83"/>
        <v>SpaceHtg_eq__GasFurnace</v>
      </c>
      <c r="U254" t="str">
        <f t="shared" si="84"/>
        <v>SpaceHtg_eq__GasFurnace</v>
      </c>
      <c r="V254" t="s">
        <v>137</v>
      </c>
      <c r="W254" t="s">
        <v>138</v>
      </c>
      <c r="X254" t="s">
        <v>137</v>
      </c>
      <c r="Y254" t="s">
        <v>138</v>
      </c>
      <c r="AA254" t="s">
        <v>55</v>
      </c>
      <c r="AB254" s="3" t="s">
        <v>139</v>
      </c>
    </row>
    <row r="255" spans="1:28" x14ac:dyDescent="0.25">
      <c r="A255" t="s">
        <v>131</v>
      </c>
      <c r="B255" s="3" t="s">
        <v>10675</v>
      </c>
      <c r="C255" t="s">
        <v>10656</v>
      </c>
      <c r="D255" s="3" t="str">
        <f t="shared" si="65"/>
        <v>SWHC031-03 Furnace_MFm</v>
      </c>
      <c r="E255" s="3"/>
      <c r="F255" t="s">
        <v>140</v>
      </c>
      <c r="G255" t="str">
        <f t="shared" si="85"/>
        <v>Res-GasFurnace-AFUE95-ECM</v>
      </c>
      <c r="H255" t="s">
        <v>133</v>
      </c>
      <c r="I255" t="s">
        <v>134</v>
      </c>
      <c r="J255" t="s">
        <v>141</v>
      </c>
      <c r="K255" s="32" t="s">
        <v>136</v>
      </c>
      <c r="L255" s="32" t="s">
        <v>136</v>
      </c>
      <c r="M255" t="str">
        <f t="shared" si="82"/>
        <v>Msr-Res-GasFurnace-AFUE95-ECM</v>
      </c>
      <c r="N255" t="str">
        <f t="shared" si="79"/>
        <v>MFm&amp;0&amp;rDXGF&amp;Ex&amp;SpaceHtg_eq__GasFurnace</v>
      </c>
      <c r="O255" t="s">
        <v>63</v>
      </c>
      <c r="P255">
        <v>0</v>
      </c>
      <c r="Q255" t="s">
        <v>51</v>
      </c>
      <c r="R255" t="s">
        <v>52</v>
      </c>
      <c r="S255" s="3" t="str">
        <f t="shared" si="76"/>
        <v>No</v>
      </c>
      <c r="T255" t="str">
        <f t="shared" si="83"/>
        <v>SpaceHtg_eq__GasFurnace</v>
      </c>
      <c r="U255" t="str">
        <f t="shared" si="84"/>
        <v>SpaceHtg_eq__GasFurnace</v>
      </c>
      <c r="V255" t="s">
        <v>137</v>
      </c>
      <c r="W255" t="s">
        <v>138</v>
      </c>
      <c r="X255" t="s">
        <v>137</v>
      </c>
      <c r="Y255" t="s">
        <v>138</v>
      </c>
      <c r="AA255" t="s">
        <v>55</v>
      </c>
      <c r="AB255" s="3" t="s">
        <v>139</v>
      </c>
    </row>
    <row r="256" spans="1:28" x14ac:dyDescent="0.25">
      <c r="A256" t="s">
        <v>131</v>
      </c>
      <c r="B256" s="3" t="s">
        <v>10675</v>
      </c>
      <c r="C256" t="s">
        <v>10656</v>
      </c>
      <c r="D256" s="3" t="str">
        <f t="shared" si="65"/>
        <v>SWHC031-03 Furnace_SFm</v>
      </c>
      <c r="E256" s="3"/>
      <c r="F256" t="s">
        <v>140</v>
      </c>
      <c r="G256" t="str">
        <f t="shared" si="85"/>
        <v>Res-GasFurnace-AFUE95-ECM</v>
      </c>
      <c r="H256" t="s">
        <v>133</v>
      </c>
      <c r="I256" t="s">
        <v>134</v>
      </c>
      <c r="J256" t="s">
        <v>141</v>
      </c>
      <c r="K256" s="32" t="s">
        <v>136</v>
      </c>
      <c r="L256" s="32" t="s">
        <v>136</v>
      </c>
      <c r="M256" t="str">
        <f t="shared" si="82"/>
        <v>Msr-Res-GasFurnace-AFUE95-ECM</v>
      </c>
      <c r="N256" t="str">
        <f t="shared" si="79"/>
        <v>SFm&amp;1&amp;rNCGF&amp;Ex&amp;SpaceHtg_eq__GasFurnace</v>
      </c>
      <c r="O256" t="s">
        <v>50</v>
      </c>
      <c r="P256">
        <v>1</v>
      </c>
      <c r="Q256" t="s">
        <v>58</v>
      </c>
      <c r="R256" t="s">
        <v>52</v>
      </c>
      <c r="S256" s="3" t="str">
        <f t="shared" si="76"/>
        <v>No</v>
      </c>
      <c r="T256" t="str">
        <f t="shared" si="83"/>
        <v>SpaceHtg_eq__GasFurnace</v>
      </c>
      <c r="U256" t="str">
        <f t="shared" si="84"/>
        <v>SpaceHtg_eq__GasFurnace</v>
      </c>
      <c r="V256" t="s">
        <v>137</v>
      </c>
      <c r="W256" t="s">
        <v>138</v>
      </c>
      <c r="X256" t="s">
        <v>137</v>
      </c>
      <c r="Y256" t="s">
        <v>138</v>
      </c>
      <c r="AA256" t="s">
        <v>55</v>
      </c>
      <c r="AB256" s="3" t="s">
        <v>139</v>
      </c>
    </row>
    <row r="257" spans="1:28" x14ac:dyDescent="0.25">
      <c r="A257" t="s">
        <v>131</v>
      </c>
      <c r="B257" s="3" t="s">
        <v>10675</v>
      </c>
      <c r="C257" t="s">
        <v>10656</v>
      </c>
      <c r="D257" s="3" t="str">
        <f t="shared" si="65"/>
        <v>SWHC031-03 Furnace_SFm</v>
      </c>
      <c r="E257" s="3"/>
      <c r="F257" t="s">
        <v>140</v>
      </c>
      <c r="G257" t="str">
        <f t="shared" si="85"/>
        <v>Res-GasFurnace-AFUE95-ECM</v>
      </c>
      <c r="H257" t="s">
        <v>133</v>
      </c>
      <c r="I257" t="s">
        <v>134</v>
      </c>
      <c r="J257" t="s">
        <v>141</v>
      </c>
      <c r="K257" s="32" t="s">
        <v>136</v>
      </c>
      <c r="L257" s="32" t="s">
        <v>136</v>
      </c>
      <c r="M257" t="str">
        <f t="shared" si="82"/>
        <v>Msr-Res-GasFurnace-AFUE95-ECM</v>
      </c>
      <c r="N257" t="str">
        <f t="shared" si="79"/>
        <v>SFm&amp;2&amp;rNCGF&amp;Ex&amp;SpaceHtg_eq__GasFurnace</v>
      </c>
      <c r="O257" t="s">
        <v>50</v>
      </c>
      <c r="P257">
        <v>2</v>
      </c>
      <c r="Q257" t="s">
        <v>58</v>
      </c>
      <c r="R257" t="s">
        <v>52</v>
      </c>
      <c r="S257" s="3" t="str">
        <f t="shared" si="76"/>
        <v>No</v>
      </c>
      <c r="T257" t="str">
        <f t="shared" si="83"/>
        <v>SpaceHtg_eq__GasFurnace</v>
      </c>
      <c r="U257" t="str">
        <f t="shared" si="84"/>
        <v>SpaceHtg_eq__GasFurnace</v>
      </c>
      <c r="V257" t="s">
        <v>137</v>
      </c>
      <c r="W257" t="s">
        <v>138</v>
      </c>
      <c r="X257" t="s">
        <v>137</v>
      </c>
      <c r="Y257" t="s">
        <v>138</v>
      </c>
      <c r="AA257" t="s">
        <v>55</v>
      </c>
      <c r="AB257" s="3" t="s">
        <v>139</v>
      </c>
    </row>
    <row r="258" spans="1:28" x14ac:dyDescent="0.25">
      <c r="A258" t="s">
        <v>131</v>
      </c>
      <c r="B258" s="3" t="s">
        <v>10675</v>
      </c>
      <c r="C258" t="s">
        <v>10656</v>
      </c>
      <c r="D258" s="3" t="str">
        <f t="shared" si="65"/>
        <v>SWHC031-03 Furnace_DMo</v>
      </c>
      <c r="E258" s="3"/>
      <c r="F258" t="s">
        <v>140</v>
      </c>
      <c r="G258" t="str">
        <f t="shared" si="85"/>
        <v>Res-GasFurnace-AFUE95-ECM</v>
      </c>
      <c r="H258" t="s">
        <v>133</v>
      </c>
      <c r="I258" t="s">
        <v>134</v>
      </c>
      <c r="J258" t="s">
        <v>141</v>
      </c>
      <c r="K258" s="32" t="s">
        <v>136</v>
      </c>
      <c r="L258" s="32" t="s">
        <v>136</v>
      </c>
      <c r="M258" t="str">
        <f t="shared" si="82"/>
        <v>Msr-Res-GasFurnace-AFUE95-ECM</v>
      </c>
      <c r="N258" t="str">
        <f t="shared" si="79"/>
        <v>DMo&amp;0&amp;rNCGF&amp;Ex&amp;SpaceHtg_eq__GasFurnace</v>
      </c>
      <c r="O258" t="s">
        <v>62</v>
      </c>
      <c r="P258">
        <v>0</v>
      </c>
      <c r="Q258" t="s">
        <v>58</v>
      </c>
      <c r="R258" t="s">
        <v>52</v>
      </c>
      <c r="S258" s="3" t="str">
        <f t="shared" si="76"/>
        <v>No</v>
      </c>
      <c r="T258" t="str">
        <f t="shared" si="83"/>
        <v>SpaceHtg_eq__GasFurnace</v>
      </c>
      <c r="U258" t="str">
        <f t="shared" si="84"/>
        <v>SpaceHtg_eq__GasFurnace</v>
      </c>
      <c r="V258" t="s">
        <v>137</v>
      </c>
      <c r="W258" t="s">
        <v>138</v>
      </c>
      <c r="X258" t="s">
        <v>137</v>
      </c>
      <c r="Y258" t="s">
        <v>138</v>
      </c>
      <c r="AA258" t="s">
        <v>55</v>
      </c>
      <c r="AB258" s="3" t="s">
        <v>139</v>
      </c>
    </row>
    <row r="259" spans="1:28" x14ac:dyDescent="0.25">
      <c r="A259" t="s">
        <v>131</v>
      </c>
      <c r="B259" s="3" t="s">
        <v>10675</v>
      </c>
      <c r="C259" t="s">
        <v>10656</v>
      </c>
      <c r="D259" s="3" t="str">
        <f t="shared" si="65"/>
        <v>SWHC031-03 Furnace_MFm</v>
      </c>
      <c r="E259" s="3"/>
      <c r="F259" t="s">
        <v>140</v>
      </c>
      <c r="G259" t="str">
        <f t="shared" si="85"/>
        <v>Res-GasFurnace-AFUE95-ECM</v>
      </c>
      <c r="H259" t="s">
        <v>133</v>
      </c>
      <c r="I259" t="s">
        <v>134</v>
      </c>
      <c r="J259" t="s">
        <v>141</v>
      </c>
      <c r="K259" s="32" t="s">
        <v>136</v>
      </c>
      <c r="L259" s="32" t="s">
        <v>136</v>
      </c>
      <c r="M259" t="str">
        <f t="shared" si="82"/>
        <v>Msr-Res-GasFurnace-AFUE95-ECM</v>
      </c>
      <c r="N259" t="str">
        <f t="shared" si="79"/>
        <v>MFm&amp;0&amp;rNCGF&amp;Ex&amp;SpaceHtg_eq__GasFurnace</v>
      </c>
      <c r="O259" t="s">
        <v>63</v>
      </c>
      <c r="P259">
        <v>0</v>
      </c>
      <c r="Q259" t="s">
        <v>58</v>
      </c>
      <c r="R259" t="s">
        <v>52</v>
      </c>
      <c r="S259" s="3" t="str">
        <f t="shared" si="76"/>
        <v>No</v>
      </c>
      <c r="T259" t="str">
        <f t="shared" si="83"/>
        <v>SpaceHtg_eq__GasFurnace</v>
      </c>
      <c r="U259" t="str">
        <f t="shared" si="84"/>
        <v>SpaceHtg_eq__GasFurnace</v>
      </c>
      <c r="V259" t="s">
        <v>137</v>
      </c>
      <c r="W259" t="s">
        <v>138</v>
      </c>
      <c r="X259" t="s">
        <v>137</v>
      </c>
      <c r="Y259" t="s">
        <v>138</v>
      </c>
      <c r="AA259" t="s">
        <v>55</v>
      </c>
      <c r="AB259" s="3" t="s">
        <v>139</v>
      </c>
    </row>
    <row r="260" spans="1:28" x14ac:dyDescent="0.25">
      <c r="A260" t="s">
        <v>131</v>
      </c>
      <c r="B260" s="3" t="s">
        <v>10675</v>
      </c>
      <c r="C260" t="s">
        <v>10656</v>
      </c>
      <c r="D260" s="3" t="str">
        <f t="shared" si="65"/>
        <v>SWHC031-03 Furnace_SFm</v>
      </c>
      <c r="E260" s="3"/>
      <c r="F260" t="s">
        <v>140</v>
      </c>
      <c r="G260" t="str">
        <f t="shared" ref="G260:G275" si="86">F260</f>
        <v>Res-GasFurnace-AFUE95-ECM</v>
      </c>
      <c r="H260" t="s">
        <v>133</v>
      </c>
      <c r="I260" t="s">
        <v>134</v>
      </c>
      <c r="J260" t="s">
        <v>141</v>
      </c>
      <c r="K260" s="32" t="s">
        <v>136</v>
      </c>
      <c r="L260" s="32" t="s">
        <v>136</v>
      </c>
      <c r="M260" t="str">
        <f t="shared" si="82"/>
        <v>Msr-Res-GasFurnace-AFUE95-ECM</v>
      </c>
      <c r="N260" t="str">
        <f t="shared" si="79"/>
        <v>SFm&amp;1&amp;rDXGF&amp;New&amp;SpaceHtg_eq__GasFurnace</v>
      </c>
      <c r="O260" t="s">
        <v>50</v>
      </c>
      <c r="P260">
        <v>1</v>
      </c>
      <c r="Q260" t="s">
        <v>51</v>
      </c>
      <c r="R260" t="s">
        <v>107</v>
      </c>
      <c r="S260" s="3" t="str">
        <f t="shared" si="76"/>
        <v>No</v>
      </c>
      <c r="T260" t="str">
        <f t="shared" si="83"/>
        <v>SpaceHtg_eq__GasFurnace</v>
      </c>
      <c r="U260" t="str">
        <f t="shared" si="84"/>
        <v>SpaceHtg_eq__GasFurnace</v>
      </c>
      <c r="V260" t="s">
        <v>137</v>
      </c>
      <c r="W260" t="s">
        <v>138</v>
      </c>
      <c r="X260" t="s">
        <v>137</v>
      </c>
      <c r="Y260" t="s">
        <v>138</v>
      </c>
      <c r="AA260" t="s">
        <v>55</v>
      </c>
      <c r="AB260" s="3" t="s">
        <v>139</v>
      </c>
    </row>
    <row r="261" spans="1:28" x14ac:dyDescent="0.25">
      <c r="A261" t="s">
        <v>131</v>
      </c>
      <c r="B261" s="3" t="s">
        <v>10675</v>
      </c>
      <c r="C261" t="s">
        <v>10656</v>
      </c>
      <c r="D261" s="3" t="str">
        <f t="shared" si="65"/>
        <v>SWHC031-03 Furnace_SFm</v>
      </c>
      <c r="E261" s="3"/>
      <c r="F261" t="s">
        <v>140</v>
      </c>
      <c r="G261" t="str">
        <f t="shared" si="86"/>
        <v>Res-GasFurnace-AFUE95-ECM</v>
      </c>
      <c r="H261" t="s">
        <v>133</v>
      </c>
      <c r="I261" t="s">
        <v>134</v>
      </c>
      <c r="J261" t="s">
        <v>141</v>
      </c>
      <c r="K261" s="32" t="s">
        <v>136</v>
      </c>
      <c r="L261" s="32" t="s">
        <v>136</v>
      </c>
      <c r="M261" t="str">
        <f t="shared" si="82"/>
        <v>Msr-Res-GasFurnace-AFUE95-ECM</v>
      </c>
      <c r="N261" t="str">
        <f t="shared" si="79"/>
        <v>SFm&amp;2&amp;rDXGF&amp;New&amp;SpaceHtg_eq__GasFurnace</v>
      </c>
      <c r="O261" t="s">
        <v>50</v>
      </c>
      <c r="P261">
        <v>2</v>
      </c>
      <c r="Q261" t="s">
        <v>51</v>
      </c>
      <c r="R261" t="s">
        <v>107</v>
      </c>
      <c r="S261" s="3" t="str">
        <f t="shared" si="76"/>
        <v>No</v>
      </c>
      <c r="T261" t="str">
        <f t="shared" si="83"/>
        <v>SpaceHtg_eq__GasFurnace</v>
      </c>
      <c r="U261" t="str">
        <f t="shared" si="84"/>
        <v>SpaceHtg_eq__GasFurnace</v>
      </c>
      <c r="V261" t="s">
        <v>137</v>
      </c>
      <c r="W261" t="s">
        <v>138</v>
      </c>
      <c r="X261" t="s">
        <v>137</v>
      </c>
      <c r="Y261" t="s">
        <v>138</v>
      </c>
      <c r="AA261" t="s">
        <v>55</v>
      </c>
      <c r="AB261" s="3" t="s">
        <v>139</v>
      </c>
    </row>
    <row r="262" spans="1:28" x14ac:dyDescent="0.25">
      <c r="A262" t="s">
        <v>131</v>
      </c>
      <c r="B262" s="3" t="s">
        <v>10675</v>
      </c>
      <c r="C262" t="s">
        <v>10656</v>
      </c>
      <c r="D262" s="3" t="str">
        <f t="shared" si="65"/>
        <v>SWHC031-03 Furnace_DMo</v>
      </c>
      <c r="E262" s="3"/>
      <c r="F262" t="s">
        <v>140</v>
      </c>
      <c r="G262" t="str">
        <f t="shared" si="86"/>
        <v>Res-GasFurnace-AFUE95-ECM</v>
      </c>
      <c r="H262" t="s">
        <v>133</v>
      </c>
      <c r="I262" t="s">
        <v>134</v>
      </c>
      <c r="J262" t="s">
        <v>141</v>
      </c>
      <c r="K262" s="32" t="s">
        <v>136</v>
      </c>
      <c r="L262" s="32" t="s">
        <v>136</v>
      </c>
      <c r="M262" t="str">
        <f t="shared" si="82"/>
        <v>Msr-Res-GasFurnace-AFUE95-ECM</v>
      </c>
      <c r="N262" t="str">
        <f t="shared" si="79"/>
        <v>DMo&amp;0&amp;rDXGF&amp;New&amp;SpaceHtg_eq__GasFurnace</v>
      </c>
      <c r="O262" t="s">
        <v>62</v>
      </c>
      <c r="P262">
        <v>0</v>
      </c>
      <c r="Q262" t="s">
        <v>51</v>
      </c>
      <c r="R262" t="s">
        <v>107</v>
      </c>
      <c r="S262" s="3" t="str">
        <f t="shared" si="76"/>
        <v>No</v>
      </c>
      <c r="T262" t="str">
        <f t="shared" si="83"/>
        <v>SpaceHtg_eq__GasFurnace</v>
      </c>
      <c r="U262" t="str">
        <f t="shared" si="84"/>
        <v>SpaceHtg_eq__GasFurnace</v>
      </c>
      <c r="V262" t="s">
        <v>137</v>
      </c>
      <c r="W262" t="s">
        <v>138</v>
      </c>
      <c r="X262" t="s">
        <v>137</v>
      </c>
      <c r="Y262" t="s">
        <v>138</v>
      </c>
      <c r="AA262" t="s">
        <v>55</v>
      </c>
      <c r="AB262" s="3" t="s">
        <v>139</v>
      </c>
    </row>
    <row r="263" spans="1:28" x14ac:dyDescent="0.25">
      <c r="A263" t="s">
        <v>131</v>
      </c>
      <c r="B263" s="3" t="s">
        <v>10675</v>
      </c>
      <c r="C263" t="s">
        <v>10656</v>
      </c>
      <c r="D263" s="3" t="str">
        <f t="shared" ref="D263:D326" si="87">_xlfn.CONCAT(C263, " ", A263,"_",O263)</f>
        <v>SWHC031-03 Furnace_MFm</v>
      </c>
      <c r="E263" s="3"/>
      <c r="F263" t="s">
        <v>140</v>
      </c>
      <c r="G263" t="str">
        <f t="shared" si="86"/>
        <v>Res-GasFurnace-AFUE95-ECM</v>
      </c>
      <c r="H263" t="s">
        <v>133</v>
      </c>
      <c r="I263" t="s">
        <v>134</v>
      </c>
      <c r="J263" t="s">
        <v>141</v>
      </c>
      <c r="K263" s="32" t="s">
        <v>136</v>
      </c>
      <c r="L263" s="32" t="s">
        <v>136</v>
      </c>
      <c r="M263" t="str">
        <f t="shared" si="82"/>
        <v>Msr-Res-GasFurnace-AFUE95-ECM</v>
      </c>
      <c r="N263" t="str">
        <f t="shared" si="79"/>
        <v>MFm&amp;0&amp;rDXGF&amp;New&amp;SpaceHtg_eq__GasFurnace</v>
      </c>
      <c r="O263" t="s">
        <v>63</v>
      </c>
      <c r="P263">
        <v>0</v>
      </c>
      <c r="Q263" t="s">
        <v>51</v>
      </c>
      <c r="R263" t="s">
        <v>107</v>
      </c>
      <c r="S263" s="3" t="str">
        <f t="shared" si="76"/>
        <v>No</v>
      </c>
      <c r="T263" t="str">
        <f t="shared" si="83"/>
        <v>SpaceHtg_eq__GasFurnace</v>
      </c>
      <c r="U263" t="str">
        <f t="shared" si="84"/>
        <v>SpaceHtg_eq__GasFurnace</v>
      </c>
      <c r="V263" t="s">
        <v>137</v>
      </c>
      <c r="W263" t="s">
        <v>138</v>
      </c>
      <c r="X263" t="s">
        <v>137</v>
      </c>
      <c r="Y263" t="s">
        <v>138</v>
      </c>
      <c r="AA263" t="s">
        <v>55</v>
      </c>
      <c r="AB263" s="3" t="s">
        <v>139</v>
      </c>
    </row>
    <row r="264" spans="1:28" x14ac:dyDescent="0.25">
      <c r="A264" t="s">
        <v>131</v>
      </c>
      <c r="B264" s="3" t="s">
        <v>10675</v>
      </c>
      <c r="C264" t="s">
        <v>10656</v>
      </c>
      <c r="D264" s="3" t="str">
        <f t="shared" si="87"/>
        <v>SWHC031-03 Furnace_SFm</v>
      </c>
      <c r="E264" s="3"/>
      <c r="F264" t="s">
        <v>140</v>
      </c>
      <c r="G264" t="str">
        <f t="shared" si="86"/>
        <v>Res-GasFurnace-AFUE95-ECM</v>
      </c>
      <c r="H264" t="s">
        <v>133</v>
      </c>
      <c r="I264" t="s">
        <v>134</v>
      </c>
      <c r="J264" t="s">
        <v>141</v>
      </c>
      <c r="K264" s="32" t="s">
        <v>136</v>
      </c>
      <c r="L264" s="32" t="s">
        <v>136</v>
      </c>
      <c r="M264" t="str">
        <f t="shared" si="82"/>
        <v>Msr-Res-GasFurnace-AFUE95-ECM</v>
      </c>
      <c r="N264" t="str">
        <f t="shared" si="79"/>
        <v>SFm&amp;1&amp;rNCGF&amp;New&amp;SpaceHtg_eq__GasFurnace</v>
      </c>
      <c r="O264" t="s">
        <v>50</v>
      </c>
      <c r="P264">
        <v>1</v>
      </c>
      <c r="Q264" t="s">
        <v>58</v>
      </c>
      <c r="R264" t="s">
        <v>107</v>
      </c>
      <c r="S264" s="3" t="str">
        <f t="shared" si="76"/>
        <v>No</v>
      </c>
      <c r="T264" t="str">
        <f t="shared" si="83"/>
        <v>SpaceHtg_eq__GasFurnace</v>
      </c>
      <c r="U264" t="str">
        <f t="shared" si="84"/>
        <v>SpaceHtg_eq__GasFurnace</v>
      </c>
      <c r="V264" t="s">
        <v>137</v>
      </c>
      <c r="W264" t="s">
        <v>138</v>
      </c>
      <c r="X264" t="s">
        <v>137</v>
      </c>
      <c r="Y264" t="s">
        <v>138</v>
      </c>
      <c r="AA264" t="s">
        <v>55</v>
      </c>
      <c r="AB264" s="3" t="s">
        <v>139</v>
      </c>
    </row>
    <row r="265" spans="1:28" x14ac:dyDescent="0.25">
      <c r="A265" t="s">
        <v>131</v>
      </c>
      <c r="B265" s="3" t="s">
        <v>10675</v>
      </c>
      <c r="C265" t="s">
        <v>10656</v>
      </c>
      <c r="D265" s="3" t="str">
        <f t="shared" si="87"/>
        <v>SWHC031-03 Furnace_SFm</v>
      </c>
      <c r="E265" s="3"/>
      <c r="F265" t="s">
        <v>140</v>
      </c>
      <c r="G265" t="str">
        <f t="shared" si="86"/>
        <v>Res-GasFurnace-AFUE95-ECM</v>
      </c>
      <c r="H265" t="s">
        <v>133</v>
      </c>
      <c r="I265" t="s">
        <v>134</v>
      </c>
      <c r="J265" t="s">
        <v>141</v>
      </c>
      <c r="K265" s="32" t="s">
        <v>136</v>
      </c>
      <c r="L265" s="32" t="s">
        <v>136</v>
      </c>
      <c r="M265" t="str">
        <f t="shared" si="82"/>
        <v>Msr-Res-GasFurnace-AFUE95-ECM</v>
      </c>
      <c r="N265" t="str">
        <f t="shared" si="79"/>
        <v>SFm&amp;2&amp;rNCGF&amp;New&amp;SpaceHtg_eq__GasFurnace</v>
      </c>
      <c r="O265" t="s">
        <v>50</v>
      </c>
      <c r="P265">
        <v>2</v>
      </c>
      <c r="Q265" t="s">
        <v>58</v>
      </c>
      <c r="R265" t="s">
        <v>107</v>
      </c>
      <c r="S265" s="3" t="str">
        <f t="shared" si="76"/>
        <v>No</v>
      </c>
      <c r="T265" t="str">
        <f t="shared" si="83"/>
        <v>SpaceHtg_eq__GasFurnace</v>
      </c>
      <c r="U265" t="str">
        <f t="shared" si="84"/>
        <v>SpaceHtg_eq__GasFurnace</v>
      </c>
      <c r="V265" t="s">
        <v>137</v>
      </c>
      <c r="W265" t="s">
        <v>138</v>
      </c>
      <c r="X265" t="s">
        <v>137</v>
      </c>
      <c r="Y265" t="s">
        <v>138</v>
      </c>
      <c r="AA265" t="s">
        <v>55</v>
      </c>
      <c r="AB265" s="3" t="s">
        <v>139</v>
      </c>
    </row>
    <row r="266" spans="1:28" x14ac:dyDescent="0.25">
      <c r="A266" t="s">
        <v>131</v>
      </c>
      <c r="B266" s="3" t="s">
        <v>10675</v>
      </c>
      <c r="C266" t="s">
        <v>10656</v>
      </c>
      <c r="D266" s="3" t="str">
        <f t="shared" si="87"/>
        <v>SWHC031-03 Furnace_DMo</v>
      </c>
      <c r="E266" s="3"/>
      <c r="F266" t="s">
        <v>140</v>
      </c>
      <c r="G266" t="str">
        <f t="shared" si="86"/>
        <v>Res-GasFurnace-AFUE95-ECM</v>
      </c>
      <c r="H266" t="s">
        <v>133</v>
      </c>
      <c r="I266" t="s">
        <v>134</v>
      </c>
      <c r="J266" t="s">
        <v>141</v>
      </c>
      <c r="K266" s="32" t="s">
        <v>136</v>
      </c>
      <c r="L266" s="32" t="s">
        <v>136</v>
      </c>
      <c r="M266" t="str">
        <f t="shared" si="82"/>
        <v>Msr-Res-GasFurnace-AFUE95-ECM</v>
      </c>
      <c r="N266" t="str">
        <f t="shared" si="79"/>
        <v>DMo&amp;0&amp;rNCGF&amp;New&amp;SpaceHtg_eq__GasFurnace</v>
      </c>
      <c r="O266" t="s">
        <v>62</v>
      </c>
      <c r="P266">
        <v>0</v>
      </c>
      <c r="Q266" t="s">
        <v>58</v>
      </c>
      <c r="R266" t="s">
        <v>107</v>
      </c>
      <c r="S266" s="3" t="str">
        <f t="shared" si="76"/>
        <v>No</v>
      </c>
      <c r="T266" t="str">
        <f t="shared" si="83"/>
        <v>SpaceHtg_eq__GasFurnace</v>
      </c>
      <c r="U266" t="str">
        <f t="shared" si="84"/>
        <v>SpaceHtg_eq__GasFurnace</v>
      </c>
      <c r="V266" t="s">
        <v>137</v>
      </c>
      <c r="W266" t="s">
        <v>138</v>
      </c>
      <c r="X266" t="s">
        <v>137</v>
      </c>
      <c r="Y266" t="s">
        <v>138</v>
      </c>
      <c r="AA266" t="s">
        <v>55</v>
      </c>
      <c r="AB266" s="3" t="s">
        <v>139</v>
      </c>
    </row>
    <row r="267" spans="1:28" x14ac:dyDescent="0.25">
      <c r="A267" t="s">
        <v>131</v>
      </c>
      <c r="B267" s="3" t="s">
        <v>10675</v>
      </c>
      <c r="C267" t="s">
        <v>10656</v>
      </c>
      <c r="D267" s="3" t="str">
        <f t="shared" si="87"/>
        <v>SWHC031-03 Furnace_MFm</v>
      </c>
      <c r="E267" s="3"/>
      <c r="F267" t="s">
        <v>140</v>
      </c>
      <c r="G267" t="str">
        <f t="shared" si="86"/>
        <v>Res-GasFurnace-AFUE95-ECM</v>
      </c>
      <c r="H267" t="s">
        <v>133</v>
      </c>
      <c r="I267" t="s">
        <v>134</v>
      </c>
      <c r="J267" t="s">
        <v>141</v>
      </c>
      <c r="K267" s="32" t="s">
        <v>136</v>
      </c>
      <c r="L267" s="32" t="s">
        <v>136</v>
      </c>
      <c r="M267" t="str">
        <f t="shared" si="82"/>
        <v>Msr-Res-GasFurnace-AFUE95-ECM</v>
      </c>
      <c r="N267" t="str">
        <f t="shared" si="79"/>
        <v>MFm&amp;0&amp;rNCGF&amp;New&amp;SpaceHtg_eq__GasFurnace</v>
      </c>
      <c r="O267" t="s">
        <v>63</v>
      </c>
      <c r="P267">
        <v>0</v>
      </c>
      <c r="Q267" t="s">
        <v>58</v>
      </c>
      <c r="R267" t="s">
        <v>107</v>
      </c>
      <c r="S267" s="3" t="str">
        <f t="shared" si="76"/>
        <v>No</v>
      </c>
      <c r="T267" t="str">
        <f t="shared" si="83"/>
        <v>SpaceHtg_eq__GasFurnace</v>
      </c>
      <c r="U267" t="str">
        <f t="shared" si="84"/>
        <v>SpaceHtg_eq__GasFurnace</v>
      </c>
      <c r="V267" t="s">
        <v>137</v>
      </c>
      <c r="W267" t="s">
        <v>138</v>
      </c>
      <c r="X267" t="s">
        <v>137</v>
      </c>
      <c r="Y267" t="s">
        <v>138</v>
      </c>
      <c r="AA267" t="s">
        <v>55</v>
      </c>
      <c r="AB267" s="3" t="s">
        <v>139</v>
      </c>
    </row>
    <row r="268" spans="1:28" x14ac:dyDescent="0.25">
      <c r="A268" t="s">
        <v>131</v>
      </c>
      <c r="B268" s="3" t="s">
        <v>10675</v>
      </c>
      <c r="C268" t="s">
        <v>10656</v>
      </c>
      <c r="D268" s="3" t="str">
        <f t="shared" si="87"/>
        <v>SWHC031-03 Furnace_SFm</v>
      </c>
      <c r="E268" s="3"/>
      <c r="F268" t="s">
        <v>142</v>
      </c>
      <c r="G268" t="str">
        <f t="shared" si="86"/>
        <v>Res-GasFurnace-AFUE97-ECM</v>
      </c>
      <c r="H268" t="s">
        <v>133</v>
      </c>
      <c r="I268" t="s">
        <v>134</v>
      </c>
      <c r="J268" t="s">
        <v>143</v>
      </c>
      <c r="K268" s="32" t="s">
        <v>136</v>
      </c>
      <c r="L268" s="32" t="s">
        <v>136</v>
      </c>
      <c r="M268" t="str">
        <f t="shared" si="82"/>
        <v>Msr-Res-GasFurnace-AFUE97-ECM</v>
      </c>
      <c r="N268" t="str">
        <f t="shared" si="79"/>
        <v>SFm&amp;1&amp;rDXGF&amp;Ex&amp;SpaceHtg_eq__GasFurnace</v>
      </c>
      <c r="O268" t="s">
        <v>50</v>
      </c>
      <c r="P268">
        <v>1</v>
      </c>
      <c r="Q268" t="s">
        <v>51</v>
      </c>
      <c r="R268" t="s">
        <v>52</v>
      </c>
      <c r="S268" s="3" t="str">
        <f t="shared" si="76"/>
        <v>No</v>
      </c>
      <c r="T268" t="str">
        <f t="shared" si="83"/>
        <v>SpaceHtg_eq__GasFurnace</v>
      </c>
      <c r="U268" t="str">
        <f t="shared" si="84"/>
        <v>SpaceHtg_eq__GasFurnace</v>
      </c>
      <c r="V268" t="s">
        <v>137</v>
      </c>
      <c r="W268" t="s">
        <v>138</v>
      </c>
      <c r="X268" t="s">
        <v>137</v>
      </c>
      <c r="Y268" t="s">
        <v>138</v>
      </c>
      <c r="AA268" t="s">
        <v>55</v>
      </c>
      <c r="AB268" s="3" t="s">
        <v>139</v>
      </c>
    </row>
    <row r="269" spans="1:28" x14ac:dyDescent="0.25">
      <c r="A269" t="s">
        <v>131</v>
      </c>
      <c r="B269" s="3" t="s">
        <v>10675</v>
      </c>
      <c r="C269" t="s">
        <v>10656</v>
      </c>
      <c r="D269" s="3" t="str">
        <f t="shared" si="87"/>
        <v>SWHC031-03 Furnace_SFm</v>
      </c>
      <c r="E269" s="3"/>
      <c r="F269" t="s">
        <v>142</v>
      </c>
      <c r="G269" t="str">
        <f t="shared" si="86"/>
        <v>Res-GasFurnace-AFUE97-ECM</v>
      </c>
      <c r="H269" t="s">
        <v>133</v>
      </c>
      <c r="I269" t="s">
        <v>134</v>
      </c>
      <c r="J269" t="s">
        <v>143</v>
      </c>
      <c r="K269" s="32" t="s">
        <v>136</v>
      </c>
      <c r="L269" s="32" t="s">
        <v>136</v>
      </c>
      <c r="M269" t="str">
        <f t="shared" si="82"/>
        <v>Msr-Res-GasFurnace-AFUE97-ECM</v>
      </c>
      <c r="N269" t="str">
        <f t="shared" si="79"/>
        <v>SFm&amp;2&amp;rDXGF&amp;Ex&amp;SpaceHtg_eq__GasFurnace</v>
      </c>
      <c r="O269" t="s">
        <v>50</v>
      </c>
      <c r="P269">
        <v>2</v>
      </c>
      <c r="Q269" t="s">
        <v>51</v>
      </c>
      <c r="R269" t="s">
        <v>52</v>
      </c>
      <c r="S269" s="3" t="str">
        <f t="shared" si="76"/>
        <v>No</v>
      </c>
      <c r="T269" t="str">
        <f t="shared" si="83"/>
        <v>SpaceHtg_eq__GasFurnace</v>
      </c>
      <c r="U269" t="str">
        <f t="shared" si="84"/>
        <v>SpaceHtg_eq__GasFurnace</v>
      </c>
      <c r="V269" t="s">
        <v>137</v>
      </c>
      <c r="W269" t="s">
        <v>138</v>
      </c>
      <c r="X269" t="s">
        <v>137</v>
      </c>
      <c r="Y269" t="s">
        <v>138</v>
      </c>
      <c r="AA269" t="s">
        <v>55</v>
      </c>
      <c r="AB269" s="3" t="s">
        <v>139</v>
      </c>
    </row>
    <row r="270" spans="1:28" x14ac:dyDescent="0.25">
      <c r="A270" t="s">
        <v>131</v>
      </c>
      <c r="B270" s="3" t="s">
        <v>10675</v>
      </c>
      <c r="C270" t="s">
        <v>10656</v>
      </c>
      <c r="D270" s="3" t="str">
        <f t="shared" si="87"/>
        <v>SWHC031-03 Furnace_DMo</v>
      </c>
      <c r="E270" s="3"/>
      <c r="F270" t="s">
        <v>142</v>
      </c>
      <c r="G270" t="str">
        <f t="shared" si="86"/>
        <v>Res-GasFurnace-AFUE97-ECM</v>
      </c>
      <c r="H270" t="s">
        <v>133</v>
      </c>
      <c r="I270" t="s">
        <v>134</v>
      </c>
      <c r="J270" t="s">
        <v>143</v>
      </c>
      <c r="K270" s="32" t="s">
        <v>136</v>
      </c>
      <c r="L270" s="32" t="s">
        <v>136</v>
      </c>
      <c r="M270" t="str">
        <f t="shared" si="82"/>
        <v>Msr-Res-GasFurnace-AFUE97-ECM</v>
      </c>
      <c r="N270" t="str">
        <f t="shared" si="79"/>
        <v>DMo&amp;0&amp;rDXGF&amp;Ex&amp;SpaceHtg_eq__GasFurnace</v>
      </c>
      <c r="O270" t="s">
        <v>62</v>
      </c>
      <c r="P270">
        <v>0</v>
      </c>
      <c r="Q270" t="s">
        <v>51</v>
      </c>
      <c r="R270" t="s">
        <v>52</v>
      </c>
      <c r="S270" s="3" t="str">
        <f t="shared" si="76"/>
        <v>No</v>
      </c>
      <c r="T270" t="str">
        <f t="shared" si="83"/>
        <v>SpaceHtg_eq__GasFurnace</v>
      </c>
      <c r="U270" t="str">
        <f t="shared" si="84"/>
        <v>SpaceHtg_eq__GasFurnace</v>
      </c>
      <c r="V270" t="s">
        <v>137</v>
      </c>
      <c r="W270" t="s">
        <v>138</v>
      </c>
      <c r="X270" t="s">
        <v>137</v>
      </c>
      <c r="Y270" t="s">
        <v>138</v>
      </c>
      <c r="AA270" t="s">
        <v>55</v>
      </c>
      <c r="AB270" s="3" t="s">
        <v>139</v>
      </c>
    </row>
    <row r="271" spans="1:28" x14ac:dyDescent="0.25">
      <c r="A271" t="s">
        <v>131</v>
      </c>
      <c r="B271" s="3" t="s">
        <v>10675</v>
      </c>
      <c r="C271" t="s">
        <v>10656</v>
      </c>
      <c r="D271" s="3" t="str">
        <f t="shared" si="87"/>
        <v>SWHC031-03 Furnace_MFm</v>
      </c>
      <c r="E271" s="3"/>
      <c r="F271" t="s">
        <v>142</v>
      </c>
      <c r="G271" t="str">
        <f t="shared" si="86"/>
        <v>Res-GasFurnace-AFUE97-ECM</v>
      </c>
      <c r="H271" t="s">
        <v>133</v>
      </c>
      <c r="I271" t="s">
        <v>134</v>
      </c>
      <c r="J271" t="s">
        <v>143</v>
      </c>
      <c r="K271" s="32" t="s">
        <v>136</v>
      </c>
      <c r="L271" s="32" t="s">
        <v>136</v>
      </c>
      <c r="M271" t="str">
        <f t="shared" si="82"/>
        <v>Msr-Res-GasFurnace-AFUE97-ECM</v>
      </c>
      <c r="N271" t="str">
        <f t="shared" si="79"/>
        <v>MFm&amp;0&amp;rDXGF&amp;Ex&amp;SpaceHtg_eq__GasFurnace</v>
      </c>
      <c r="O271" t="s">
        <v>63</v>
      </c>
      <c r="P271">
        <v>0</v>
      </c>
      <c r="Q271" t="s">
        <v>51</v>
      </c>
      <c r="R271" t="s">
        <v>52</v>
      </c>
      <c r="S271" s="3" t="str">
        <f t="shared" si="76"/>
        <v>No</v>
      </c>
      <c r="T271" t="str">
        <f t="shared" si="83"/>
        <v>SpaceHtg_eq__GasFurnace</v>
      </c>
      <c r="U271" t="str">
        <f t="shared" si="84"/>
        <v>SpaceHtg_eq__GasFurnace</v>
      </c>
      <c r="V271" t="s">
        <v>137</v>
      </c>
      <c r="W271" t="s">
        <v>138</v>
      </c>
      <c r="X271" t="s">
        <v>137</v>
      </c>
      <c r="Y271" t="s">
        <v>138</v>
      </c>
      <c r="AA271" t="s">
        <v>55</v>
      </c>
      <c r="AB271" s="3" t="s">
        <v>139</v>
      </c>
    </row>
    <row r="272" spans="1:28" x14ac:dyDescent="0.25">
      <c r="A272" t="s">
        <v>131</v>
      </c>
      <c r="B272" s="3" t="s">
        <v>10675</v>
      </c>
      <c r="C272" t="s">
        <v>10656</v>
      </c>
      <c r="D272" s="3" t="str">
        <f t="shared" si="87"/>
        <v>SWHC031-03 Furnace_SFm</v>
      </c>
      <c r="E272" s="3"/>
      <c r="F272" t="s">
        <v>142</v>
      </c>
      <c r="G272" t="str">
        <f t="shared" si="86"/>
        <v>Res-GasFurnace-AFUE97-ECM</v>
      </c>
      <c r="H272" t="s">
        <v>133</v>
      </c>
      <c r="I272" t="s">
        <v>134</v>
      </c>
      <c r="J272" t="s">
        <v>143</v>
      </c>
      <c r="K272" s="32" t="s">
        <v>136</v>
      </c>
      <c r="L272" s="32" t="s">
        <v>136</v>
      </c>
      <c r="M272" t="str">
        <f t="shared" si="82"/>
        <v>Msr-Res-GasFurnace-AFUE97-ECM</v>
      </c>
      <c r="N272" t="str">
        <f t="shared" si="79"/>
        <v>SFm&amp;1&amp;rNCGF&amp;Ex&amp;SpaceHtg_eq__GasFurnace</v>
      </c>
      <c r="O272" t="s">
        <v>50</v>
      </c>
      <c r="P272">
        <v>1</v>
      </c>
      <c r="Q272" t="s">
        <v>58</v>
      </c>
      <c r="R272" t="s">
        <v>52</v>
      </c>
      <c r="S272" s="3" t="str">
        <f t="shared" si="76"/>
        <v>No</v>
      </c>
      <c r="T272" t="str">
        <f t="shared" si="83"/>
        <v>SpaceHtg_eq__GasFurnace</v>
      </c>
      <c r="U272" t="str">
        <f t="shared" si="84"/>
        <v>SpaceHtg_eq__GasFurnace</v>
      </c>
      <c r="V272" t="s">
        <v>137</v>
      </c>
      <c r="W272" t="s">
        <v>138</v>
      </c>
      <c r="X272" t="s">
        <v>137</v>
      </c>
      <c r="Y272" t="s">
        <v>138</v>
      </c>
      <c r="AA272" t="s">
        <v>55</v>
      </c>
      <c r="AB272" s="3" t="s">
        <v>139</v>
      </c>
    </row>
    <row r="273" spans="1:28" x14ac:dyDescent="0.25">
      <c r="A273" t="s">
        <v>131</v>
      </c>
      <c r="B273" s="3" t="s">
        <v>10675</v>
      </c>
      <c r="C273" t="s">
        <v>10656</v>
      </c>
      <c r="D273" s="3" t="str">
        <f t="shared" si="87"/>
        <v>SWHC031-03 Furnace_SFm</v>
      </c>
      <c r="E273" s="3"/>
      <c r="F273" t="s">
        <v>142</v>
      </c>
      <c r="G273" t="str">
        <f t="shared" si="86"/>
        <v>Res-GasFurnace-AFUE97-ECM</v>
      </c>
      <c r="H273" t="s">
        <v>133</v>
      </c>
      <c r="I273" t="s">
        <v>134</v>
      </c>
      <c r="J273" t="s">
        <v>143</v>
      </c>
      <c r="K273" s="32" t="s">
        <v>136</v>
      </c>
      <c r="L273" s="32" t="s">
        <v>136</v>
      </c>
      <c r="M273" t="str">
        <f t="shared" si="82"/>
        <v>Msr-Res-GasFurnace-AFUE97-ECM</v>
      </c>
      <c r="N273" t="str">
        <f t="shared" si="79"/>
        <v>SFm&amp;2&amp;rNCGF&amp;Ex&amp;SpaceHtg_eq__GasFurnace</v>
      </c>
      <c r="O273" t="s">
        <v>50</v>
      </c>
      <c r="P273">
        <v>2</v>
      </c>
      <c r="Q273" t="s">
        <v>58</v>
      </c>
      <c r="R273" t="s">
        <v>52</v>
      </c>
      <c r="S273" s="3" t="str">
        <f t="shared" si="76"/>
        <v>No</v>
      </c>
      <c r="T273" t="str">
        <f t="shared" si="83"/>
        <v>SpaceHtg_eq__GasFurnace</v>
      </c>
      <c r="U273" t="str">
        <f t="shared" si="84"/>
        <v>SpaceHtg_eq__GasFurnace</v>
      </c>
      <c r="V273" t="s">
        <v>137</v>
      </c>
      <c r="W273" t="s">
        <v>138</v>
      </c>
      <c r="X273" t="s">
        <v>137</v>
      </c>
      <c r="Y273" t="s">
        <v>138</v>
      </c>
      <c r="AA273" t="s">
        <v>55</v>
      </c>
      <c r="AB273" s="3" t="s">
        <v>139</v>
      </c>
    </row>
    <row r="274" spans="1:28" x14ac:dyDescent="0.25">
      <c r="A274" t="s">
        <v>131</v>
      </c>
      <c r="B274" s="3" t="s">
        <v>10675</v>
      </c>
      <c r="C274" t="s">
        <v>10656</v>
      </c>
      <c r="D274" s="3" t="str">
        <f t="shared" si="87"/>
        <v>SWHC031-03 Furnace_DMo</v>
      </c>
      <c r="E274" s="3"/>
      <c r="F274" t="s">
        <v>142</v>
      </c>
      <c r="G274" t="str">
        <f t="shared" si="86"/>
        <v>Res-GasFurnace-AFUE97-ECM</v>
      </c>
      <c r="H274" t="s">
        <v>133</v>
      </c>
      <c r="I274" t="s">
        <v>134</v>
      </c>
      <c r="J274" t="s">
        <v>143</v>
      </c>
      <c r="K274" s="32" t="s">
        <v>136</v>
      </c>
      <c r="L274" s="32" t="s">
        <v>136</v>
      </c>
      <c r="M274" t="str">
        <f t="shared" si="82"/>
        <v>Msr-Res-GasFurnace-AFUE97-ECM</v>
      </c>
      <c r="N274" t="str">
        <f t="shared" si="79"/>
        <v>DMo&amp;0&amp;rNCGF&amp;Ex&amp;SpaceHtg_eq__GasFurnace</v>
      </c>
      <c r="O274" t="s">
        <v>62</v>
      </c>
      <c r="P274">
        <v>0</v>
      </c>
      <c r="Q274" t="s">
        <v>58</v>
      </c>
      <c r="R274" t="s">
        <v>52</v>
      </c>
      <c r="S274" s="3" t="str">
        <f t="shared" si="76"/>
        <v>No</v>
      </c>
      <c r="T274" t="str">
        <f t="shared" si="83"/>
        <v>SpaceHtg_eq__GasFurnace</v>
      </c>
      <c r="U274" t="str">
        <f t="shared" si="84"/>
        <v>SpaceHtg_eq__GasFurnace</v>
      </c>
      <c r="V274" t="s">
        <v>137</v>
      </c>
      <c r="W274" t="s">
        <v>138</v>
      </c>
      <c r="X274" t="s">
        <v>137</v>
      </c>
      <c r="Y274" t="s">
        <v>138</v>
      </c>
      <c r="AA274" t="s">
        <v>55</v>
      </c>
      <c r="AB274" s="3" t="s">
        <v>139</v>
      </c>
    </row>
    <row r="275" spans="1:28" x14ac:dyDescent="0.25">
      <c r="A275" t="s">
        <v>131</v>
      </c>
      <c r="B275" s="3" t="s">
        <v>10675</v>
      </c>
      <c r="C275" t="s">
        <v>10656</v>
      </c>
      <c r="D275" s="3" t="str">
        <f t="shared" si="87"/>
        <v>SWHC031-03 Furnace_MFm</v>
      </c>
      <c r="E275" s="3"/>
      <c r="F275" t="s">
        <v>142</v>
      </c>
      <c r="G275" t="str">
        <f t="shared" si="86"/>
        <v>Res-GasFurnace-AFUE97-ECM</v>
      </c>
      <c r="H275" t="s">
        <v>133</v>
      </c>
      <c r="I275" t="s">
        <v>134</v>
      </c>
      <c r="J275" t="s">
        <v>143</v>
      </c>
      <c r="K275" s="32" t="s">
        <v>136</v>
      </c>
      <c r="L275" s="32" t="s">
        <v>136</v>
      </c>
      <c r="M275" t="str">
        <f t="shared" si="82"/>
        <v>Msr-Res-GasFurnace-AFUE97-ECM</v>
      </c>
      <c r="N275" t="str">
        <f t="shared" si="79"/>
        <v>MFm&amp;0&amp;rNCGF&amp;Ex&amp;SpaceHtg_eq__GasFurnace</v>
      </c>
      <c r="O275" t="s">
        <v>63</v>
      </c>
      <c r="P275">
        <v>0</v>
      </c>
      <c r="Q275" t="s">
        <v>58</v>
      </c>
      <c r="R275" t="s">
        <v>52</v>
      </c>
      <c r="S275" s="3" t="str">
        <f t="shared" si="76"/>
        <v>No</v>
      </c>
      <c r="T275" t="str">
        <f t="shared" si="83"/>
        <v>SpaceHtg_eq__GasFurnace</v>
      </c>
      <c r="U275" t="str">
        <f t="shared" si="84"/>
        <v>SpaceHtg_eq__GasFurnace</v>
      </c>
      <c r="V275" t="s">
        <v>137</v>
      </c>
      <c r="W275" t="s">
        <v>138</v>
      </c>
      <c r="X275" t="s">
        <v>137</v>
      </c>
      <c r="Y275" t="s">
        <v>138</v>
      </c>
      <c r="AA275" t="s">
        <v>55</v>
      </c>
      <c r="AB275" s="3" t="s">
        <v>139</v>
      </c>
    </row>
    <row r="276" spans="1:28" x14ac:dyDescent="0.25">
      <c r="A276" t="s">
        <v>131</v>
      </c>
      <c r="B276" s="3" t="s">
        <v>10675</v>
      </c>
      <c r="C276" t="s">
        <v>10656</v>
      </c>
      <c r="D276" s="3" t="str">
        <f t="shared" si="87"/>
        <v>SWHC031-03 Furnace_SFm</v>
      </c>
      <c r="E276" s="3"/>
      <c r="F276" t="s">
        <v>142</v>
      </c>
      <c r="G276" t="str">
        <f t="shared" ref="G276:G284" si="88">F276</f>
        <v>Res-GasFurnace-AFUE97-ECM</v>
      </c>
      <c r="H276" t="s">
        <v>133</v>
      </c>
      <c r="I276" t="s">
        <v>134</v>
      </c>
      <c r="J276" t="s">
        <v>143</v>
      </c>
      <c r="K276" s="32" t="s">
        <v>136</v>
      </c>
      <c r="L276" s="32" t="s">
        <v>136</v>
      </c>
      <c r="M276" t="str">
        <f t="shared" si="82"/>
        <v>Msr-Res-GasFurnace-AFUE97-ECM</v>
      </c>
      <c r="N276" t="str">
        <f t="shared" si="79"/>
        <v>SFm&amp;1&amp;rDXGF&amp;New&amp;SpaceHtg_eq__GasFurnace</v>
      </c>
      <c r="O276" t="s">
        <v>50</v>
      </c>
      <c r="P276">
        <v>1</v>
      </c>
      <c r="Q276" t="s">
        <v>51</v>
      </c>
      <c r="R276" t="s">
        <v>107</v>
      </c>
      <c r="S276" s="3" t="str">
        <f t="shared" si="76"/>
        <v>No</v>
      </c>
      <c r="T276" t="str">
        <f t="shared" si="83"/>
        <v>SpaceHtg_eq__GasFurnace</v>
      </c>
      <c r="U276" t="str">
        <f t="shared" si="84"/>
        <v>SpaceHtg_eq__GasFurnace</v>
      </c>
      <c r="V276" t="s">
        <v>137</v>
      </c>
      <c r="W276" t="s">
        <v>138</v>
      </c>
      <c r="X276" t="s">
        <v>137</v>
      </c>
      <c r="Y276" t="s">
        <v>138</v>
      </c>
      <c r="AA276" t="s">
        <v>55</v>
      </c>
      <c r="AB276" s="3" t="s">
        <v>139</v>
      </c>
    </row>
    <row r="277" spans="1:28" x14ac:dyDescent="0.25">
      <c r="A277" t="s">
        <v>131</v>
      </c>
      <c r="B277" s="3" t="s">
        <v>10675</v>
      </c>
      <c r="C277" t="s">
        <v>10656</v>
      </c>
      <c r="D277" s="3" t="str">
        <f t="shared" si="87"/>
        <v>SWHC031-03 Furnace_SFm</v>
      </c>
      <c r="E277" s="3"/>
      <c r="F277" t="s">
        <v>142</v>
      </c>
      <c r="G277" t="str">
        <f t="shared" si="88"/>
        <v>Res-GasFurnace-AFUE97-ECM</v>
      </c>
      <c r="H277" t="s">
        <v>133</v>
      </c>
      <c r="I277" t="s">
        <v>134</v>
      </c>
      <c r="J277" t="s">
        <v>143</v>
      </c>
      <c r="K277" s="32" t="s">
        <v>136</v>
      </c>
      <c r="L277" s="32" t="s">
        <v>136</v>
      </c>
      <c r="M277" t="str">
        <f t="shared" si="82"/>
        <v>Msr-Res-GasFurnace-AFUE97-ECM</v>
      </c>
      <c r="N277" t="str">
        <f t="shared" si="79"/>
        <v>SFm&amp;2&amp;rDXGF&amp;New&amp;SpaceHtg_eq__GasFurnace</v>
      </c>
      <c r="O277" t="s">
        <v>50</v>
      </c>
      <c r="P277">
        <v>2</v>
      </c>
      <c r="Q277" t="s">
        <v>51</v>
      </c>
      <c r="R277" t="s">
        <v>107</v>
      </c>
      <c r="S277" s="3" t="str">
        <f t="shared" si="76"/>
        <v>No</v>
      </c>
      <c r="T277" t="str">
        <f t="shared" si="83"/>
        <v>SpaceHtg_eq__GasFurnace</v>
      </c>
      <c r="U277" t="str">
        <f t="shared" si="84"/>
        <v>SpaceHtg_eq__GasFurnace</v>
      </c>
      <c r="V277" t="s">
        <v>137</v>
      </c>
      <c r="W277" t="s">
        <v>138</v>
      </c>
      <c r="X277" t="s">
        <v>137</v>
      </c>
      <c r="Y277" t="s">
        <v>138</v>
      </c>
      <c r="AA277" t="s">
        <v>55</v>
      </c>
      <c r="AB277" s="3" t="s">
        <v>139</v>
      </c>
    </row>
    <row r="278" spans="1:28" x14ac:dyDescent="0.25">
      <c r="A278" t="s">
        <v>131</v>
      </c>
      <c r="B278" s="3" t="s">
        <v>10675</v>
      </c>
      <c r="C278" t="s">
        <v>10656</v>
      </c>
      <c r="D278" s="3" t="str">
        <f t="shared" si="87"/>
        <v>SWHC031-03 Furnace_DMo</v>
      </c>
      <c r="E278" s="3"/>
      <c r="F278" t="s">
        <v>142</v>
      </c>
      <c r="G278" t="str">
        <f t="shared" si="88"/>
        <v>Res-GasFurnace-AFUE97-ECM</v>
      </c>
      <c r="H278" t="s">
        <v>133</v>
      </c>
      <c r="I278" t="s">
        <v>134</v>
      </c>
      <c r="J278" t="s">
        <v>143</v>
      </c>
      <c r="K278" s="32" t="s">
        <v>136</v>
      </c>
      <c r="L278" s="32" t="s">
        <v>136</v>
      </c>
      <c r="M278" t="str">
        <f t="shared" si="82"/>
        <v>Msr-Res-GasFurnace-AFUE97-ECM</v>
      </c>
      <c r="N278" t="str">
        <f t="shared" si="79"/>
        <v>DMo&amp;0&amp;rDXGF&amp;New&amp;SpaceHtg_eq__GasFurnace</v>
      </c>
      <c r="O278" t="s">
        <v>62</v>
      </c>
      <c r="P278">
        <v>0</v>
      </c>
      <c r="Q278" t="s">
        <v>51</v>
      </c>
      <c r="R278" t="s">
        <v>107</v>
      </c>
      <c r="S278" s="3" t="str">
        <f t="shared" si="76"/>
        <v>No</v>
      </c>
      <c r="T278" t="str">
        <f t="shared" si="83"/>
        <v>SpaceHtg_eq__GasFurnace</v>
      </c>
      <c r="U278" t="str">
        <f t="shared" si="84"/>
        <v>SpaceHtg_eq__GasFurnace</v>
      </c>
      <c r="V278" t="s">
        <v>137</v>
      </c>
      <c r="W278" t="s">
        <v>138</v>
      </c>
      <c r="X278" t="s">
        <v>137</v>
      </c>
      <c r="Y278" t="s">
        <v>138</v>
      </c>
      <c r="AA278" t="s">
        <v>55</v>
      </c>
      <c r="AB278" s="3" t="s">
        <v>139</v>
      </c>
    </row>
    <row r="279" spans="1:28" x14ac:dyDescent="0.25">
      <c r="A279" t="s">
        <v>131</v>
      </c>
      <c r="B279" s="3" t="s">
        <v>10675</v>
      </c>
      <c r="C279" t="s">
        <v>10656</v>
      </c>
      <c r="D279" s="3" t="str">
        <f t="shared" si="87"/>
        <v>SWHC031-03 Furnace_MFm</v>
      </c>
      <c r="E279" s="3"/>
      <c r="F279" t="s">
        <v>142</v>
      </c>
      <c r="G279" t="str">
        <f t="shared" si="88"/>
        <v>Res-GasFurnace-AFUE97-ECM</v>
      </c>
      <c r="H279" t="s">
        <v>133</v>
      </c>
      <c r="I279" t="s">
        <v>134</v>
      </c>
      <c r="J279" t="s">
        <v>143</v>
      </c>
      <c r="K279" s="32" t="s">
        <v>136</v>
      </c>
      <c r="L279" s="32" t="s">
        <v>136</v>
      </c>
      <c r="M279" t="str">
        <f t="shared" si="82"/>
        <v>Msr-Res-GasFurnace-AFUE97-ECM</v>
      </c>
      <c r="N279" t="str">
        <f t="shared" si="79"/>
        <v>MFm&amp;0&amp;rDXGF&amp;New&amp;SpaceHtg_eq__GasFurnace</v>
      </c>
      <c r="O279" t="s">
        <v>63</v>
      </c>
      <c r="P279">
        <v>0</v>
      </c>
      <c r="Q279" t="s">
        <v>51</v>
      </c>
      <c r="R279" t="s">
        <v>107</v>
      </c>
      <c r="S279" s="3" t="str">
        <f t="shared" si="76"/>
        <v>No</v>
      </c>
      <c r="T279" t="str">
        <f t="shared" si="83"/>
        <v>SpaceHtg_eq__GasFurnace</v>
      </c>
      <c r="U279" t="str">
        <f t="shared" si="84"/>
        <v>SpaceHtg_eq__GasFurnace</v>
      </c>
      <c r="V279" t="s">
        <v>137</v>
      </c>
      <c r="W279" t="s">
        <v>138</v>
      </c>
      <c r="X279" t="s">
        <v>137</v>
      </c>
      <c r="Y279" t="s">
        <v>138</v>
      </c>
      <c r="AA279" t="s">
        <v>55</v>
      </c>
      <c r="AB279" s="3" t="s">
        <v>139</v>
      </c>
    </row>
    <row r="280" spans="1:28" x14ac:dyDescent="0.25">
      <c r="A280" t="s">
        <v>131</v>
      </c>
      <c r="B280" s="3" t="s">
        <v>10675</v>
      </c>
      <c r="C280" t="s">
        <v>10656</v>
      </c>
      <c r="D280" s="3" t="str">
        <f t="shared" si="87"/>
        <v>SWHC031-03 Furnace_SFm</v>
      </c>
      <c r="E280" s="3"/>
      <c r="F280" t="s">
        <v>142</v>
      </c>
      <c r="G280" t="str">
        <f t="shared" si="88"/>
        <v>Res-GasFurnace-AFUE97-ECM</v>
      </c>
      <c r="H280" t="s">
        <v>133</v>
      </c>
      <c r="I280" t="s">
        <v>134</v>
      </c>
      <c r="J280" t="s">
        <v>143</v>
      </c>
      <c r="K280" s="32" t="s">
        <v>136</v>
      </c>
      <c r="L280" s="32" t="s">
        <v>136</v>
      </c>
      <c r="M280" t="str">
        <f t="shared" si="82"/>
        <v>Msr-Res-GasFurnace-AFUE97-ECM</v>
      </c>
      <c r="N280" t="str">
        <f t="shared" si="79"/>
        <v>SFm&amp;1&amp;rNCGF&amp;New&amp;SpaceHtg_eq__GasFurnace</v>
      </c>
      <c r="O280" t="s">
        <v>50</v>
      </c>
      <c r="P280">
        <v>1</v>
      </c>
      <c r="Q280" t="s">
        <v>58</v>
      </c>
      <c r="R280" t="s">
        <v>107</v>
      </c>
      <c r="S280" s="3" t="str">
        <f t="shared" si="76"/>
        <v>No</v>
      </c>
      <c r="T280" t="str">
        <f t="shared" si="83"/>
        <v>SpaceHtg_eq__GasFurnace</v>
      </c>
      <c r="U280" t="str">
        <f t="shared" si="84"/>
        <v>SpaceHtg_eq__GasFurnace</v>
      </c>
      <c r="V280" t="s">
        <v>137</v>
      </c>
      <c r="W280" t="s">
        <v>138</v>
      </c>
      <c r="X280" t="s">
        <v>137</v>
      </c>
      <c r="Y280" t="s">
        <v>138</v>
      </c>
      <c r="AA280" t="s">
        <v>55</v>
      </c>
      <c r="AB280" s="3" t="s">
        <v>139</v>
      </c>
    </row>
    <row r="281" spans="1:28" x14ac:dyDescent="0.25">
      <c r="A281" t="s">
        <v>131</v>
      </c>
      <c r="B281" s="3" t="s">
        <v>10675</v>
      </c>
      <c r="C281" t="s">
        <v>10656</v>
      </c>
      <c r="D281" s="3" t="str">
        <f t="shared" si="87"/>
        <v>SWHC031-03 Furnace_SFm</v>
      </c>
      <c r="E281" s="3"/>
      <c r="F281" t="s">
        <v>142</v>
      </c>
      <c r="G281" t="str">
        <f t="shared" si="88"/>
        <v>Res-GasFurnace-AFUE97-ECM</v>
      </c>
      <c r="H281" t="s">
        <v>133</v>
      </c>
      <c r="I281" t="s">
        <v>134</v>
      </c>
      <c r="J281" t="s">
        <v>143</v>
      </c>
      <c r="K281" s="32" t="s">
        <v>136</v>
      </c>
      <c r="L281" s="32" t="s">
        <v>136</v>
      </c>
      <c r="M281" t="str">
        <f t="shared" si="82"/>
        <v>Msr-Res-GasFurnace-AFUE97-ECM</v>
      </c>
      <c r="N281" t="str">
        <f t="shared" si="79"/>
        <v>SFm&amp;2&amp;rNCGF&amp;New&amp;SpaceHtg_eq__GasFurnace</v>
      </c>
      <c r="O281" t="s">
        <v>50</v>
      </c>
      <c r="P281">
        <v>2</v>
      </c>
      <c r="Q281" t="s">
        <v>58</v>
      </c>
      <c r="R281" t="s">
        <v>107</v>
      </c>
      <c r="S281" s="3" t="str">
        <f t="shared" si="76"/>
        <v>No</v>
      </c>
      <c r="T281" t="str">
        <f t="shared" si="83"/>
        <v>SpaceHtg_eq__GasFurnace</v>
      </c>
      <c r="U281" t="str">
        <f t="shared" si="84"/>
        <v>SpaceHtg_eq__GasFurnace</v>
      </c>
      <c r="V281" t="s">
        <v>137</v>
      </c>
      <c r="W281" t="s">
        <v>138</v>
      </c>
      <c r="X281" t="s">
        <v>137</v>
      </c>
      <c r="Y281" t="s">
        <v>138</v>
      </c>
      <c r="AA281" t="s">
        <v>55</v>
      </c>
      <c r="AB281" s="3" t="s">
        <v>139</v>
      </c>
    </row>
    <row r="282" spans="1:28" x14ac:dyDescent="0.25">
      <c r="A282" t="s">
        <v>131</v>
      </c>
      <c r="B282" s="3" t="s">
        <v>10675</v>
      </c>
      <c r="C282" t="s">
        <v>10656</v>
      </c>
      <c r="D282" s="3" t="str">
        <f t="shared" si="87"/>
        <v>SWHC031-03 Furnace_DMo</v>
      </c>
      <c r="E282" s="3"/>
      <c r="F282" t="s">
        <v>142</v>
      </c>
      <c r="G282" t="str">
        <f t="shared" si="88"/>
        <v>Res-GasFurnace-AFUE97-ECM</v>
      </c>
      <c r="H282" t="s">
        <v>133</v>
      </c>
      <c r="I282" t="s">
        <v>134</v>
      </c>
      <c r="J282" t="s">
        <v>143</v>
      </c>
      <c r="K282" s="32" t="s">
        <v>136</v>
      </c>
      <c r="L282" s="32" t="s">
        <v>136</v>
      </c>
      <c r="M282" t="str">
        <f t="shared" si="82"/>
        <v>Msr-Res-GasFurnace-AFUE97-ECM</v>
      </c>
      <c r="N282" t="str">
        <f t="shared" si="79"/>
        <v>DMo&amp;0&amp;rNCGF&amp;New&amp;SpaceHtg_eq__GasFurnace</v>
      </c>
      <c r="O282" t="s">
        <v>62</v>
      </c>
      <c r="P282">
        <v>0</v>
      </c>
      <c r="Q282" t="s">
        <v>58</v>
      </c>
      <c r="R282" t="s">
        <v>107</v>
      </c>
      <c r="S282" s="3" t="str">
        <f t="shared" si="76"/>
        <v>No</v>
      </c>
      <c r="T282" t="str">
        <f t="shared" si="83"/>
        <v>SpaceHtg_eq__GasFurnace</v>
      </c>
      <c r="U282" t="str">
        <f t="shared" si="84"/>
        <v>SpaceHtg_eq__GasFurnace</v>
      </c>
      <c r="V282" t="s">
        <v>137</v>
      </c>
      <c r="W282" t="s">
        <v>138</v>
      </c>
      <c r="X282" t="s">
        <v>137</v>
      </c>
      <c r="Y282" t="s">
        <v>138</v>
      </c>
      <c r="AA282" t="s">
        <v>55</v>
      </c>
      <c r="AB282" s="3" t="s">
        <v>139</v>
      </c>
    </row>
    <row r="283" spans="1:28" x14ac:dyDescent="0.25">
      <c r="A283" t="s">
        <v>131</v>
      </c>
      <c r="B283" s="3" t="s">
        <v>10675</v>
      </c>
      <c r="C283" t="s">
        <v>10656</v>
      </c>
      <c r="D283" s="3" t="str">
        <f t="shared" si="87"/>
        <v>SWHC031-03 Furnace_MFm</v>
      </c>
      <c r="E283" s="3"/>
      <c r="F283" t="s">
        <v>142</v>
      </c>
      <c r="G283" t="str">
        <f t="shared" si="88"/>
        <v>Res-GasFurnace-AFUE97-ECM</v>
      </c>
      <c r="H283" t="s">
        <v>133</v>
      </c>
      <c r="I283" t="s">
        <v>134</v>
      </c>
      <c r="J283" t="s">
        <v>143</v>
      </c>
      <c r="K283" s="32" t="s">
        <v>136</v>
      </c>
      <c r="L283" s="32" t="s">
        <v>136</v>
      </c>
      <c r="M283" t="str">
        <f t="shared" si="82"/>
        <v>Msr-Res-GasFurnace-AFUE97-ECM</v>
      </c>
      <c r="N283" t="str">
        <f t="shared" si="79"/>
        <v>MFm&amp;0&amp;rNCGF&amp;New&amp;SpaceHtg_eq__GasFurnace</v>
      </c>
      <c r="O283" t="s">
        <v>63</v>
      </c>
      <c r="P283">
        <v>0</v>
      </c>
      <c r="Q283" t="s">
        <v>58</v>
      </c>
      <c r="R283" t="s">
        <v>107</v>
      </c>
      <c r="S283" s="3" t="str">
        <f t="shared" si="76"/>
        <v>No</v>
      </c>
      <c r="T283" t="str">
        <f t="shared" si="83"/>
        <v>SpaceHtg_eq__GasFurnace</v>
      </c>
      <c r="U283" t="str">
        <f t="shared" si="84"/>
        <v>SpaceHtg_eq__GasFurnace</v>
      </c>
      <c r="V283" t="s">
        <v>137</v>
      </c>
      <c r="W283" t="s">
        <v>138</v>
      </c>
      <c r="X283" t="s">
        <v>137</v>
      </c>
      <c r="Y283" t="s">
        <v>138</v>
      </c>
      <c r="AA283" t="s">
        <v>55</v>
      </c>
      <c r="AB283" s="3" t="s">
        <v>139</v>
      </c>
    </row>
    <row r="284" spans="1:28" x14ac:dyDescent="0.25">
      <c r="A284" s="3" t="s">
        <v>144</v>
      </c>
      <c r="B284" s="3" t="s">
        <v>10675</v>
      </c>
      <c r="C284" s="3" t="s">
        <v>10658</v>
      </c>
      <c r="D284" s="3" t="str">
        <f t="shared" si="87"/>
        <v>SWAP001-05 Refrigerator/Freezer_SFm</v>
      </c>
      <c r="E284" s="3"/>
      <c r="F284" s="3" t="s">
        <v>145</v>
      </c>
      <c r="G284" s="3" t="str">
        <f t="shared" si="88"/>
        <v>Res-Frzr-dKWH-Cond</v>
      </c>
      <c r="H284" s="3" t="s">
        <v>146</v>
      </c>
      <c r="I284" s="3" t="s">
        <v>147</v>
      </c>
      <c r="J284" s="3" t="s">
        <v>148</v>
      </c>
      <c r="K284" s="32" t="s">
        <v>149</v>
      </c>
      <c r="L284" s="32" t="s">
        <v>149</v>
      </c>
      <c r="M284" s="3" t="str">
        <f>J284</f>
        <v>Msr-Res-Frzr-dKWH-Cond-1000kWh</v>
      </c>
      <c r="N284" s="3" t="str">
        <f t="shared" ref="N284:N347" si="89">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76"/>
        <v>No</v>
      </c>
      <c r="T284" s="3" t="str">
        <f t="shared" si="83"/>
        <v>Ref_Storage__RefrigFrz</v>
      </c>
      <c r="U284" s="3" t="str">
        <f t="shared" si="84"/>
        <v>Ref_Storage__RefrigFrz</v>
      </c>
      <c r="V284" s="3" t="s">
        <v>150</v>
      </c>
      <c r="W284" s="3" t="s">
        <v>151</v>
      </c>
      <c r="X284" s="3" t="s">
        <v>150</v>
      </c>
      <c r="Y284" s="3" t="s">
        <v>151</v>
      </c>
      <c r="Z284" s="3"/>
      <c r="AA284" s="3" t="s">
        <v>152</v>
      </c>
      <c r="AB284" s="3" t="s">
        <v>153</v>
      </c>
    </row>
    <row r="285" spans="1:28" x14ac:dyDescent="0.25">
      <c r="A285" s="3" t="s">
        <v>144</v>
      </c>
      <c r="B285" s="3" t="s">
        <v>10675</v>
      </c>
      <c r="C285" s="3" t="s">
        <v>10658</v>
      </c>
      <c r="D285" s="3" t="str">
        <f t="shared" si="87"/>
        <v>SWAP001-05 Refrigerator/Freezer_SFm</v>
      </c>
      <c r="E285" s="3"/>
      <c r="F285" s="3" t="s">
        <v>145</v>
      </c>
      <c r="G285" s="3" t="str">
        <f t="shared" ref="G285:G291" si="90">F285</f>
        <v>Res-Frzr-dKWH-Cond</v>
      </c>
      <c r="H285" s="3" t="s">
        <v>146</v>
      </c>
      <c r="I285" s="3" t="s">
        <v>147</v>
      </c>
      <c r="J285" s="3" t="s">
        <v>148</v>
      </c>
      <c r="K285" s="32" t="s">
        <v>149</v>
      </c>
      <c r="L285" s="32" t="s">
        <v>149</v>
      </c>
      <c r="M285" s="3" t="str">
        <f t="shared" ref="M285:M315" si="91">J285</f>
        <v>Msr-Res-Frzr-dKWH-Cond-1000kWh</v>
      </c>
      <c r="N285" s="3" t="str">
        <f t="shared" si="89"/>
        <v>SFm&amp;2&amp;rDXGF&amp;Ex&amp;Ref_Storage__RefrigFrz</v>
      </c>
      <c r="O285" s="3" t="s">
        <v>50</v>
      </c>
      <c r="P285" s="3">
        <v>2</v>
      </c>
      <c r="Q285" s="3" t="s">
        <v>51</v>
      </c>
      <c r="R285" s="3" t="s">
        <v>52</v>
      </c>
      <c r="S285" s="3" t="str">
        <f t="shared" si="76"/>
        <v>No</v>
      </c>
      <c r="T285" s="3" t="str">
        <f t="shared" ref="T285:T348" si="92">V285&amp;"__"&amp;W285</f>
        <v>Ref_Storage__RefrigFrz</v>
      </c>
      <c r="U285" s="3" t="str">
        <f t="shared" ref="U285:U348" si="93">X285&amp;"__"&amp;Y285</f>
        <v>Ref_Storage__RefrigFrz</v>
      </c>
      <c r="V285" s="3" t="s">
        <v>150</v>
      </c>
      <c r="W285" s="3" t="s">
        <v>151</v>
      </c>
      <c r="X285" s="3" t="s">
        <v>150</v>
      </c>
      <c r="Y285" s="3" t="s">
        <v>151</v>
      </c>
      <c r="Z285" s="3"/>
      <c r="AA285" s="3" t="s">
        <v>152</v>
      </c>
      <c r="AB285" s="3" t="s">
        <v>153</v>
      </c>
    </row>
    <row r="286" spans="1:28" x14ac:dyDescent="0.25">
      <c r="A286" s="3" t="s">
        <v>144</v>
      </c>
      <c r="B286" s="3" t="s">
        <v>10675</v>
      </c>
      <c r="C286" s="3" t="s">
        <v>10658</v>
      </c>
      <c r="D286" s="3" t="str">
        <f t="shared" si="87"/>
        <v>SWAP001-05 Refrigerator/Freezer_DMo</v>
      </c>
      <c r="E286" s="3"/>
      <c r="F286" s="3" t="s">
        <v>145</v>
      </c>
      <c r="G286" s="3" t="str">
        <f t="shared" si="90"/>
        <v>Res-Frzr-dKWH-Cond</v>
      </c>
      <c r="H286" s="3" t="s">
        <v>146</v>
      </c>
      <c r="I286" s="3" t="s">
        <v>147</v>
      </c>
      <c r="J286" s="3" t="s">
        <v>148</v>
      </c>
      <c r="K286" s="32" t="s">
        <v>149</v>
      </c>
      <c r="L286" s="32" t="s">
        <v>149</v>
      </c>
      <c r="M286" s="3" t="str">
        <f t="shared" si="91"/>
        <v>Msr-Res-Frzr-dKWH-Cond-1000kWh</v>
      </c>
      <c r="N286" s="3" t="str">
        <f t="shared" si="89"/>
        <v>DMo&amp;0&amp;rDXGF&amp;Ex&amp;Ref_Storage__RefrigFrz</v>
      </c>
      <c r="O286" s="3" t="s">
        <v>62</v>
      </c>
      <c r="P286" s="3">
        <v>0</v>
      </c>
      <c r="Q286" s="3" t="s">
        <v>51</v>
      </c>
      <c r="R286" s="3" t="s">
        <v>52</v>
      </c>
      <c r="S286" s="3" t="str">
        <f t="shared" si="76"/>
        <v>No</v>
      </c>
      <c r="T286" s="3" t="str">
        <f t="shared" si="92"/>
        <v>Ref_Storage__RefrigFrz</v>
      </c>
      <c r="U286" s="3" t="str">
        <f t="shared" si="93"/>
        <v>Ref_Storage__RefrigFrz</v>
      </c>
      <c r="V286" s="3" t="s">
        <v>150</v>
      </c>
      <c r="W286" s="3" t="s">
        <v>151</v>
      </c>
      <c r="X286" s="3" t="s">
        <v>150</v>
      </c>
      <c r="Y286" s="3" t="s">
        <v>151</v>
      </c>
      <c r="Z286" s="3"/>
      <c r="AA286" s="3" t="s">
        <v>152</v>
      </c>
      <c r="AB286" s="3" t="s">
        <v>153</v>
      </c>
    </row>
    <row r="287" spans="1:28" x14ac:dyDescent="0.25">
      <c r="A287" s="3" t="s">
        <v>144</v>
      </c>
      <c r="B287" s="3" t="s">
        <v>10675</v>
      </c>
      <c r="C287" s="3" t="s">
        <v>10658</v>
      </c>
      <c r="D287" s="3" t="str">
        <f t="shared" si="87"/>
        <v>SWAP001-05 Refrigerator/Freezer_MFm</v>
      </c>
      <c r="E287" s="3"/>
      <c r="F287" s="3" t="s">
        <v>145</v>
      </c>
      <c r="G287" s="3" t="str">
        <f t="shared" si="90"/>
        <v>Res-Frzr-dKWH-Cond</v>
      </c>
      <c r="H287" s="3" t="s">
        <v>146</v>
      </c>
      <c r="I287" s="3" t="s">
        <v>147</v>
      </c>
      <c r="J287" s="3" t="s">
        <v>148</v>
      </c>
      <c r="K287" s="32" t="s">
        <v>149</v>
      </c>
      <c r="L287" s="32" t="s">
        <v>149</v>
      </c>
      <c r="M287" s="3" t="str">
        <f t="shared" si="91"/>
        <v>Msr-Res-Frzr-dKWH-Cond-1000kWh</v>
      </c>
      <c r="N287" s="3" t="str">
        <f t="shared" si="89"/>
        <v>MFm&amp;0&amp;rDXGF&amp;Ex&amp;Ref_Storage__RefrigFrz</v>
      </c>
      <c r="O287" s="3" t="s">
        <v>63</v>
      </c>
      <c r="P287" s="3">
        <v>0</v>
      </c>
      <c r="Q287" s="3" t="s">
        <v>51</v>
      </c>
      <c r="R287" s="3" t="s">
        <v>52</v>
      </c>
      <c r="S287" s="3" t="str">
        <f t="shared" si="76"/>
        <v>No</v>
      </c>
      <c r="T287" s="3" t="str">
        <f t="shared" si="92"/>
        <v>Ref_Storage__RefrigFrz</v>
      </c>
      <c r="U287" s="3" t="str">
        <f t="shared" si="93"/>
        <v>Ref_Storage__RefrigFrz</v>
      </c>
      <c r="V287" s="3" t="s">
        <v>150</v>
      </c>
      <c r="W287" s="3" t="s">
        <v>151</v>
      </c>
      <c r="X287" s="3" t="s">
        <v>150</v>
      </c>
      <c r="Y287" s="3" t="s">
        <v>151</v>
      </c>
      <c r="Z287" s="3"/>
      <c r="AA287" s="3" t="s">
        <v>152</v>
      </c>
      <c r="AB287" s="3" t="s">
        <v>153</v>
      </c>
    </row>
    <row r="288" spans="1:28" x14ac:dyDescent="0.25">
      <c r="A288" s="3" t="s">
        <v>144</v>
      </c>
      <c r="B288" s="3" t="s">
        <v>10675</v>
      </c>
      <c r="C288" s="3" t="s">
        <v>10658</v>
      </c>
      <c r="D288" s="3" t="str">
        <f t="shared" si="87"/>
        <v>SWAP001-05 Refrigerator/Freezer_SFm</v>
      </c>
      <c r="E288" s="3"/>
      <c r="F288" s="3" t="s">
        <v>145</v>
      </c>
      <c r="G288" s="3" t="str">
        <f t="shared" si="90"/>
        <v>Res-Frzr-dKWH-Cond</v>
      </c>
      <c r="H288" s="3" t="s">
        <v>146</v>
      </c>
      <c r="I288" s="3" t="s">
        <v>147</v>
      </c>
      <c r="J288" s="3" t="s">
        <v>148</v>
      </c>
      <c r="K288" s="32" t="s">
        <v>149</v>
      </c>
      <c r="L288" s="32" t="s">
        <v>149</v>
      </c>
      <c r="M288" s="3" t="str">
        <f t="shared" si="91"/>
        <v>Msr-Res-Frzr-dKWH-Cond-1000kWh</v>
      </c>
      <c r="N288" s="3" t="str">
        <f t="shared" si="89"/>
        <v>SFm&amp;1&amp;rDXGF&amp;New&amp;Ref_Storage__RefrigFrz</v>
      </c>
      <c r="O288" s="3" t="s">
        <v>50</v>
      </c>
      <c r="P288" s="3">
        <v>1</v>
      </c>
      <c r="Q288" s="3" t="s">
        <v>51</v>
      </c>
      <c r="R288" s="3" t="s">
        <v>107</v>
      </c>
      <c r="S288" s="3" t="str">
        <f t="shared" si="76"/>
        <v>No</v>
      </c>
      <c r="T288" s="3" t="str">
        <f t="shared" si="92"/>
        <v>Ref_Storage__RefrigFrz</v>
      </c>
      <c r="U288" s="3" t="str">
        <f t="shared" si="93"/>
        <v>Ref_Storage__RefrigFrz</v>
      </c>
      <c r="V288" s="3" t="s">
        <v>150</v>
      </c>
      <c r="W288" s="3" t="s">
        <v>151</v>
      </c>
      <c r="X288" s="3" t="s">
        <v>150</v>
      </c>
      <c r="Y288" s="3" t="s">
        <v>151</v>
      </c>
      <c r="Z288" s="3"/>
      <c r="AA288" s="3" t="s">
        <v>152</v>
      </c>
      <c r="AB288" s="3" t="s">
        <v>153</v>
      </c>
    </row>
    <row r="289" spans="1:28" x14ac:dyDescent="0.25">
      <c r="A289" s="3" t="s">
        <v>144</v>
      </c>
      <c r="B289" s="3" t="s">
        <v>10675</v>
      </c>
      <c r="C289" s="3" t="s">
        <v>10658</v>
      </c>
      <c r="D289" s="3" t="str">
        <f t="shared" si="87"/>
        <v>SWAP001-05 Refrigerator/Freezer_SFm</v>
      </c>
      <c r="E289" s="3"/>
      <c r="F289" s="3" t="s">
        <v>145</v>
      </c>
      <c r="G289" s="3" t="str">
        <f t="shared" si="90"/>
        <v>Res-Frzr-dKWH-Cond</v>
      </c>
      <c r="H289" s="3" t="s">
        <v>146</v>
      </c>
      <c r="I289" s="3" t="s">
        <v>147</v>
      </c>
      <c r="J289" s="3" t="s">
        <v>148</v>
      </c>
      <c r="K289" s="32" t="s">
        <v>149</v>
      </c>
      <c r="L289" s="32" t="s">
        <v>149</v>
      </c>
      <c r="M289" s="3" t="str">
        <f t="shared" si="91"/>
        <v>Msr-Res-Frzr-dKWH-Cond-1000kWh</v>
      </c>
      <c r="N289" s="3" t="str">
        <f t="shared" si="89"/>
        <v>SFm&amp;2&amp;rDXGF&amp;New&amp;Ref_Storage__RefrigFrz</v>
      </c>
      <c r="O289" s="3" t="s">
        <v>50</v>
      </c>
      <c r="P289" s="3">
        <v>2</v>
      </c>
      <c r="Q289" s="3" t="s">
        <v>51</v>
      </c>
      <c r="R289" s="3" t="s">
        <v>107</v>
      </c>
      <c r="S289" s="3" t="str">
        <f t="shared" si="76"/>
        <v>No</v>
      </c>
      <c r="T289" s="3" t="str">
        <f t="shared" si="92"/>
        <v>Ref_Storage__RefrigFrz</v>
      </c>
      <c r="U289" s="3" t="str">
        <f t="shared" si="93"/>
        <v>Ref_Storage__RefrigFrz</v>
      </c>
      <c r="V289" s="3" t="s">
        <v>150</v>
      </c>
      <c r="W289" s="3" t="s">
        <v>151</v>
      </c>
      <c r="X289" s="3" t="s">
        <v>150</v>
      </c>
      <c r="Y289" s="3" t="s">
        <v>151</v>
      </c>
      <c r="Z289" s="3"/>
      <c r="AA289" s="3" t="s">
        <v>152</v>
      </c>
      <c r="AB289" s="3" t="s">
        <v>153</v>
      </c>
    </row>
    <row r="290" spans="1:28" x14ac:dyDescent="0.25">
      <c r="A290" s="3" t="s">
        <v>144</v>
      </c>
      <c r="B290" s="3" t="s">
        <v>10675</v>
      </c>
      <c r="C290" s="3" t="s">
        <v>10658</v>
      </c>
      <c r="D290" s="3" t="str">
        <f t="shared" si="87"/>
        <v>SWAP001-05 Refrigerator/Freezer_DMo</v>
      </c>
      <c r="E290" s="3"/>
      <c r="F290" s="3" t="s">
        <v>145</v>
      </c>
      <c r="G290" s="3" t="str">
        <f t="shared" si="90"/>
        <v>Res-Frzr-dKWH-Cond</v>
      </c>
      <c r="H290" s="3" t="s">
        <v>146</v>
      </c>
      <c r="I290" s="3" t="s">
        <v>147</v>
      </c>
      <c r="J290" s="3" t="s">
        <v>148</v>
      </c>
      <c r="K290" s="32" t="s">
        <v>149</v>
      </c>
      <c r="L290" s="32" t="s">
        <v>149</v>
      </c>
      <c r="M290" s="3" t="str">
        <f t="shared" si="91"/>
        <v>Msr-Res-Frzr-dKWH-Cond-1000kWh</v>
      </c>
      <c r="N290" s="3" t="str">
        <f t="shared" si="89"/>
        <v>DMo&amp;0&amp;rDXGF&amp;New&amp;Ref_Storage__RefrigFrz</v>
      </c>
      <c r="O290" s="3" t="s">
        <v>62</v>
      </c>
      <c r="P290" s="3">
        <v>0</v>
      </c>
      <c r="Q290" s="3" t="s">
        <v>51</v>
      </c>
      <c r="R290" s="3" t="s">
        <v>107</v>
      </c>
      <c r="S290" s="3" t="str">
        <f t="shared" si="76"/>
        <v>No</v>
      </c>
      <c r="T290" s="3" t="str">
        <f t="shared" si="92"/>
        <v>Ref_Storage__RefrigFrz</v>
      </c>
      <c r="U290" s="3" t="str">
        <f t="shared" si="93"/>
        <v>Ref_Storage__RefrigFrz</v>
      </c>
      <c r="V290" s="3" t="s">
        <v>150</v>
      </c>
      <c r="W290" s="3" t="s">
        <v>151</v>
      </c>
      <c r="X290" s="3" t="s">
        <v>150</v>
      </c>
      <c r="Y290" s="3" t="s">
        <v>151</v>
      </c>
      <c r="Z290" s="3"/>
      <c r="AA290" s="3" t="s">
        <v>152</v>
      </c>
      <c r="AB290" s="3" t="s">
        <v>153</v>
      </c>
    </row>
    <row r="291" spans="1:28" x14ac:dyDescent="0.25">
      <c r="A291" s="3" t="s">
        <v>144</v>
      </c>
      <c r="B291" s="3" t="s">
        <v>10675</v>
      </c>
      <c r="C291" s="3" t="s">
        <v>10658</v>
      </c>
      <c r="D291" s="3" t="str">
        <f t="shared" si="87"/>
        <v>SWAP001-05 Refrigerator/Freezer_MFm</v>
      </c>
      <c r="E291" s="3"/>
      <c r="F291" s="3" t="s">
        <v>145</v>
      </c>
      <c r="G291" s="3" t="str">
        <f t="shared" si="90"/>
        <v>Res-Frzr-dKWH-Cond</v>
      </c>
      <c r="H291" s="3" t="s">
        <v>146</v>
      </c>
      <c r="I291" s="3" t="s">
        <v>147</v>
      </c>
      <c r="J291" s="3" t="s">
        <v>148</v>
      </c>
      <c r="K291" s="32" t="s">
        <v>149</v>
      </c>
      <c r="L291" s="32" t="s">
        <v>149</v>
      </c>
      <c r="M291" s="3" t="str">
        <f t="shared" si="91"/>
        <v>Msr-Res-Frzr-dKWH-Cond-1000kWh</v>
      </c>
      <c r="N291" s="3" t="str">
        <f t="shared" si="89"/>
        <v>MFm&amp;0&amp;rDXGF&amp;New&amp;Ref_Storage__RefrigFrz</v>
      </c>
      <c r="O291" s="3" t="s">
        <v>63</v>
      </c>
      <c r="P291" s="3">
        <v>0</v>
      </c>
      <c r="Q291" s="3" t="s">
        <v>51</v>
      </c>
      <c r="R291" s="3" t="s">
        <v>107</v>
      </c>
      <c r="S291" s="3" t="str">
        <f t="shared" si="76"/>
        <v>No</v>
      </c>
      <c r="T291" s="3" t="str">
        <f t="shared" si="92"/>
        <v>Ref_Storage__RefrigFrz</v>
      </c>
      <c r="U291" s="3" t="str">
        <f t="shared" si="93"/>
        <v>Ref_Storage__RefrigFrz</v>
      </c>
      <c r="V291" s="3" t="s">
        <v>150</v>
      </c>
      <c r="W291" s="3" t="s">
        <v>151</v>
      </c>
      <c r="X291" s="3" t="s">
        <v>150</v>
      </c>
      <c r="Y291" s="3" t="s">
        <v>151</v>
      </c>
      <c r="Z291" s="3"/>
      <c r="AA291" s="3" t="s">
        <v>152</v>
      </c>
      <c r="AB291" s="3" t="s">
        <v>153</v>
      </c>
    </row>
    <row r="292" spans="1:28" x14ac:dyDescent="0.25">
      <c r="A292" s="3" t="s">
        <v>144</v>
      </c>
      <c r="B292" s="3" t="s">
        <v>10675</v>
      </c>
      <c r="C292" s="3" t="s">
        <v>10658</v>
      </c>
      <c r="D292" s="3" t="str">
        <f t="shared" si="87"/>
        <v>SWAP001-05 Refrigerator/Freezer_SFm</v>
      </c>
      <c r="E292" s="3"/>
      <c r="F292" s="3" t="s">
        <v>145</v>
      </c>
      <c r="G292" s="3" t="str">
        <f t="shared" ref="G292:G323" si="94">F292</f>
        <v>Res-Frzr-dKWH-Cond</v>
      </c>
      <c r="H292" s="3" t="s">
        <v>146</v>
      </c>
      <c r="I292" s="3" t="s">
        <v>147</v>
      </c>
      <c r="J292" s="3" t="s">
        <v>148</v>
      </c>
      <c r="K292" s="32" t="s">
        <v>149</v>
      </c>
      <c r="L292" s="32" t="s">
        <v>149</v>
      </c>
      <c r="M292" s="3" t="str">
        <f t="shared" si="91"/>
        <v>Msr-Res-Frzr-dKWH-Cond-1000kWh</v>
      </c>
      <c r="N292" s="3" t="str">
        <f t="shared" si="89"/>
        <v>SFm&amp;1&amp;rDXHP&amp;Ex&amp;Ref_Storage__RefrigFrz</v>
      </c>
      <c r="O292" s="3" t="s">
        <v>50</v>
      </c>
      <c r="P292" s="3">
        <v>1</v>
      </c>
      <c r="Q292" s="3" t="s">
        <v>57</v>
      </c>
      <c r="R292" s="3" t="s">
        <v>52</v>
      </c>
      <c r="S292" s="3" t="str">
        <f t="shared" si="76"/>
        <v>No</v>
      </c>
      <c r="T292" s="3" t="str">
        <f t="shared" si="92"/>
        <v>Ref_Storage__RefrigFrz</v>
      </c>
      <c r="U292" s="3" t="str">
        <f t="shared" si="93"/>
        <v>Ref_Storage__RefrigFrz</v>
      </c>
      <c r="V292" s="3" t="s">
        <v>150</v>
      </c>
      <c r="W292" s="3" t="s">
        <v>151</v>
      </c>
      <c r="X292" s="3" t="s">
        <v>150</v>
      </c>
      <c r="Y292" s="3" t="s">
        <v>151</v>
      </c>
      <c r="Z292" s="3"/>
      <c r="AA292" s="3" t="s">
        <v>152</v>
      </c>
      <c r="AB292" s="3" t="s">
        <v>153</v>
      </c>
    </row>
    <row r="293" spans="1:28" x14ac:dyDescent="0.25">
      <c r="A293" s="3" t="s">
        <v>144</v>
      </c>
      <c r="B293" s="3" t="s">
        <v>10675</v>
      </c>
      <c r="C293" s="3" t="s">
        <v>10658</v>
      </c>
      <c r="D293" s="3" t="str">
        <f t="shared" si="87"/>
        <v>SWAP001-05 Refrigerator/Freezer_SFm</v>
      </c>
      <c r="E293" s="3"/>
      <c r="F293" s="3" t="s">
        <v>145</v>
      </c>
      <c r="G293" s="3" t="str">
        <f t="shared" si="94"/>
        <v>Res-Frzr-dKWH-Cond</v>
      </c>
      <c r="H293" s="3" t="s">
        <v>146</v>
      </c>
      <c r="I293" s="3" t="s">
        <v>147</v>
      </c>
      <c r="J293" s="3" t="s">
        <v>148</v>
      </c>
      <c r="K293" s="32" t="s">
        <v>149</v>
      </c>
      <c r="L293" s="32" t="s">
        <v>149</v>
      </c>
      <c r="M293" s="3" t="str">
        <f t="shared" si="91"/>
        <v>Msr-Res-Frzr-dKWH-Cond-1000kWh</v>
      </c>
      <c r="N293" s="3" t="str">
        <f t="shared" si="89"/>
        <v>SFm&amp;2&amp;rDXHP&amp;Ex&amp;Ref_Storage__RefrigFrz</v>
      </c>
      <c r="O293" s="3" t="s">
        <v>50</v>
      </c>
      <c r="P293" s="3">
        <v>2</v>
      </c>
      <c r="Q293" s="3" t="s">
        <v>57</v>
      </c>
      <c r="R293" s="3" t="s">
        <v>52</v>
      </c>
      <c r="S293" s="3" t="str">
        <f t="shared" si="76"/>
        <v>No</v>
      </c>
      <c r="T293" s="3" t="str">
        <f t="shared" si="92"/>
        <v>Ref_Storage__RefrigFrz</v>
      </c>
      <c r="U293" s="3" t="str">
        <f t="shared" si="93"/>
        <v>Ref_Storage__RefrigFrz</v>
      </c>
      <c r="V293" s="3" t="s">
        <v>150</v>
      </c>
      <c r="W293" s="3" t="s">
        <v>151</v>
      </c>
      <c r="X293" s="3" t="s">
        <v>150</v>
      </c>
      <c r="Y293" s="3" t="s">
        <v>151</v>
      </c>
      <c r="Z293" s="3"/>
      <c r="AA293" s="3" t="s">
        <v>152</v>
      </c>
      <c r="AB293" s="3" t="s">
        <v>153</v>
      </c>
    </row>
    <row r="294" spans="1:28" x14ac:dyDescent="0.25">
      <c r="A294" s="3" t="s">
        <v>144</v>
      </c>
      <c r="B294" s="3" t="s">
        <v>10675</v>
      </c>
      <c r="C294" s="3" t="s">
        <v>10658</v>
      </c>
      <c r="D294" s="3" t="str">
        <f t="shared" si="87"/>
        <v>SWAP001-05 Refrigerator/Freezer_DMo</v>
      </c>
      <c r="E294" s="3"/>
      <c r="F294" s="3" t="s">
        <v>145</v>
      </c>
      <c r="G294" s="3" t="str">
        <f t="shared" si="94"/>
        <v>Res-Frzr-dKWH-Cond</v>
      </c>
      <c r="H294" s="3" t="s">
        <v>146</v>
      </c>
      <c r="I294" s="3" t="s">
        <v>147</v>
      </c>
      <c r="J294" s="3" t="s">
        <v>148</v>
      </c>
      <c r="K294" s="32" t="s">
        <v>149</v>
      </c>
      <c r="L294" s="32" t="s">
        <v>149</v>
      </c>
      <c r="M294" s="3" t="str">
        <f t="shared" si="91"/>
        <v>Msr-Res-Frzr-dKWH-Cond-1000kWh</v>
      </c>
      <c r="N294" s="3" t="str">
        <f t="shared" si="89"/>
        <v>DMo&amp;0&amp;rDXHP&amp;Ex&amp;Ref_Storage__RefrigFrz</v>
      </c>
      <c r="O294" s="3" t="s">
        <v>62</v>
      </c>
      <c r="P294" s="3">
        <v>0</v>
      </c>
      <c r="Q294" s="3" t="s">
        <v>57</v>
      </c>
      <c r="R294" s="3" t="s">
        <v>52</v>
      </c>
      <c r="S294" s="3" t="str">
        <f t="shared" si="76"/>
        <v>No</v>
      </c>
      <c r="T294" s="3" t="str">
        <f t="shared" si="92"/>
        <v>Ref_Storage__RefrigFrz</v>
      </c>
      <c r="U294" s="3" t="str">
        <f t="shared" si="93"/>
        <v>Ref_Storage__RefrigFrz</v>
      </c>
      <c r="V294" s="3" t="s">
        <v>150</v>
      </c>
      <c r="W294" s="3" t="s">
        <v>151</v>
      </c>
      <c r="X294" s="3" t="s">
        <v>150</v>
      </c>
      <c r="Y294" s="3" t="s">
        <v>151</v>
      </c>
      <c r="Z294" s="3"/>
      <c r="AA294" s="3" t="s">
        <v>152</v>
      </c>
      <c r="AB294" s="3" t="s">
        <v>153</v>
      </c>
    </row>
    <row r="295" spans="1:28" x14ac:dyDescent="0.25">
      <c r="A295" s="3" t="s">
        <v>144</v>
      </c>
      <c r="B295" s="3" t="s">
        <v>10675</v>
      </c>
      <c r="C295" s="3" t="s">
        <v>10658</v>
      </c>
      <c r="D295" s="3" t="str">
        <f t="shared" si="87"/>
        <v>SWAP001-05 Refrigerator/Freezer_MFm</v>
      </c>
      <c r="E295" s="3"/>
      <c r="F295" s="3" t="s">
        <v>145</v>
      </c>
      <c r="G295" s="3" t="str">
        <f t="shared" si="94"/>
        <v>Res-Frzr-dKWH-Cond</v>
      </c>
      <c r="H295" s="3" t="s">
        <v>146</v>
      </c>
      <c r="I295" s="3" t="s">
        <v>147</v>
      </c>
      <c r="J295" s="3" t="s">
        <v>148</v>
      </c>
      <c r="K295" s="32" t="s">
        <v>149</v>
      </c>
      <c r="L295" s="32" t="s">
        <v>149</v>
      </c>
      <c r="M295" s="3" t="str">
        <f t="shared" si="91"/>
        <v>Msr-Res-Frzr-dKWH-Cond-1000kWh</v>
      </c>
      <c r="N295" s="3" t="str">
        <f t="shared" si="89"/>
        <v>MFm&amp;0&amp;rDXHP&amp;Ex&amp;Ref_Storage__RefrigFrz</v>
      </c>
      <c r="O295" s="3" t="s">
        <v>63</v>
      </c>
      <c r="P295" s="3">
        <v>0</v>
      </c>
      <c r="Q295" s="3" t="s">
        <v>57</v>
      </c>
      <c r="R295" s="3" t="s">
        <v>52</v>
      </c>
      <c r="S295" s="3" t="str">
        <f t="shared" si="76"/>
        <v>No</v>
      </c>
      <c r="T295" s="3" t="str">
        <f t="shared" si="92"/>
        <v>Ref_Storage__RefrigFrz</v>
      </c>
      <c r="U295" s="3" t="str">
        <f t="shared" si="93"/>
        <v>Ref_Storage__RefrigFrz</v>
      </c>
      <c r="V295" s="3" t="s">
        <v>150</v>
      </c>
      <c r="W295" s="3" t="s">
        <v>151</v>
      </c>
      <c r="X295" s="3" t="s">
        <v>150</v>
      </c>
      <c r="Y295" s="3" t="s">
        <v>151</v>
      </c>
      <c r="Z295" s="3"/>
      <c r="AA295" s="3" t="s">
        <v>152</v>
      </c>
      <c r="AB295" s="3" t="s">
        <v>153</v>
      </c>
    </row>
    <row r="296" spans="1:28" x14ac:dyDescent="0.25">
      <c r="A296" s="3" t="s">
        <v>144</v>
      </c>
      <c r="B296" s="3" t="s">
        <v>10675</v>
      </c>
      <c r="C296" s="3" t="s">
        <v>10658</v>
      </c>
      <c r="D296" s="3" t="str">
        <f t="shared" si="87"/>
        <v>SWAP001-05 Refrigerator/Freezer_SFm</v>
      </c>
      <c r="E296" s="3"/>
      <c r="F296" s="3" t="s">
        <v>145</v>
      </c>
      <c r="G296" s="3" t="str">
        <f t="shared" si="94"/>
        <v>Res-Frzr-dKWH-Cond</v>
      </c>
      <c r="H296" s="3" t="s">
        <v>146</v>
      </c>
      <c r="I296" s="3" t="s">
        <v>147</v>
      </c>
      <c r="J296" s="3" t="s">
        <v>148</v>
      </c>
      <c r="K296" s="32" t="s">
        <v>149</v>
      </c>
      <c r="L296" s="32" t="s">
        <v>149</v>
      </c>
      <c r="M296" s="3" t="str">
        <f t="shared" si="91"/>
        <v>Msr-Res-Frzr-dKWH-Cond-1000kWh</v>
      </c>
      <c r="N296" s="3" t="str">
        <f t="shared" si="89"/>
        <v>SFm&amp;1&amp;rDXHP&amp;New&amp;Ref_Storage__RefrigFrz</v>
      </c>
      <c r="O296" s="3" t="s">
        <v>50</v>
      </c>
      <c r="P296" s="3">
        <v>1</v>
      </c>
      <c r="Q296" s="3" t="s">
        <v>57</v>
      </c>
      <c r="R296" s="3" t="s">
        <v>107</v>
      </c>
      <c r="S296" s="3" t="str">
        <f t="shared" ref="S296:S359" si="95">IF(T296=U296, "No", "Yes")</f>
        <v>No</v>
      </c>
      <c r="T296" s="3" t="str">
        <f t="shared" si="92"/>
        <v>Ref_Storage__RefrigFrz</v>
      </c>
      <c r="U296" s="3" t="str">
        <f t="shared" si="93"/>
        <v>Ref_Storage__RefrigFrz</v>
      </c>
      <c r="V296" s="3" t="s">
        <v>150</v>
      </c>
      <c r="W296" s="3" t="s">
        <v>151</v>
      </c>
      <c r="X296" s="3" t="s">
        <v>150</v>
      </c>
      <c r="Y296" s="3" t="s">
        <v>151</v>
      </c>
      <c r="Z296" s="3"/>
      <c r="AA296" s="3" t="s">
        <v>152</v>
      </c>
      <c r="AB296" s="3" t="s">
        <v>153</v>
      </c>
    </row>
    <row r="297" spans="1:28" x14ac:dyDescent="0.25">
      <c r="A297" s="3" t="s">
        <v>144</v>
      </c>
      <c r="B297" s="3" t="s">
        <v>10675</v>
      </c>
      <c r="C297" s="3" t="s">
        <v>10658</v>
      </c>
      <c r="D297" s="3" t="str">
        <f t="shared" si="87"/>
        <v>SWAP001-05 Refrigerator/Freezer_SFm</v>
      </c>
      <c r="E297" s="3"/>
      <c r="F297" s="3" t="s">
        <v>145</v>
      </c>
      <c r="G297" s="3" t="str">
        <f t="shared" si="94"/>
        <v>Res-Frzr-dKWH-Cond</v>
      </c>
      <c r="H297" s="3" t="s">
        <v>146</v>
      </c>
      <c r="I297" s="3" t="s">
        <v>147</v>
      </c>
      <c r="J297" s="3" t="s">
        <v>148</v>
      </c>
      <c r="K297" s="32" t="s">
        <v>149</v>
      </c>
      <c r="L297" s="32" t="s">
        <v>149</v>
      </c>
      <c r="M297" s="3" t="str">
        <f t="shared" si="91"/>
        <v>Msr-Res-Frzr-dKWH-Cond-1000kWh</v>
      </c>
      <c r="N297" s="3" t="str">
        <f t="shared" si="89"/>
        <v>SFm&amp;2&amp;rDXHP&amp;New&amp;Ref_Storage__RefrigFrz</v>
      </c>
      <c r="O297" s="3" t="s">
        <v>50</v>
      </c>
      <c r="P297" s="3">
        <v>2</v>
      </c>
      <c r="Q297" s="3" t="s">
        <v>57</v>
      </c>
      <c r="R297" s="3" t="s">
        <v>107</v>
      </c>
      <c r="S297" s="3" t="str">
        <f t="shared" si="95"/>
        <v>No</v>
      </c>
      <c r="T297" s="3" t="str">
        <f t="shared" si="92"/>
        <v>Ref_Storage__RefrigFrz</v>
      </c>
      <c r="U297" s="3" t="str">
        <f t="shared" si="93"/>
        <v>Ref_Storage__RefrigFrz</v>
      </c>
      <c r="V297" s="3" t="s">
        <v>150</v>
      </c>
      <c r="W297" s="3" t="s">
        <v>151</v>
      </c>
      <c r="X297" s="3" t="s">
        <v>150</v>
      </c>
      <c r="Y297" s="3" t="s">
        <v>151</v>
      </c>
      <c r="Z297" s="3"/>
      <c r="AA297" s="3" t="s">
        <v>152</v>
      </c>
      <c r="AB297" s="3" t="s">
        <v>153</v>
      </c>
    </row>
    <row r="298" spans="1:28" x14ac:dyDescent="0.25">
      <c r="A298" s="3" t="s">
        <v>144</v>
      </c>
      <c r="B298" s="3" t="s">
        <v>10675</v>
      </c>
      <c r="C298" s="3" t="s">
        <v>10658</v>
      </c>
      <c r="D298" s="3" t="str">
        <f t="shared" si="87"/>
        <v>SWAP001-05 Refrigerator/Freezer_DMo</v>
      </c>
      <c r="E298" s="3"/>
      <c r="F298" s="3" t="s">
        <v>145</v>
      </c>
      <c r="G298" s="3" t="str">
        <f t="shared" si="94"/>
        <v>Res-Frzr-dKWH-Cond</v>
      </c>
      <c r="H298" s="3" t="s">
        <v>146</v>
      </c>
      <c r="I298" s="3" t="s">
        <v>147</v>
      </c>
      <c r="J298" s="3" t="s">
        <v>148</v>
      </c>
      <c r="K298" s="32" t="s">
        <v>149</v>
      </c>
      <c r="L298" s="32" t="s">
        <v>149</v>
      </c>
      <c r="M298" s="3" t="str">
        <f t="shared" si="91"/>
        <v>Msr-Res-Frzr-dKWH-Cond-1000kWh</v>
      </c>
      <c r="N298" s="3" t="str">
        <f t="shared" si="89"/>
        <v>DMo&amp;0&amp;rDXHP&amp;New&amp;Ref_Storage__RefrigFrz</v>
      </c>
      <c r="O298" s="3" t="s">
        <v>62</v>
      </c>
      <c r="P298" s="3">
        <v>0</v>
      </c>
      <c r="Q298" s="3" t="s">
        <v>57</v>
      </c>
      <c r="R298" s="3" t="s">
        <v>107</v>
      </c>
      <c r="S298" s="3" t="str">
        <f t="shared" si="95"/>
        <v>No</v>
      </c>
      <c r="T298" s="3" t="str">
        <f t="shared" si="92"/>
        <v>Ref_Storage__RefrigFrz</v>
      </c>
      <c r="U298" s="3" t="str">
        <f t="shared" si="93"/>
        <v>Ref_Storage__RefrigFrz</v>
      </c>
      <c r="V298" s="3" t="s">
        <v>150</v>
      </c>
      <c r="W298" s="3" t="s">
        <v>151</v>
      </c>
      <c r="X298" s="3" t="s">
        <v>150</v>
      </c>
      <c r="Y298" s="3" t="s">
        <v>151</v>
      </c>
      <c r="Z298" s="3"/>
      <c r="AA298" s="3" t="s">
        <v>152</v>
      </c>
      <c r="AB298" s="3" t="s">
        <v>153</v>
      </c>
    </row>
    <row r="299" spans="1:28" x14ac:dyDescent="0.25">
      <c r="A299" s="3" t="s">
        <v>144</v>
      </c>
      <c r="B299" s="3" t="s">
        <v>10675</v>
      </c>
      <c r="C299" s="3" t="s">
        <v>10658</v>
      </c>
      <c r="D299" s="3" t="str">
        <f t="shared" si="87"/>
        <v>SWAP001-05 Refrigerator/Freezer_MFm</v>
      </c>
      <c r="E299" s="3"/>
      <c r="F299" s="3" t="s">
        <v>145</v>
      </c>
      <c r="G299" s="3" t="str">
        <f t="shared" si="94"/>
        <v>Res-Frzr-dKWH-Cond</v>
      </c>
      <c r="H299" s="3" t="s">
        <v>146</v>
      </c>
      <c r="I299" s="3" t="s">
        <v>147</v>
      </c>
      <c r="J299" s="3" t="s">
        <v>148</v>
      </c>
      <c r="K299" s="32" t="s">
        <v>149</v>
      </c>
      <c r="L299" s="32" t="s">
        <v>149</v>
      </c>
      <c r="M299" s="3" t="str">
        <f t="shared" si="91"/>
        <v>Msr-Res-Frzr-dKWH-Cond-1000kWh</v>
      </c>
      <c r="N299" s="3" t="str">
        <f t="shared" si="89"/>
        <v>MFm&amp;0&amp;rDXHP&amp;New&amp;Ref_Storage__RefrigFrz</v>
      </c>
      <c r="O299" s="3" t="s">
        <v>63</v>
      </c>
      <c r="P299" s="3">
        <v>0</v>
      </c>
      <c r="Q299" s="3" t="s">
        <v>57</v>
      </c>
      <c r="R299" s="3" t="s">
        <v>107</v>
      </c>
      <c r="S299" s="3" t="str">
        <f t="shared" si="95"/>
        <v>No</v>
      </c>
      <c r="T299" s="3" t="str">
        <f t="shared" si="92"/>
        <v>Ref_Storage__RefrigFrz</v>
      </c>
      <c r="U299" s="3" t="str">
        <f t="shared" si="93"/>
        <v>Ref_Storage__RefrigFrz</v>
      </c>
      <c r="V299" s="3" t="s">
        <v>150</v>
      </c>
      <c r="W299" s="3" t="s">
        <v>151</v>
      </c>
      <c r="X299" s="3" t="s">
        <v>150</v>
      </c>
      <c r="Y299" s="3" t="s">
        <v>151</v>
      </c>
      <c r="Z299" s="3"/>
      <c r="AA299" s="3" t="s">
        <v>152</v>
      </c>
      <c r="AB299" s="3" t="s">
        <v>153</v>
      </c>
    </row>
    <row r="300" spans="1:28" x14ac:dyDescent="0.25">
      <c r="A300" s="3" t="s">
        <v>144</v>
      </c>
      <c r="B300" s="3" t="s">
        <v>10675</v>
      </c>
      <c r="C300" s="3" t="s">
        <v>10658</v>
      </c>
      <c r="D300" s="3" t="str">
        <f t="shared" si="87"/>
        <v>SWAP001-05 Refrigerator/Freezer_SFm</v>
      </c>
      <c r="E300" s="3"/>
      <c r="F300" s="3" t="s">
        <v>145</v>
      </c>
      <c r="G300" s="3" t="str">
        <f t="shared" si="94"/>
        <v>Res-Frzr-dKWH-Cond</v>
      </c>
      <c r="H300" s="3" t="s">
        <v>146</v>
      </c>
      <c r="I300" s="3" t="s">
        <v>147</v>
      </c>
      <c r="J300" s="3" t="s">
        <v>148</v>
      </c>
      <c r="K300" s="32" t="s">
        <v>149</v>
      </c>
      <c r="L300" s="32" t="s">
        <v>149</v>
      </c>
      <c r="M300" s="3" t="str">
        <f t="shared" si="91"/>
        <v>Msr-Res-Frzr-dKWH-Cond-1000kWh</v>
      </c>
      <c r="N300" s="3" t="str">
        <f t="shared" si="89"/>
        <v>SFm&amp;1&amp;rNCEH&amp;Ex&amp;Ref_Storage__RefrigFrz</v>
      </c>
      <c r="O300" s="3" t="s">
        <v>50</v>
      </c>
      <c r="P300" s="3">
        <v>1</v>
      </c>
      <c r="Q300" s="3" t="s">
        <v>71</v>
      </c>
      <c r="R300" s="3" t="s">
        <v>52</v>
      </c>
      <c r="S300" s="3" t="str">
        <f t="shared" si="95"/>
        <v>No</v>
      </c>
      <c r="T300" s="3" t="str">
        <f t="shared" si="92"/>
        <v>Ref_Storage__RefrigFrz</v>
      </c>
      <c r="U300" s="3" t="str">
        <f t="shared" si="93"/>
        <v>Ref_Storage__RefrigFrz</v>
      </c>
      <c r="V300" s="3" t="s">
        <v>150</v>
      </c>
      <c r="W300" s="3" t="s">
        <v>151</v>
      </c>
      <c r="X300" s="3" t="s">
        <v>150</v>
      </c>
      <c r="Y300" s="3" t="s">
        <v>151</v>
      </c>
      <c r="Z300" s="3"/>
      <c r="AA300" s="3" t="s">
        <v>152</v>
      </c>
      <c r="AB300" s="3" t="s">
        <v>153</v>
      </c>
    </row>
    <row r="301" spans="1:28" x14ac:dyDescent="0.25">
      <c r="A301" s="3" t="s">
        <v>144</v>
      </c>
      <c r="B301" s="3" t="s">
        <v>10675</v>
      </c>
      <c r="C301" s="3" t="s">
        <v>10658</v>
      </c>
      <c r="D301" s="3" t="str">
        <f t="shared" si="87"/>
        <v>SWAP001-05 Refrigerator/Freezer_SFm</v>
      </c>
      <c r="E301" s="3"/>
      <c r="F301" s="3" t="s">
        <v>145</v>
      </c>
      <c r="G301" s="3" t="str">
        <f t="shared" si="94"/>
        <v>Res-Frzr-dKWH-Cond</v>
      </c>
      <c r="H301" s="3" t="s">
        <v>146</v>
      </c>
      <c r="I301" s="3" t="s">
        <v>147</v>
      </c>
      <c r="J301" s="3" t="s">
        <v>148</v>
      </c>
      <c r="K301" s="32" t="s">
        <v>149</v>
      </c>
      <c r="L301" s="32" t="s">
        <v>149</v>
      </c>
      <c r="M301" s="3" t="str">
        <f t="shared" si="91"/>
        <v>Msr-Res-Frzr-dKWH-Cond-1000kWh</v>
      </c>
      <c r="N301" s="3" t="str">
        <f t="shared" si="89"/>
        <v>SFm&amp;2&amp;rNCEH&amp;Ex&amp;Ref_Storage__RefrigFrz</v>
      </c>
      <c r="O301" s="3" t="s">
        <v>50</v>
      </c>
      <c r="P301" s="3">
        <v>2</v>
      </c>
      <c r="Q301" s="3" t="s">
        <v>71</v>
      </c>
      <c r="R301" s="3" t="s">
        <v>52</v>
      </c>
      <c r="S301" s="3" t="str">
        <f t="shared" si="95"/>
        <v>No</v>
      </c>
      <c r="T301" s="3" t="str">
        <f t="shared" si="92"/>
        <v>Ref_Storage__RefrigFrz</v>
      </c>
      <c r="U301" s="3" t="str">
        <f t="shared" si="93"/>
        <v>Ref_Storage__RefrigFrz</v>
      </c>
      <c r="V301" s="3" t="s">
        <v>150</v>
      </c>
      <c r="W301" s="3" t="s">
        <v>151</v>
      </c>
      <c r="X301" s="3" t="s">
        <v>150</v>
      </c>
      <c r="Y301" s="3" t="s">
        <v>151</v>
      </c>
      <c r="Z301" s="3"/>
      <c r="AA301" s="3" t="s">
        <v>152</v>
      </c>
      <c r="AB301" s="3" t="s">
        <v>153</v>
      </c>
    </row>
    <row r="302" spans="1:28" x14ac:dyDescent="0.25">
      <c r="A302" s="3" t="s">
        <v>144</v>
      </c>
      <c r="B302" s="3" t="s">
        <v>10675</v>
      </c>
      <c r="C302" s="3" t="s">
        <v>10658</v>
      </c>
      <c r="D302" s="3" t="str">
        <f t="shared" si="87"/>
        <v>SWAP001-05 Refrigerator/Freezer_DMo</v>
      </c>
      <c r="E302" s="3"/>
      <c r="F302" s="3" t="s">
        <v>145</v>
      </c>
      <c r="G302" s="3" t="str">
        <f t="shared" si="94"/>
        <v>Res-Frzr-dKWH-Cond</v>
      </c>
      <c r="H302" s="3" t="s">
        <v>146</v>
      </c>
      <c r="I302" s="3" t="s">
        <v>147</v>
      </c>
      <c r="J302" s="3" t="s">
        <v>148</v>
      </c>
      <c r="K302" s="32" t="s">
        <v>149</v>
      </c>
      <c r="L302" s="32" t="s">
        <v>149</v>
      </c>
      <c r="M302" s="3" t="str">
        <f t="shared" si="91"/>
        <v>Msr-Res-Frzr-dKWH-Cond-1000kWh</v>
      </c>
      <c r="N302" s="3" t="str">
        <f t="shared" si="89"/>
        <v>DMo&amp;0&amp;rNCEH&amp;Ex&amp;Ref_Storage__RefrigFrz</v>
      </c>
      <c r="O302" s="3" t="s">
        <v>62</v>
      </c>
      <c r="P302" s="3">
        <v>0</v>
      </c>
      <c r="Q302" s="3" t="s">
        <v>71</v>
      </c>
      <c r="R302" s="3" t="s">
        <v>52</v>
      </c>
      <c r="S302" s="3" t="str">
        <f t="shared" si="95"/>
        <v>No</v>
      </c>
      <c r="T302" s="3" t="str">
        <f t="shared" si="92"/>
        <v>Ref_Storage__RefrigFrz</v>
      </c>
      <c r="U302" s="3" t="str">
        <f t="shared" si="93"/>
        <v>Ref_Storage__RefrigFrz</v>
      </c>
      <c r="V302" s="3" t="s">
        <v>150</v>
      </c>
      <c r="W302" s="3" t="s">
        <v>151</v>
      </c>
      <c r="X302" s="3" t="s">
        <v>150</v>
      </c>
      <c r="Y302" s="3" t="s">
        <v>151</v>
      </c>
      <c r="Z302" s="3"/>
      <c r="AA302" s="3" t="s">
        <v>152</v>
      </c>
      <c r="AB302" s="3" t="s">
        <v>153</v>
      </c>
    </row>
    <row r="303" spans="1:28" x14ac:dyDescent="0.25">
      <c r="A303" s="3" t="s">
        <v>144</v>
      </c>
      <c r="B303" s="3" t="s">
        <v>10675</v>
      </c>
      <c r="C303" s="3" t="s">
        <v>10658</v>
      </c>
      <c r="D303" s="3" t="str">
        <f t="shared" si="87"/>
        <v>SWAP001-05 Refrigerator/Freezer_MFm</v>
      </c>
      <c r="E303" s="3"/>
      <c r="F303" s="3" t="s">
        <v>145</v>
      </c>
      <c r="G303" s="3" t="str">
        <f t="shared" si="94"/>
        <v>Res-Frzr-dKWH-Cond</v>
      </c>
      <c r="H303" s="3" t="s">
        <v>146</v>
      </c>
      <c r="I303" s="3" t="s">
        <v>147</v>
      </c>
      <c r="J303" s="3" t="s">
        <v>148</v>
      </c>
      <c r="K303" s="32" t="s">
        <v>149</v>
      </c>
      <c r="L303" s="32" t="s">
        <v>149</v>
      </c>
      <c r="M303" s="3" t="str">
        <f t="shared" si="91"/>
        <v>Msr-Res-Frzr-dKWH-Cond-1000kWh</v>
      </c>
      <c r="N303" s="3" t="str">
        <f t="shared" si="89"/>
        <v>MFm&amp;0&amp;rNCEH&amp;Ex&amp;Ref_Storage__RefrigFrz</v>
      </c>
      <c r="O303" s="3" t="s">
        <v>63</v>
      </c>
      <c r="P303" s="3">
        <v>0</v>
      </c>
      <c r="Q303" s="3" t="s">
        <v>71</v>
      </c>
      <c r="R303" s="3" t="s">
        <v>52</v>
      </c>
      <c r="S303" s="3" t="str">
        <f t="shared" si="95"/>
        <v>No</v>
      </c>
      <c r="T303" s="3" t="str">
        <f t="shared" si="92"/>
        <v>Ref_Storage__RefrigFrz</v>
      </c>
      <c r="U303" s="3" t="str">
        <f t="shared" si="93"/>
        <v>Ref_Storage__RefrigFrz</v>
      </c>
      <c r="V303" s="3" t="s">
        <v>150</v>
      </c>
      <c r="W303" s="3" t="s">
        <v>151</v>
      </c>
      <c r="X303" s="3" t="s">
        <v>150</v>
      </c>
      <c r="Y303" s="3" t="s">
        <v>151</v>
      </c>
      <c r="Z303" s="3"/>
      <c r="AA303" s="3" t="s">
        <v>152</v>
      </c>
      <c r="AB303" s="3" t="s">
        <v>153</v>
      </c>
    </row>
    <row r="304" spans="1:28" x14ac:dyDescent="0.25">
      <c r="A304" s="3" t="s">
        <v>144</v>
      </c>
      <c r="B304" s="3" t="s">
        <v>10675</v>
      </c>
      <c r="C304" s="3" t="s">
        <v>10658</v>
      </c>
      <c r="D304" s="3" t="str">
        <f t="shared" si="87"/>
        <v>SWAP001-05 Refrigerator/Freezer_SFm</v>
      </c>
      <c r="E304" s="3"/>
      <c r="F304" s="3" t="s">
        <v>145</v>
      </c>
      <c r="G304" s="3" t="str">
        <f t="shared" si="94"/>
        <v>Res-Frzr-dKWH-Cond</v>
      </c>
      <c r="H304" s="3" t="s">
        <v>146</v>
      </c>
      <c r="I304" s="3" t="s">
        <v>147</v>
      </c>
      <c r="J304" s="3" t="s">
        <v>148</v>
      </c>
      <c r="K304" s="32" t="s">
        <v>149</v>
      </c>
      <c r="L304" s="32" t="s">
        <v>149</v>
      </c>
      <c r="M304" s="3" t="str">
        <f t="shared" si="91"/>
        <v>Msr-Res-Frzr-dKWH-Cond-1000kWh</v>
      </c>
      <c r="N304" s="3" t="str">
        <f t="shared" si="89"/>
        <v>SFm&amp;1&amp;rNCEH&amp;New&amp;Ref_Storage__RefrigFrz</v>
      </c>
      <c r="O304" s="3" t="s">
        <v>50</v>
      </c>
      <c r="P304" s="3">
        <v>1</v>
      </c>
      <c r="Q304" s="3" t="s">
        <v>71</v>
      </c>
      <c r="R304" s="3" t="s">
        <v>107</v>
      </c>
      <c r="S304" s="3" t="str">
        <f t="shared" si="95"/>
        <v>No</v>
      </c>
      <c r="T304" s="3" t="str">
        <f t="shared" si="92"/>
        <v>Ref_Storage__RefrigFrz</v>
      </c>
      <c r="U304" s="3" t="str">
        <f t="shared" si="93"/>
        <v>Ref_Storage__RefrigFrz</v>
      </c>
      <c r="V304" s="3" t="s">
        <v>150</v>
      </c>
      <c r="W304" s="3" t="s">
        <v>151</v>
      </c>
      <c r="X304" s="3" t="s">
        <v>150</v>
      </c>
      <c r="Y304" s="3" t="s">
        <v>151</v>
      </c>
      <c r="Z304" s="3"/>
      <c r="AA304" s="3" t="s">
        <v>152</v>
      </c>
      <c r="AB304" s="3" t="s">
        <v>153</v>
      </c>
    </row>
    <row r="305" spans="1:28" x14ac:dyDescent="0.25">
      <c r="A305" s="3" t="s">
        <v>144</v>
      </c>
      <c r="B305" s="3" t="s">
        <v>10675</v>
      </c>
      <c r="C305" s="3" t="s">
        <v>10658</v>
      </c>
      <c r="D305" s="3" t="str">
        <f t="shared" si="87"/>
        <v>SWAP001-05 Refrigerator/Freezer_SFm</v>
      </c>
      <c r="E305" s="3"/>
      <c r="F305" s="3" t="s">
        <v>145</v>
      </c>
      <c r="G305" s="3" t="str">
        <f t="shared" si="94"/>
        <v>Res-Frzr-dKWH-Cond</v>
      </c>
      <c r="H305" s="3" t="s">
        <v>146</v>
      </c>
      <c r="I305" s="3" t="s">
        <v>147</v>
      </c>
      <c r="J305" s="3" t="s">
        <v>148</v>
      </c>
      <c r="K305" s="32" t="s">
        <v>149</v>
      </c>
      <c r="L305" s="32" t="s">
        <v>149</v>
      </c>
      <c r="M305" s="3" t="str">
        <f t="shared" si="91"/>
        <v>Msr-Res-Frzr-dKWH-Cond-1000kWh</v>
      </c>
      <c r="N305" s="3" t="str">
        <f t="shared" si="89"/>
        <v>SFm&amp;2&amp;rNCEH&amp;New&amp;Ref_Storage__RefrigFrz</v>
      </c>
      <c r="O305" s="3" t="s">
        <v>50</v>
      </c>
      <c r="P305" s="3">
        <v>2</v>
      </c>
      <c r="Q305" s="3" t="s">
        <v>71</v>
      </c>
      <c r="R305" s="3" t="s">
        <v>107</v>
      </c>
      <c r="S305" s="3" t="str">
        <f t="shared" si="95"/>
        <v>No</v>
      </c>
      <c r="T305" s="3" t="str">
        <f t="shared" si="92"/>
        <v>Ref_Storage__RefrigFrz</v>
      </c>
      <c r="U305" s="3" t="str">
        <f t="shared" si="93"/>
        <v>Ref_Storage__RefrigFrz</v>
      </c>
      <c r="V305" s="3" t="s">
        <v>150</v>
      </c>
      <c r="W305" s="3" t="s">
        <v>151</v>
      </c>
      <c r="X305" s="3" t="s">
        <v>150</v>
      </c>
      <c r="Y305" s="3" t="s">
        <v>151</v>
      </c>
      <c r="Z305" s="3"/>
      <c r="AA305" s="3" t="s">
        <v>152</v>
      </c>
      <c r="AB305" s="3" t="s">
        <v>153</v>
      </c>
    </row>
    <row r="306" spans="1:28" x14ac:dyDescent="0.25">
      <c r="A306" s="3" t="s">
        <v>144</v>
      </c>
      <c r="B306" s="3" t="s">
        <v>10675</v>
      </c>
      <c r="C306" s="3" t="s">
        <v>10658</v>
      </c>
      <c r="D306" s="3" t="str">
        <f t="shared" si="87"/>
        <v>SWAP001-05 Refrigerator/Freezer_DMo</v>
      </c>
      <c r="E306" s="3"/>
      <c r="F306" s="3" t="s">
        <v>145</v>
      </c>
      <c r="G306" s="3" t="str">
        <f t="shared" si="94"/>
        <v>Res-Frzr-dKWH-Cond</v>
      </c>
      <c r="H306" s="3" t="s">
        <v>146</v>
      </c>
      <c r="I306" s="3" t="s">
        <v>147</v>
      </c>
      <c r="J306" s="3" t="s">
        <v>148</v>
      </c>
      <c r="K306" s="32" t="s">
        <v>149</v>
      </c>
      <c r="L306" s="32" t="s">
        <v>149</v>
      </c>
      <c r="M306" s="3" t="str">
        <f t="shared" si="91"/>
        <v>Msr-Res-Frzr-dKWH-Cond-1000kWh</v>
      </c>
      <c r="N306" s="3" t="str">
        <f t="shared" si="89"/>
        <v>DMo&amp;0&amp;rNCEH&amp;New&amp;Ref_Storage__RefrigFrz</v>
      </c>
      <c r="O306" s="3" t="s">
        <v>62</v>
      </c>
      <c r="P306" s="3">
        <v>0</v>
      </c>
      <c r="Q306" s="3" t="s">
        <v>71</v>
      </c>
      <c r="R306" s="3" t="s">
        <v>107</v>
      </c>
      <c r="S306" s="3" t="str">
        <f t="shared" si="95"/>
        <v>No</v>
      </c>
      <c r="T306" s="3" t="str">
        <f t="shared" si="92"/>
        <v>Ref_Storage__RefrigFrz</v>
      </c>
      <c r="U306" s="3" t="str">
        <f t="shared" si="93"/>
        <v>Ref_Storage__RefrigFrz</v>
      </c>
      <c r="V306" s="3" t="s">
        <v>150</v>
      </c>
      <c r="W306" s="3" t="s">
        <v>151</v>
      </c>
      <c r="X306" s="3" t="s">
        <v>150</v>
      </c>
      <c r="Y306" s="3" t="s">
        <v>151</v>
      </c>
      <c r="Z306" s="3"/>
      <c r="AA306" s="3" t="s">
        <v>152</v>
      </c>
      <c r="AB306" s="3" t="s">
        <v>153</v>
      </c>
    </row>
    <row r="307" spans="1:28" x14ac:dyDescent="0.25">
      <c r="A307" s="3" t="s">
        <v>144</v>
      </c>
      <c r="B307" s="3" t="s">
        <v>10675</v>
      </c>
      <c r="C307" s="3" t="s">
        <v>10658</v>
      </c>
      <c r="D307" s="3" t="str">
        <f t="shared" si="87"/>
        <v>SWAP001-05 Refrigerator/Freezer_MFm</v>
      </c>
      <c r="E307" s="3"/>
      <c r="F307" s="3" t="s">
        <v>145</v>
      </c>
      <c r="G307" s="3" t="str">
        <f t="shared" si="94"/>
        <v>Res-Frzr-dKWH-Cond</v>
      </c>
      <c r="H307" s="3" t="s">
        <v>146</v>
      </c>
      <c r="I307" s="3" t="s">
        <v>147</v>
      </c>
      <c r="J307" s="3" t="s">
        <v>148</v>
      </c>
      <c r="K307" s="32" t="s">
        <v>149</v>
      </c>
      <c r="L307" s="32" t="s">
        <v>149</v>
      </c>
      <c r="M307" s="3" t="str">
        <f t="shared" si="91"/>
        <v>Msr-Res-Frzr-dKWH-Cond-1000kWh</v>
      </c>
      <c r="N307" s="3" t="str">
        <f t="shared" si="89"/>
        <v>MFm&amp;0&amp;rNCEH&amp;New&amp;Ref_Storage__RefrigFrz</v>
      </c>
      <c r="O307" s="3" t="s">
        <v>63</v>
      </c>
      <c r="P307" s="3">
        <v>0</v>
      </c>
      <c r="Q307" s="3" t="s">
        <v>71</v>
      </c>
      <c r="R307" s="3" t="s">
        <v>107</v>
      </c>
      <c r="S307" s="3" t="str">
        <f t="shared" si="95"/>
        <v>No</v>
      </c>
      <c r="T307" s="3" t="str">
        <f t="shared" si="92"/>
        <v>Ref_Storage__RefrigFrz</v>
      </c>
      <c r="U307" s="3" t="str">
        <f t="shared" si="93"/>
        <v>Ref_Storage__RefrigFrz</v>
      </c>
      <c r="V307" s="3" t="s">
        <v>150</v>
      </c>
      <c r="W307" s="3" t="s">
        <v>151</v>
      </c>
      <c r="X307" s="3" t="s">
        <v>150</v>
      </c>
      <c r="Y307" s="3" t="s">
        <v>151</v>
      </c>
      <c r="Z307" s="3"/>
      <c r="AA307" s="3" t="s">
        <v>152</v>
      </c>
      <c r="AB307" s="3" t="s">
        <v>153</v>
      </c>
    </row>
    <row r="308" spans="1:28" x14ac:dyDescent="0.25">
      <c r="A308" s="3" t="s">
        <v>144</v>
      </c>
      <c r="B308" s="3" t="s">
        <v>10675</v>
      </c>
      <c r="C308" s="3" t="s">
        <v>10658</v>
      </c>
      <c r="D308" s="3" t="str">
        <f t="shared" si="87"/>
        <v>SWAP001-05 Refrigerator/Freezer_SFm</v>
      </c>
      <c r="E308" s="3"/>
      <c r="F308" s="3" t="s">
        <v>145</v>
      </c>
      <c r="G308" s="3" t="str">
        <f t="shared" si="94"/>
        <v>Res-Frzr-dKWH-Cond</v>
      </c>
      <c r="H308" s="3" t="s">
        <v>146</v>
      </c>
      <c r="I308" s="3" t="s">
        <v>147</v>
      </c>
      <c r="J308" s="3" t="s">
        <v>148</v>
      </c>
      <c r="K308" s="32" t="s">
        <v>149</v>
      </c>
      <c r="L308" s="32" t="s">
        <v>149</v>
      </c>
      <c r="M308" s="3" t="str">
        <f t="shared" si="91"/>
        <v>Msr-Res-Frzr-dKWH-Cond-1000kWh</v>
      </c>
      <c r="N308" s="3" t="str">
        <f t="shared" si="89"/>
        <v>SFm&amp;1&amp;rNCGF&amp;Ex&amp;Ref_Storage__RefrigFrz</v>
      </c>
      <c r="O308" s="3" t="s">
        <v>50</v>
      </c>
      <c r="P308" s="3">
        <v>1</v>
      </c>
      <c r="Q308" s="3" t="s">
        <v>58</v>
      </c>
      <c r="R308" s="3" t="s">
        <v>52</v>
      </c>
      <c r="S308" s="3" t="str">
        <f t="shared" si="95"/>
        <v>No</v>
      </c>
      <c r="T308" s="3" t="str">
        <f t="shared" si="92"/>
        <v>Ref_Storage__RefrigFrz</v>
      </c>
      <c r="U308" s="3" t="str">
        <f t="shared" si="93"/>
        <v>Ref_Storage__RefrigFrz</v>
      </c>
      <c r="V308" s="3" t="s">
        <v>150</v>
      </c>
      <c r="W308" s="3" t="s">
        <v>151</v>
      </c>
      <c r="X308" s="3" t="s">
        <v>150</v>
      </c>
      <c r="Y308" s="3" t="s">
        <v>151</v>
      </c>
      <c r="Z308" s="3"/>
      <c r="AA308" s="3" t="s">
        <v>152</v>
      </c>
      <c r="AB308" s="3" t="s">
        <v>153</v>
      </c>
    </row>
    <row r="309" spans="1:28" x14ac:dyDescent="0.25">
      <c r="A309" s="3" t="s">
        <v>144</v>
      </c>
      <c r="B309" s="3" t="s">
        <v>10675</v>
      </c>
      <c r="C309" s="3" t="s">
        <v>10658</v>
      </c>
      <c r="D309" s="3" t="str">
        <f t="shared" si="87"/>
        <v>SWAP001-05 Refrigerator/Freezer_SFm</v>
      </c>
      <c r="E309" s="3"/>
      <c r="F309" s="3" t="s">
        <v>145</v>
      </c>
      <c r="G309" s="3" t="str">
        <f t="shared" si="94"/>
        <v>Res-Frzr-dKWH-Cond</v>
      </c>
      <c r="H309" s="3" t="s">
        <v>146</v>
      </c>
      <c r="I309" s="3" t="s">
        <v>147</v>
      </c>
      <c r="J309" s="3" t="s">
        <v>148</v>
      </c>
      <c r="K309" s="32" t="s">
        <v>149</v>
      </c>
      <c r="L309" s="32" t="s">
        <v>149</v>
      </c>
      <c r="M309" s="3" t="str">
        <f t="shared" si="91"/>
        <v>Msr-Res-Frzr-dKWH-Cond-1000kWh</v>
      </c>
      <c r="N309" s="3" t="str">
        <f t="shared" si="89"/>
        <v>SFm&amp;2&amp;rNCGF&amp;Ex&amp;Ref_Storage__RefrigFrz</v>
      </c>
      <c r="O309" s="3" t="s">
        <v>50</v>
      </c>
      <c r="P309" s="3">
        <v>2</v>
      </c>
      <c r="Q309" s="3" t="s">
        <v>58</v>
      </c>
      <c r="R309" s="3" t="s">
        <v>52</v>
      </c>
      <c r="S309" s="3" t="str">
        <f t="shared" si="95"/>
        <v>No</v>
      </c>
      <c r="T309" s="3" t="str">
        <f t="shared" si="92"/>
        <v>Ref_Storage__RefrigFrz</v>
      </c>
      <c r="U309" s="3" t="str">
        <f t="shared" si="93"/>
        <v>Ref_Storage__RefrigFrz</v>
      </c>
      <c r="V309" s="3" t="s">
        <v>150</v>
      </c>
      <c r="W309" s="3" t="s">
        <v>151</v>
      </c>
      <c r="X309" s="3" t="s">
        <v>150</v>
      </c>
      <c r="Y309" s="3" t="s">
        <v>151</v>
      </c>
      <c r="Z309" s="3"/>
      <c r="AA309" s="3" t="s">
        <v>152</v>
      </c>
      <c r="AB309" s="3" t="s">
        <v>153</v>
      </c>
    </row>
    <row r="310" spans="1:28" x14ac:dyDescent="0.25">
      <c r="A310" s="3" t="s">
        <v>144</v>
      </c>
      <c r="B310" s="3" t="s">
        <v>10675</v>
      </c>
      <c r="C310" s="3" t="s">
        <v>10658</v>
      </c>
      <c r="D310" s="3" t="str">
        <f t="shared" si="87"/>
        <v>SWAP001-05 Refrigerator/Freezer_DMo</v>
      </c>
      <c r="E310" s="3"/>
      <c r="F310" s="3" t="s">
        <v>145</v>
      </c>
      <c r="G310" s="3" t="str">
        <f t="shared" si="94"/>
        <v>Res-Frzr-dKWH-Cond</v>
      </c>
      <c r="H310" s="3" t="s">
        <v>146</v>
      </c>
      <c r="I310" s="3" t="s">
        <v>147</v>
      </c>
      <c r="J310" s="3" t="s">
        <v>148</v>
      </c>
      <c r="K310" s="32" t="s">
        <v>149</v>
      </c>
      <c r="L310" s="32" t="s">
        <v>149</v>
      </c>
      <c r="M310" s="3" t="str">
        <f t="shared" si="91"/>
        <v>Msr-Res-Frzr-dKWH-Cond-1000kWh</v>
      </c>
      <c r="N310" s="3" t="str">
        <f t="shared" si="89"/>
        <v>DMo&amp;0&amp;rNCGF&amp;Ex&amp;Ref_Storage__RefrigFrz</v>
      </c>
      <c r="O310" s="3" t="s">
        <v>62</v>
      </c>
      <c r="P310" s="3">
        <v>0</v>
      </c>
      <c r="Q310" s="3" t="s">
        <v>58</v>
      </c>
      <c r="R310" s="3" t="s">
        <v>52</v>
      </c>
      <c r="S310" s="3" t="str">
        <f t="shared" si="95"/>
        <v>No</v>
      </c>
      <c r="T310" s="3" t="str">
        <f t="shared" si="92"/>
        <v>Ref_Storage__RefrigFrz</v>
      </c>
      <c r="U310" s="3" t="str">
        <f t="shared" si="93"/>
        <v>Ref_Storage__RefrigFrz</v>
      </c>
      <c r="V310" s="3" t="s">
        <v>150</v>
      </c>
      <c r="W310" s="3" t="s">
        <v>151</v>
      </c>
      <c r="X310" s="3" t="s">
        <v>150</v>
      </c>
      <c r="Y310" s="3" t="s">
        <v>151</v>
      </c>
      <c r="Z310" s="3"/>
      <c r="AA310" s="3" t="s">
        <v>152</v>
      </c>
      <c r="AB310" s="3" t="s">
        <v>153</v>
      </c>
    </row>
    <row r="311" spans="1:28" x14ac:dyDescent="0.25">
      <c r="A311" s="3" t="s">
        <v>144</v>
      </c>
      <c r="B311" s="3" t="s">
        <v>10675</v>
      </c>
      <c r="C311" s="3" t="s">
        <v>10658</v>
      </c>
      <c r="D311" s="3" t="str">
        <f t="shared" si="87"/>
        <v>SWAP001-05 Refrigerator/Freezer_MFm</v>
      </c>
      <c r="E311" s="3"/>
      <c r="F311" s="3" t="s">
        <v>145</v>
      </c>
      <c r="G311" s="3" t="str">
        <f t="shared" si="94"/>
        <v>Res-Frzr-dKWH-Cond</v>
      </c>
      <c r="H311" s="3" t="s">
        <v>146</v>
      </c>
      <c r="I311" s="3" t="s">
        <v>147</v>
      </c>
      <c r="J311" s="3" t="s">
        <v>148</v>
      </c>
      <c r="K311" s="32" t="s">
        <v>149</v>
      </c>
      <c r="L311" s="32" t="s">
        <v>149</v>
      </c>
      <c r="M311" s="3" t="str">
        <f t="shared" si="91"/>
        <v>Msr-Res-Frzr-dKWH-Cond-1000kWh</v>
      </c>
      <c r="N311" s="3" t="str">
        <f t="shared" si="89"/>
        <v>MFm&amp;0&amp;rNCGF&amp;Ex&amp;Ref_Storage__RefrigFrz</v>
      </c>
      <c r="O311" s="3" t="s">
        <v>63</v>
      </c>
      <c r="P311" s="3">
        <v>0</v>
      </c>
      <c r="Q311" s="3" t="s">
        <v>58</v>
      </c>
      <c r="R311" s="3" t="s">
        <v>52</v>
      </c>
      <c r="S311" s="3" t="str">
        <f t="shared" si="95"/>
        <v>No</v>
      </c>
      <c r="T311" s="3" t="str">
        <f t="shared" si="92"/>
        <v>Ref_Storage__RefrigFrz</v>
      </c>
      <c r="U311" s="3" t="str">
        <f t="shared" si="93"/>
        <v>Ref_Storage__RefrigFrz</v>
      </c>
      <c r="V311" s="3" t="s">
        <v>150</v>
      </c>
      <c r="W311" s="3" t="s">
        <v>151</v>
      </c>
      <c r="X311" s="3" t="s">
        <v>150</v>
      </c>
      <c r="Y311" s="3" t="s">
        <v>151</v>
      </c>
      <c r="Z311" s="3"/>
      <c r="AA311" s="3" t="s">
        <v>152</v>
      </c>
      <c r="AB311" s="3" t="s">
        <v>153</v>
      </c>
    </row>
    <row r="312" spans="1:28" x14ac:dyDescent="0.25">
      <c r="A312" s="3" t="s">
        <v>144</v>
      </c>
      <c r="B312" s="3" t="s">
        <v>10675</v>
      </c>
      <c r="C312" s="3" t="s">
        <v>10658</v>
      </c>
      <c r="D312" s="3" t="str">
        <f t="shared" si="87"/>
        <v>SWAP001-05 Refrigerator/Freezer_SFm</v>
      </c>
      <c r="E312" s="3"/>
      <c r="F312" s="3" t="s">
        <v>145</v>
      </c>
      <c r="G312" s="3" t="str">
        <f t="shared" si="94"/>
        <v>Res-Frzr-dKWH-Cond</v>
      </c>
      <c r="H312" s="3" t="s">
        <v>146</v>
      </c>
      <c r="I312" s="3" t="s">
        <v>147</v>
      </c>
      <c r="J312" s="3" t="s">
        <v>148</v>
      </c>
      <c r="K312" s="32" t="s">
        <v>149</v>
      </c>
      <c r="L312" s="32" t="s">
        <v>149</v>
      </c>
      <c r="M312" s="3" t="str">
        <f t="shared" si="91"/>
        <v>Msr-Res-Frzr-dKWH-Cond-1000kWh</v>
      </c>
      <c r="N312" s="3" t="str">
        <f t="shared" si="89"/>
        <v>SFm&amp;1&amp;rNCGF&amp;New&amp;Ref_Storage__RefrigFrz</v>
      </c>
      <c r="O312" s="3" t="s">
        <v>50</v>
      </c>
      <c r="P312" s="3">
        <v>1</v>
      </c>
      <c r="Q312" s="3" t="s">
        <v>58</v>
      </c>
      <c r="R312" s="3" t="s">
        <v>107</v>
      </c>
      <c r="S312" s="3" t="str">
        <f t="shared" si="95"/>
        <v>No</v>
      </c>
      <c r="T312" s="3" t="str">
        <f t="shared" si="92"/>
        <v>Ref_Storage__RefrigFrz</v>
      </c>
      <c r="U312" s="3" t="str">
        <f t="shared" si="93"/>
        <v>Ref_Storage__RefrigFrz</v>
      </c>
      <c r="V312" s="3" t="s">
        <v>150</v>
      </c>
      <c r="W312" s="3" t="s">
        <v>151</v>
      </c>
      <c r="X312" s="3" t="s">
        <v>150</v>
      </c>
      <c r="Y312" s="3" t="s">
        <v>151</v>
      </c>
      <c r="Z312" s="3"/>
      <c r="AA312" s="3" t="s">
        <v>152</v>
      </c>
      <c r="AB312" s="3" t="s">
        <v>153</v>
      </c>
    </row>
    <row r="313" spans="1:28" x14ac:dyDescent="0.25">
      <c r="A313" s="3" t="s">
        <v>144</v>
      </c>
      <c r="B313" s="3" t="s">
        <v>10675</v>
      </c>
      <c r="C313" s="3" t="s">
        <v>10658</v>
      </c>
      <c r="D313" s="3" t="str">
        <f t="shared" si="87"/>
        <v>SWAP001-05 Refrigerator/Freezer_SFm</v>
      </c>
      <c r="E313" s="3"/>
      <c r="F313" s="3" t="s">
        <v>145</v>
      </c>
      <c r="G313" s="3" t="str">
        <f t="shared" si="94"/>
        <v>Res-Frzr-dKWH-Cond</v>
      </c>
      <c r="H313" s="3" t="s">
        <v>146</v>
      </c>
      <c r="I313" s="3" t="s">
        <v>147</v>
      </c>
      <c r="J313" s="3" t="s">
        <v>148</v>
      </c>
      <c r="K313" s="32" t="s">
        <v>149</v>
      </c>
      <c r="L313" s="32" t="s">
        <v>149</v>
      </c>
      <c r="M313" s="3" t="str">
        <f t="shared" si="91"/>
        <v>Msr-Res-Frzr-dKWH-Cond-1000kWh</v>
      </c>
      <c r="N313" s="3" t="str">
        <f t="shared" si="89"/>
        <v>SFm&amp;2&amp;rNCGF&amp;New&amp;Ref_Storage__RefrigFrz</v>
      </c>
      <c r="O313" s="3" t="s">
        <v>50</v>
      </c>
      <c r="P313" s="3">
        <v>2</v>
      </c>
      <c r="Q313" s="3" t="s">
        <v>58</v>
      </c>
      <c r="R313" s="3" t="s">
        <v>107</v>
      </c>
      <c r="S313" s="3" t="str">
        <f t="shared" si="95"/>
        <v>No</v>
      </c>
      <c r="T313" s="3" t="str">
        <f t="shared" si="92"/>
        <v>Ref_Storage__RefrigFrz</v>
      </c>
      <c r="U313" s="3" t="str">
        <f t="shared" si="93"/>
        <v>Ref_Storage__RefrigFrz</v>
      </c>
      <c r="V313" s="3" t="s">
        <v>150</v>
      </c>
      <c r="W313" s="3" t="s">
        <v>151</v>
      </c>
      <c r="X313" s="3" t="s">
        <v>150</v>
      </c>
      <c r="Y313" s="3" t="s">
        <v>151</v>
      </c>
      <c r="Z313" s="3"/>
      <c r="AA313" s="3" t="s">
        <v>152</v>
      </c>
      <c r="AB313" s="3" t="s">
        <v>153</v>
      </c>
    </row>
    <row r="314" spans="1:28" x14ac:dyDescent="0.25">
      <c r="A314" s="3" t="s">
        <v>144</v>
      </c>
      <c r="B314" s="3" t="s">
        <v>10675</v>
      </c>
      <c r="C314" s="3" t="s">
        <v>10658</v>
      </c>
      <c r="D314" s="3" t="str">
        <f t="shared" si="87"/>
        <v>SWAP001-05 Refrigerator/Freezer_DMo</v>
      </c>
      <c r="E314" s="3"/>
      <c r="F314" s="3" t="s">
        <v>145</v>
      </c>
      <c r="G314" s="3" t="str">
        <f t="shared" si="94"/>
        <v>Res-Frzr-dKWH-Cond</v>
      </c>
      <c r="H314" s="3" t="s">
        <v>146</v>
      </c>
      <c r="I314" s="3" t="s">
        <v>147</v>
      </c>
      <c r="J314" s="3" t="s">
        <v>148</v>
      </c>
      <c r="K314" s="32" t="s">
        <v>149</v>
      </c>
      <c r="L314" s="32" t="s">
        <v>149</v>
      </c>
      <c r="M314" s="3" t="str">
        <f t="shared" si="91"/>
        <v>Msr-Res-Frzr-dKWH-Cond-1000kWh</v>
      </c>
      <c r="N314" s="3" t="str">
        <f t="shared" si="89"/>
        <v>DMo&amp;0&amp;rNCGF&amp;New&amp;Ref_Storage__RefrigFrz</v>
      </c>
      <c r="O314" s="3" t="s">
        <v>62</v>
      </c>
      <c r="P314" s="3">
        <v>0</v>
      </c>
      <c r="Q314" s="3" t="s">
        <v>58</v>
      </c>
      <c r="R314" s="3" t="s">
        <v>107</v>
      </c>
      <c r="S314" s="3" t="str">
        <f t="shared" si="95"/>
        <v>No</v>
      </c>
      <c r="T314" s="3" t="str">
        <f t="shared" si="92"/>
        <v>Ref_Storage__RefrigFrz</v>
      </c>
      <c r="U314" s="3" t="str">
        <f t="shared" si="93"/>
        <v>Ref_Storage__RefrigFrz</v>
      </c>
      <c r="V314" s="3" t="s">
        <v>150</v>
      </c>
      <c r="W314" s="3" t="s">
        <v>151</v>
      </c>
      <c r="X314" s="3" t="s">
        <v>150</v>
      </c>
      <c r="Y314" s="3" t="s">
        <v>151</v>
      </c>
      <c r="Z314" s="3"/>
      <c r="AA314" s="3" t="s">
        <v>152</v>
      </c>
      <c r="AB314" s="3" t="s">
        <v>153</v>
      </c>
    </row>
    <row r="315" spans="1:28" x14ac:dyDescent="0.25">
      <c r="A315" s="3" t="s">
        <v>144</v>
      </c>
      <c r="B315" s="3" t="s">
        <v>10675</v>
      </c>
      <c r="C315" s="3" t="s">
        <v>10658</v>
      </c>
      <c r="D315" s="3" t="str">
        <f t="shared" si="87"/>
        <v>SWAP001-05 Refrigerator/Freezer_MFm</v>
      </c>
      <c r="E315" s="3"/>
      <c r="F315" s="3" t="s">
        <v>145</v>
      </c>
      <c r="G315" s="3" t="str">
        <f t="shared" si="94"/>
        <v>Res-Frzr-dKWH-Cond</v>
      </c>
      <c r="H315" s="3" t="s">
        <v>146</v>
      </c>
      <c r="I315" s="3" t="s">
        <v>147</v>
      </c>
      <c r="J315" s="3" t="s">
        <v>148</v>
      </c>
      <c r="K315" s="32" t="s">
        <v>149</v>
      </c>
      <c r="L315" s="32" t="s">
        <v>149</v>
      </c>
      <c r="M315" s="3" t="str">
        <f t="shared" si="91"/>
        <v>Msr-Res-Frzr-dKWH-Cond-1000kWh</v>
      </c>
      <c r="N315" s="3" t="str">
        <f t="shared" si="89"/>
        <v>MFm&amp;0&amp;rNCGF&amp;New&amp;Ref_Storage__RefrigFrz</v>
      </c>
      <c r="O315" s="3" t="s">
        <v>63</v>
      </c>
      <c r="P315" s="3">
        <v>0</v>
      </c>
      <c r="Q315" s="3" t="s">
        <v>58</v>
      </c>
      <c r="R315" s="3" t="s">
        <v>107</v>
      </c>
      <c r="S315" s="3" t="str">
        <f t="shared" si="95"/>
        <v>No</v>
      </c>
      <c r="T315" s="3" t="str">
        <f t="shared" si="92"/>
        <v>Ref_Storage__RefrigFrz</v>
      </c>
      <c r="U315" s="3" t="str">
        <f t="shared" si="93"/>
        <v>Ref_Storage__RefrigFrz</v>
      </c>
      <c r="V315" s="3" t="s">
        <v>150</v>
      </c>
      <c r="W315" s="3" t="s">
        <v>151</v>
      </c>
      <c r="X315" s="3" t="s">
        <v>150</v>
      </c>
      <c r="Y315" s="3" t="s">
        <v>151</v>
      </c>
      <c r="Z315" s="3"/>
      <c r="AA315" s="3" t="s">
        <v>152</v>
      </c>
      <c r="AB315" s="3" t="s">
        <v>153</v>
      </c>
    </row>
    <row r="316" spans="1:28" x14ac:dyDescent="0.25">
      <c r="A316" s="3" t="s">
        <v>144</v>
      </c>
      <c r="B316" s="3" t="s">
        <v>10675</v>
      </c>
      <c r="C316" s="3" t="s">
        <v>10658</v>
      </c>
      <c r="D316" s="3" t="str">
        <f t="shared" si="87"/>
        <v>SWAP001-05 Refrigerator/Freezer_SFm</v>
      </c>
      <c r="E316" s="3"/>
      <c r="F316" s="3" t="s">
        <v>154</v>
      </c>
      <c r="G316" s="3" t="str">
        <f t="shared" si="94"/>
        <v>Res-Refg-dKWH-Cond</v>
      </c>
      <c r="H316" s="3" t="s">
        <v>155</v>
      </c>
      <c r="I316" s="3" t="s">
        <v>156</v>
      </c>
      <c r="J316" s="3" t="s">
        <v>157</v>
      </c>
      <c r="K316" s="32" t="s">
        <v>158</v>
      </c>
      <c r="L316" s="32" t="s">
        <v>158</v>
      </c>
      <c r="M316" s="3" t="str">
        <f>J316</f>
        <v>Msr-Res-Refg-dKWH-Cond-500kWh</v>
      </c>
      <c r="N316" s="3" t="str">
        <f t="shared" si="89"/>
        <v>SFm&amp;1&amp;rDXGF&amp;Ex&amp;Ref_Storage__RefrigFrz</v>
      </c>
      <c r="O316" s="3" t="s">
        <v>50</v>
      </c>
      <c r="P316" s="3">
        <v>1</v>
      </c>
      <c r="Q316" s="3" t="s">
        <v>51</v>
      </c>
      <c r="R316" s="3" t="s">
        <v>52</v>
      </c>
      <c r="S316" s="3" t="str">
        <f t="shared" si="95"/>
        <v>No</v>
      </c>
      <c r="T316" s="3" t="str">
        <f t="shared" si="92"/>
        <v>Ref_Storage__RefrigFrz</v>
      </c>
      <c r="U316" s="3" t="str">
        <f t="shared" si="93"/>
        <v>Ref_Storage__RefrigFrz</v>
      </c>
      <c r="V316" s="3" t="s">
        <v>150</v>
      </c>
      <c r="W316" s="3" t="s">
        <v>151</v>
      </c>
      <c r="X316" s="3" t="s">
        <v>150</v>
      </c>
      <c r="Y316" s="3" t="s">
        <v>151</v>
      </c>
      <c r="Z316" s="3"/>
      <c r="AA316" s="3" t="s">
        <v>152</v>
      </c>
      <c r="AB316" s="3" t="s">
        <v>153</v>
      </c>
    </row>
    <row r="317" spans="1:28" x14ac:dyDescent="0.25">
      <c r="A317" s="3" t="s">
        <v>144</v>
      </c>
      <c r="B317" s="3" t="s">
        <v>10675</v>
      </c>
      <c r="C317" s="3" t="s">
        <v>10658</v>
      </c>
      <c r="D317" s="3" t="str">
        <f t="shared" si="87"/>
        <v>SWAP001-05 Refrigerator/Freezer_SFm</v>
      </c>
      <c r="E317" s="3"/>
      <c r="F317" s="3" t="s">
        <v>154</v>
      </c>
      <c r="G317" s="3" t="str">
        <f t="shared" si="94"/>
        <v>Res-Refg-dKWH-Cond</v>
      </c>
      <c r="H317" s="3" t="s">
        <v>155</v>
      </c>
      <c r="I317" s="3" t="s">
        <v>156</v>
      </c>
      <c r="J317" s="3" t="s">
        <v>157</v>
      </c>
      <c r="K317" s="32" t="s">
        <v>158</v>
      </c>
      <c r="L317" s="32" t="s">
        <v>158</v>
      </c>
      <c r="M317" s="3" t="str">
        <f t="shared" ref="M317:M347" si="96">J317</f>
        <v>Msr-Res-Refg-dKWH-Cond-500kWh</v>
      </c>
      <c r="N317" s="3" t="str">
        <f t="shared" si="89"/>
        <v>SFm&amp;2&amp;rDXGF&amp;Ex&amp;Ref_Storage__RefrigFrz</v>
      </c>
      <c r="O317" s="3" t="s">
        <v>50</v>
      </c>
      <c r="P317" s="3">
        <v>2</v>
      </c>
      <c r="Q317" s="3" t="s">
        <v>51</v>
      </c>
      <c r="R317" s="3" t="s">
        <v>52</v>
      </c>
      <c r="S317" s="3" t="str">
        <f t="shared" si="95"/>
        <v>No</v>
      </c>
      <c r="T317" s="3" t="str">
        <f t="shared" si="92"/>
        <v>Ref_Storage__RefrigFrz</v>
      </c>
      <c r="U317" s="3" t="str">
        <f t="shared" si="93"/>
        <v>Ref_Storage__RefrigFrz</v>
      </c>
      <c r="V317" s="3" t="s">
        <v>150</v>
      </c>
      <c r="W317" s="3" t="s">
        <v>151</v>
      </c>
      <c r="X317" s="3" t="s">
        <v>150</v>
      </c>
      <c r="Y317" s="3" t="s">
        <v>151</v>
      </c>
      <c r="Z317" s="3"/>
      <c r="AA317" s="3" t="s">
        <v>152</v>
      </c>
      <c r="AB317" s="3" t="s">
        <v>153</v>
      </c>
    </row>
    <row r="318" spans="1:28" x14ac:dyDescent="0.25">
      <c r="A318" s="3" t="s">
        <v>144</v>
      </c>
      <c r="B318" s="3" t="s">
        <v>10675</v>
      </c>
      <c r="C318" s="3" t="s">
        <v>10658</v>
      </c>
      <c r="D318" s="3" t="str">
        <f t="shared" si="87"/>
        <v>SWAP001-05 Refrigerator/Freezer_DMo</v>
      </c>
      <c r="E318" s="3"/>
      <c r="F318" s="3" t="s">
        <v>154</v>
      </c>
      <c r="G318" s="3" t="str">
        <f t="shared" si="94"/>
        <v>Res-Refg-dKWH-Cond</v>
      </c>
      <c r="H318" s="3" t="s">
        <v>155</v>
      </c>
      <c r="I318" s="3" t="s">
        <v>156</v>
      </c>
      <c r="J318" s="3" t="s">
        <v>157</v>
      </c>
      <c r="K318" s="32" t="s">
        <v>158</v>
      </c>
      <c r="L318" s="32" t="s">
        <v>158</v>
      </c>
      <c r="M318" s="3" t="str">
        <f t="shared" si="96"/>
        <v>Msr-Res-Refg-dKWH-Cond-500kWh</v>
      </c>
      <c r="N318" s="3" t="str">
        <f t="shared" si="89"/>
        <v>DMo&amp;0&amp;rDXGF&amp;Ex&amp;Ref_Storage__RefrigFrz</v>
      </c>
      <c r="O318" s="3" t="s">
        <v>62</v>
      </c>
      <c r="P318" s="3">
        <v>0</v>
      </c>
      <c r="Q318" s="3" t="s">
        <v>51</v>
      </c>
      <c r="R318" s="3" t="s">
        <v>52</v>
      </c>
      <c r="S318" s="3" t="str">
        <f t="shared" si="95"/>
        <v>No</v>
      </c>
      <c r="T318" s="3" t="str">
        <f t="shared" si="92"/>
        <v>Ref_Storage__RefrigFrz</v>
      </c>
      <c r="U318" s="3" t="str">
        <f t="shared" si="93"/>
        <v>Ref_Storage__RefrigFrz</v>
      </c>
      <c r="V318" s="3" t="s">
        <v>150</v>
      </c>
      <c r="W318" s="3" t="s">
        <v>151</v>
      </c>
      <c r="X318" s="3" t="s">
        <v>150</v>
      </c>
      <c r="Y318" s="3" t="s">
        <v>151</v>
      </c>
      <c r="Z318" s="3"/>
      <c r="AA318" s="3" t="s">
        <v>152</v>
      </c>
      <c r="AB318" s="3" t="s">
        <v>153</v>
      </c>
    </row>
    <row r="319" spans="1:28" x14ac:dyDescent="0.25">
      <c r="A319" s="3" t="s">
        <v>144</v>
      </c>
      <c r="B319" s="3" t="s">
        <v>10675</v>
      </c>
      <c r="C319" s="3" t="s">
        <v>10658</v>
      </c>
      <c r="D319" s="3" t="str">
        <f t="shared" si="87"/>
        <v>SWAP001-05 Refrigerator/Freezer_MFm</v>
      </c>
      <c r="E319" s="3"/>
      <c r="F319" s="3" t="s">
        <v>154</v>
      </c>
      <c r="G319" s="3" t="str">
        <f t="shared" si="94"/>
        <v>Res-Refg-dKWH-Cond</v>
      </c>
      <c r="H319" s="3" t="s">
        <v>155</v>
      </c>
      <c r="I319" s="3" t="s">
        <v>156</v>
      </c>
      <c r="J319" s="3" t="s">
        <v>157</v>
      </c>
      <c r="K319" s="32" t="s">
        <v>158</v>
      </c>
      <c r="L319" s="32" t="s">
        <v>158</v>
      </c>
      <c r="M319" s="3" t="str">
        <f t="shared" si="96"/>
        <v>Msr-Res-Refg-dKWH-Cond-500kWh</v>
      </c>
      <c r="N319" s="3" t="str">
        <f t="shared" si="89"/>
        <v>MFm&amp;0&amp;rDXGF&amp;Ex&amp;Ref_Storage__RefrigFrz</v>
      </c>
      <c r="O319" s="3" t="s">
        <v>63</v>
      </c>
      <c r="P319" s="3">
        <v>0</v>
      </c>
      <c r="Q319" s="3" t="s">
        <v>51</v>
      </c>
      <c r="R319" s="3" t="s">
        <v>52</v>
      </c>
      <c r="S319" s="3" t="str">
        <f t="shared" si="95"/>
        <v>No</v>
      </c>
      <c r="T319" s="3" t="str">
        <f t="shared" si="92"/>
        <v>Ref_Storage__RefrigFrz</v>
      </c>
      <c r="U319" s="3" t="str">
        <f t="shared" si="93"/>
        <v>Ref_Storage__RefrigFrz</v>
      </c>
      <c r="V319" s="3" t="s">
        <v>150</v>
      </c>
      <c r="W319" s="3" t="s">
        <v>151</v>
      </c>
      <c r="X319" s="3" t="s">
        <v>150</v>
      </c>
      <c r="Y319" s="3" t="s">
        <v>151</v>
      </c>
      <c r="Z319" s="3"/>
      <c r="AA319" s="3" t="s">
        <v>152</v>
      </c>
      <c r="AB319" s="3" t="s">
        <v>153</v>
      </c>
    </row>
    <row r="320" spans="1:28" x14ac:dyDescent="0.25">
      <c r="A320" s="3" t="s">
        <v>144</v>
      </c>
      <c r="B320" s="3" t="s">
        <v>10675</v>
      </c>
      <c r="C320" s="3" t="s">
        <v>10658</v>
      </c>
      <c r="D320" s="3" t="str">
        <f t="shared" si="87"/>
        <v>SWAP001-05 Refrigerator/Freezer_SFm</v>
      </c>
      <c r="E320" s="3"/>
      <c r="F320" s="3" t="s">
        <v>154</v>
      </c>
      <c r="G320" s="3" t="str">
        <f t="shared" si="94"/>
        <v>Res-Refg-dKWH-Cond</v>
      </c>
      <c r="H320" s="3" t="s">
        <v>155</v>
      </c>
      <c r="I320" s="3" t="s">
        <v>156</v>
      </c>
      <c r="J320" s="3" t="s">
        <v>157</v>
      </c>
      <c r="K320" s="32" t="s">
        <v>158</v>
      </c>
      <c r="L320" s="32" t="s">
        <v>158</v>
      </c>
      <c r="M320" s="3" t="str">
        <f t="shared" si="96"/>
        <v>Msr-Res-Refg-dKWH-Cond-500kWh</v>
      </c>
      <c r="N320" s="3" t="str">
        <f t="shared" si="89"/>
        <v>SFm&amp;1&amp;rDXGF&amp;New&amp;Ref_Storage__RefrigFrz</v>
      </c>
      <c r="O320" s="3" t="s">
        <v>50</v>
      </c>
      <c r="P320" s="3">
        <v>1</v>
      </c>
      <c r="Q320" s="3" t="s">
        <v>51</v>
      </c>
      <c r="R320" s="3" t="s">
        <v>107</v>
      </c>
      <c r="S320" s="3" t="str">
        <f t="shared" si="95"/>
        <v>No</v>
      </c>
      <c r="T320" s="3" t="str">
        <f t="shared" si="92"/>
        <v>Ref_Storage__RefrigFrz</v>
      </c>
      <c r="U320" s="3" t="str">
        <f t="shared" si="93"/>
        <v>Ref_Storage__RefrigFrz</v>
      </c>
      <c r="V320" s="3" t="s">
        <v>150</v>
      </c>
      <c r="W320" s="3" t="s">
        <v>151</v>
      </c>
      <c r="X320" s="3" t="s">
        <v>150</v>
      </c>
      <c r="Y320" s="3" t="s">
        <v>151</v>
      </c>
      <c r="Z320" s="3"/>
      <c r="AA320" s="3" t="s">
        <v>152</v>
      </c>
      <c r="AB320" s="3" t="s">
        <v>153</v>
      </c>
    </row>
    <row r="321" spans="1:28" x14ac:dyDescent="0.25">
      <c r="A321" s="3" t="s">
        <v>144</v>
      </c>
      <c r="B321" s="3" t="s">
        <v>10675</v>
      </c>
      <c r="C321" s="3" t="s">
        <v>10658</v>
      </c>
      <c r="D321" s="3" t="str">
        <f t="shared" si="87"/>
        <v>SWAP001-05 Refrigerator/Freezer_SFm</v>
      </c>
      <c r="E321" s="3"/>
      <c r="F321" s="3" t="s">
        <v>154</v>
      </c>
      <c r="G321" s="3" t="str">
        <f t="shared" si="94"/>
        <v>Res-Refg-dKWH-Cond</v>
      </c>
      <c r="H321" s="3" t="s">
        <v>155</v>
      </c>
      <c r="I321" s="3" t="s">
        <v>156</v>
      </c>
      <c r="J321" s="3" t="s">
        <v>157</v>
      </c>
      <c r="K321" s="32" t="s">
        <v>158</v>
      </c>
      <c r="L321" s="32" t="s">
        <v>158</v>
      </c>
      <c r="M321" s="3" t="str">
        <f t="shared" si="96"/>
        <v>Msr-Res-Refg-dKWH-Cond-500kWh</v>
      </c>
      <c r="N321" s="3" t="str">
        <f t="shared" si="89"/>
        <v>SFm&amp;2&amp;rDXGF&amp;New&amp;Ref_Storage__RefrigFrz</v>
      </c>
      <c r="O321" s="3" t="s">
        <v>50</v>
      </c>
      <c r="P321" s="3">
        <v>2</v>
      </c>
      <c r="Q321" s="3" t="s">
        <v>51</v>
      </c>
      <c r="R321" s="3" t="s">
        <v>107</v>
      </c>
      <c r="S321" s="3" t="str">
        <f t="shared" si="95"/>
        <v>No</v>
      </c>
      <c r="T321" s="3" t="str">
        <f t="shared" si="92"/>
        <v>Ref_Storage__RefrigFrz</v>
      </c>
      <c r="U321" s="3" t="str">
        <f t="shared" si="93"/>
        <v>Ref_Storage__RefrigFrz</v>
      </c>
      <c r="V321" s="3" t="s">
        <v>150</v>
      </c>
      <c r="W321" s="3" t="s">
        <v>151</v>
      </c>
      <c r="X321" s="3" t="s">
        <v>150</v>
      </c>
      <c r="Y321" s="3" t="s">
        <v>151</v>
      </c>
      <c r="Z321" s="3"/>
      <c r="AA321" s="3" t="s">
        <v>152</v>
      </c>
      <c r="AB321" s="3" t="s">
        <v>153</v>
      </c>
    </row>
    <row r="322" spans="1:28" x14ac:dyDescent="0.25">
      <c r="A322" s="3" t="s">
        <v>144</v>
      </c>
      <c r="B322" s="3" t="s">
        <v>10675</v>
      </c>
      <c r="C322" s="3" t="s">
        <v>10658</v>
      </c>
      <c r="D322" s="3" t="str">
        <f t="shared" si="87"/>
        <v>SWAP001-05 Refrigerator/Freezer_DMo</v>
      </c>
      <c r="E322" s="3"/>
      <c r="F322" s="3" t="s">
        <v>154</v>
      </c>
      <c r="G322" s="3" t="str">
        <f t="shared" si="94"/>
        <v>Res-Refg-dKWH-Cond</v>
      </c>
      <c r="H322" s="3" t="s">
        <v>155</v>
      </c>
      <c r="I322" s="3" t="s">
        <v>156</v>
      </c>
      <c r="J322" s="3" t="s">
        <v>157</v>
      </c>
      <c r="K322" s="32" t="s">
        <v>158</v>
      </c>
      <c r="L322" s="32" t="s">
        <v>158</v>
      </c>
      <c r="M322" s="3" t="str">
        <f t="shared" si="96"/>
        <v>Msr-Res-Refg-dKWH-Cond-500kWh</v>
      </c>
      <c r="N322" s="3" t="str">
        <f t="shared" si="89"/>
        <v>DMo&amp;0&amp;rDXGF&amp;New&amp;Ref_Storage__RefrigFrz</v>
      </c>
      <c r="O322" s="3" t="s">
        <v>62</v>
      </c>
      <c r="P322" s="3">
        <v>0</v>
      </c>
      <c r="Q322" s="3" t="s">
        <v>51</v>
      </c>
      <c r="R322" s="3" t="s">
        <v>107</v>
      </c>
      <c r="S322" s="3" t="str">
        <f t="shared" si="95"/>
        <v>No</v>
      </c>
      <c r="T322" s="3" t="str">
        <f t="shared" si="92"/>
        <v>Ref_Storage__RefrigFrz</v>
      </c>
      <c r="U322" s="3" t="str">
        <f t="shared" si="93"/>
        <v>Ref_Storage__RefrigFrz</v>
      </c>
      <c r="V322" s="3" t="s">
        <v>150</v>
      </c>
      <c r="W322" s="3" t="s">
        <v>151</v>
      </c>
      <c r="X322" s="3" t="s">
        <v>150</v>
      </c>
      <c r="Y322" s="3" t="s">
        <v>151</v>
      </c>
      <c r="Z322" s="3"/>
      <c r="AA322" s="3" t="s">
        <v>152</v>
      </c>
      <c r="AB322" s="3" t="s">
        <v>153</v>
      </c>
    </row>
    <row r="323" spans="1:28" x14ac:dyDescent="0.25">
      <c r="A323" s="3" t="s">
        <v>144</v>
      </c>
      <c r="B323" s="3" t="s">
        <v>10675</v>
      </c>
      <c r="C323" s="3" t="s">
        <v>10658</v>
      </c>
      <c r="D323" s="3" t="str">
        <f t="shared" si="87"/>
        <v>SWAP001-05 Refrigerator/Freezer_MFm</v>
      </c>
      <c r="E323" s="3"/>
      <c r="F323" s="3" t="s">
        <v>154</v>
      </c>
      <c r="G323" s="3" t="str">
        <f t="shared" si="94"/>
        <v>Res-Refg-dKWH-Cond</v>
      </c>
      <c r="H323" s="3" t="s">
        <v>155</v>
      </c>
      <c r="I323" s="3" t="s">
        <v>156</v>
      </c>
      <c r="J323" s="3" t="s">
        <v>157</v>
      </c>
      <c r="K323" s="32" t="s">
        <v>158</v>
      </c>
      <c r="L323" s="32" t="s">
        <v>158</v>
      </c>
      <c r="M323" s="3" t="str">
        <f t="shared" si="96"/>
        <v>Msr-Res-Refg-dKWH-Cond-500kWh</v>
      </c>
      <c r="N323" s="3" t="str">
        <f t="shared" si="89"/>
        <v>MFm&amp;0&amp;rDXGF&amp;New&amp;Ref_Storage__RefrigFrz</v>
      </c>
      <c r="O323" s="3" t="s">
        <v>63</v>
      </c>
      <c r="P323" s="3">
        <v>0</v>
      </c>
      <c r="Q323" s="3" t="s">
        <v>51</v>
      </c>
      <c r="R323" s="3" t="s">
        <v>107</v>
      </c>
      <c r="S323" s="3" t="str">
        <f t="shared" si="95"/>
        <v>No</v>
      </c>
      <c r="T323" s="3" t="str">
        <f t="shared" si="92"/>
        <v>Ref_Storage__RefrigFrz</v>
      </c>
      <c r="U323" s="3" t="str">
        <f t="shared" si="93"/>
        <v>Ref_Storage__RefrigFrz</v>
      </c>
      <c r="V323" s="3" t="s">
        <v>150</v>
      </c>
      <c r="W323" s="3" t="s">
        <v>151</v>
      </c>
      <c r="X323" s="3" t="s">
        <v>150</v>
      </c>
      <c r="Y323" s="3" t="s">
        <v>151</v>
      </c>
      <c r="Z323" s="3"/>
      <c r="AA323" s="3" t="s">
        <v>152</v>
      </c>
      <c r="AB323" s="3" t="s">
        <v>153</v>
      </c>
    </row>
    <row r="324" spans="1:28" x14ac:dyDescent="0.25">
      <c r="A324" s="3" t="s">
        <v>144</v>
      </c>
      <c r="B324" s="3" t="s">
        <v>10675</v>
      </c>
      <c r="C324" s="3" t="s">
        <v>10658</v>
      </c>
      <c r="D324" s="3" t="str">
        <f t="shared" si="87"/>
        <v>SWAP001-05 Refrigerator/Freezer_SFm</v>
      </c>
      <c r="E324" s="3"/>
      <c r="F324" s="3" t="s">
        <v>154</v>
      </c>
      <c r="G324" s="3" t="str">
        <f t="shared" ref="G324:G347" si="97">F324</f>
        <v>Res-Refg-dKWH-Cond</v>
      </c>
      <c r="H324" s="3" t="s">
        <v>155</v>
      </c>
      <c r="I324" s="3" t="s">
        <v>156</v>
      </c>
      <c r="J324" s="3" t="s">
        <v>157</v>
      </c>
      <c r="K324" s="32" t="s">
        <v>158</v>
      </c>
      <c r="L324" s="32" t="s">
        <v>158</v>
      </c>
      <c r="M324" s="3" t="str">
        <f t="shared" si="96"/>
        <v>Msr-Res-Refg-dKWH-Cond-500kWh</v>
      </c>
      <c r="N324" s="3" t="str">
        <f t="shared" si="89"/>
        <v>SFm&amp;1&amp;rDXHP&amp;Ex&amp;Ref_Storage__RefrigFrz</v>
      </c>
      <c r="O324" s="3" t="s">
        <v>50</v>
      </c>
      <c r="P324" s="3">
        <v>1</v>
      </c>
      <c r="Q324" s="3" t="s">
        <v>57</v>
      </c>
      <c r="R324" s="3" t="s">
        <v>52</v>
      </c>
      <c r="S324" s="3" t="str">
        <f t="shared" si="95"/>
        <v>No</v>
      </c>
      <c r="T324" s="3" t="str">
        <f t="shared" si="92"/>
        <v>Ref_Storage__RefrigFrz</v>
      </c>
      <c r="U324" s="3" t="str">
        <f t="shared" si="93"/>
        <v>Ref_Storage__RefrigFrz</v>
      </c>
      <c r="V324" s="3" t="s">
        <v>150</v>
      </c>
      <c r="W324" s="3" t="s">
        <v>151</v>
      </c>
      <c r="X324" s="3" t="s">
        <v>150</v>
      </c>
      <c r="Y324" s="3" t="s">
        <v>151</v>
      </c>
      <c r="Z324" s="3"/>
      <c r="AA324" s="3" t="s">
        <v>152</v>
      </c>
      <c r="AB324" s="3" t="s">
        <v>153</v>
      </c>
    </row>
    <row r="325" spans="1:28" x14ac:dyDescent="0.25">
      <c r="A325" s="3" t="s">
        <v>144</v>
      </c>
      <c r="B325" s="3" t="s">
        <v>10675</v>
      </c>
      <c r="C325" s="3" t="s">
        <v>10658</v>
      </c>
      <c r="D325" s="3" t="str">
        <f t="shared" si="87"/>
        <v>SWAP001-05 Refrigerator/Freezer_SFm</v>
      </c>
      <c r="E325" s="3"/>
      <c r="F325" s="3" t="s">
        <v>154</v>
      </c>
      <c r="G325" s="3" t="str">
        <f t="shared" si="97"/>
        <v>Res-Refg-dKWH-Cond</v>
      </c>
      <c r="H325" s="3" t="s">
        <v>155</v>
      </c>
      <c r="I325" s="3" t="s">
        <v>156</v>
      </c>
      <c r="J325" s="3" t="s">
        <v>157</v>
      </c>
      <c r="K325" s="32" t="s">
        <v>158</v>
      </c>
      <c r="L325" s="32" t="s">
        <v>158</v>
      </c>
      <c r="M325" s="3" t="str">
        <f t="shared" si="96"/>
        <v>Msr-Res-Refg-dKWH-Cond-500kWh</v>
      </c>
      <c r="N325" s="3" t="str">
        <f t="shared" si="89"/>
        <v>SFm&amp;2&amp;rDXHP&amp;Ex&amp;Ref_Storage__RefrigFrz</v>
      </c>
      <c r="O325" s="3" t="s">
        <v>50</v>
      </c>
      <c r="P325" s="3">
        <v>2</v>
      </c>
      <c r="Q325" s="3" t="s">
        <v>57</v>
      </c>
      <c r="R325" s="3" t="s">
        <v>52</v>
      </c>
      <c r="S325" s="3" t="str">
        <f t="shared" si="95"/>
        <v>No</v>
      </c>
      <c r="T325" s="3" t="str">
        <f t="shared" si="92"/>
        <v>Ref_Storage__RefrigFrz</v>
      </c>
      <c r="U325" s="3" t="str">
        <f t="shared" si="93"/>
        <v>Ref_Storage__RefrigFrz</v>
      </c>
      <c r="V325" s="3" t="s">
        <v>150</v>
      </c>
      <c r="W325" s="3" t="s">
        <v>151</v>
      </c>
      <c r="X325" s="3" t="s">
        <v>150</v>
      </c>
      <c r="Y325" s="3" t="s">
        <v>151</v>
      </c>
      <c r="Z325" s="3"/>
      <c r="AA325" s="3" t="s">
        <v>152</v>
      </c>
      <c r="AB325" s="3" t="s">
        <v>153</v>
      </c>
    </row>
    <row r="326" spans="1:28" x14ac:dyDescent="0.25">
      <c r="A326" s="3" t="s">
        <v>144</v>
      </c>
      <c r="B326" s="3" t="s">
        <v>10675</v>
      </c>
      <c r="C326" s="3" t="s">
        <v>10658</v>
      </c>
      <c r="D326" s="3" t="str">
        <f t="shared" si="87"/>
        <v>SWAP001-05 Refrigerator/Freezer_DMo</v>
      </c>
      <c r="E326" s="3"/>
      <c r="F326" s="3" t="s">
        <v>154</v>
      </c>
      <c r="G326" s="3" t="str">
        <f t="shared" si="97"/>
        <v>Res-Refg-dKWH-Cond</v>
      </c>
      <c r="H326" s="3" t="s">
        <v>155</v>
      </c>
      <c r="I326" s="3" t="s">
        <v>156</v>
      </c>
      <c r="J326" s="3" t="s">
        <v>157</v>
      </c>
      <c r="K326" s="32" t="s">
        <v>158</v>
      </c>
      <c r="L326" s="32" t="s">
        <v>158</v>
      </c>
      <c r="M326" s="3" t="str">
        <f t="shared" si="96"/>
        <v>Msr-Res-Refg-dKWH-Cond-500kWh</v>
      </c>
      <c r="N326" s="3" t="str">
        <f t="shared" si="89"/>
        <v>DMo&amp;0&amp;rDXHP&amp;Ex&amp;Ref_Storage__RefrigFrz</v>
      </c>
      <c r="O326" s="3" t="s">
        <v>62</v>
      </c>
      <c r="P326" s="3">
        <v>0</v>
      </c>
      <c r="Q326" s="3" t="s">
        <v>57</v>
      </c>
      <c r="R326" s="3" t="s">
        <v>52</v>
      </c>
      <c r="S326" s="3" t="str">
        <f t="shared" si="95"/>
        <v>No</v>
      </c>
      <c r="T326" s="3" t="str">
        <f t="shared" si="92"/>
        <v>Ref_Storage__RefrigFrz</v>
      </c>
      <c r="U326" s="3" t="str">
        <f t="shared" si="93"/>
        <v>Ref_Storage__RefrigFrz</v>
      </c>
      <c r="V326" s="3" t="s">
        <v>150</v>
      </c>
      <c r="W326" s="3" t="s">
        <v>151</v>
      </c>
      <c r="X326" s="3" t="s">
        <v>150</v>
      </c>
      <c r="Y326" s="3" t="s">
        <v>151</v>
      </c>
      <c r="Z326" s="3"/>
      <c r="AA326" s="3" t="s">
        <v>152</v>
      </c>
      <c r="AB326" s="3" t="s">
        <v>153</v>
      </c>
    </row>
    <row r="327" spans="1:28" x14ac:dyDescent="0.25">
      <c r="A327" s="3" t="s">
        <v>144</v>
      </c>
      <c r="B327" s="3" t="s">
        <v>10675</v>
      </c>
      <c r="C327" s="3" t="s">
        <v>10658</v>
      </c>
      <c r="D327" s="3" t="str">
        <f t="shared" ref="D327:D390" si="98">_xlfn.CONCAT(C327, " ", A327,"_",O327)</f>
        <v>SWAP001-05 Refrigerator/Freezer_MFm</v>
      </c>
      <c r="E327" s="3"/>
      <c r="F327" s="3" t="s">
        <v>154</v>
      </c>
      <c r="G327" s="3" t="str">
        <f t="shared" si="97"/>
        <v>Res-Refg-dKWH-Cond</v>
      </c>
      <c r="H327" s="3" t="s">
        <v>155</v>
      </c>
      <c r="I327" s="3" t="s">
        <v>156</v>
      </c>
      <c r="J327" s="3" t="s">
        <v>157</v>
      </c>
      <c r="K327" s="32" t="s">
        <v>158</v>
      </c>
      <c r="L327" s="32" t="s">
        <v>158</v>
      </c>
      <c r="M327" s="3" t="str">
        <f t="shared" si="96"/>
        <v>Msr-Res-Refg-dKWH-Cond-500kWh</v>
      </c>
      <c r="N327" s="3" t="str">
        <f t="shared" si="89"/>
        <v>MFm&amp;0&amp;rDXHP&amp;Ex&amp;Ref_Storage__RefrigFrz</v>
      </c>
      <c r="O327" s="3" t="s">
        <v>63</v>
      </c>
      <c r="P327" s="3">
        <v>0</v>
      </c>
      <c r="Q327" s="3" t="s">
        <v>57</v>
      </c>
      <c r="R327" s="3" t="s">
        <v>52</v>
      </c>
      <c r="S327" s="3" t="str">
        <f t="shared" si="95"/>
        <v>No</v>
      </c>
      <c r="T327" s="3" t="str">
        <f t="shared" si="92"/>
        <v>Ref_Storage__RefrigFrz</v>
      </c>
      <c r="U327" s="3" t="str">
        <f t="shared" si="93"/>
        <v>Ref_Storage__RefrigFrz</v>
      </c>
      <c r="V327" s="3" t="s">
        <v>150</v>
      </c>
      <c r="W327" s="3" t="s">
        <v>151</v>
      </c>
      <c r="X327" s="3" t="s">
        <v>150</v>
      </c>
      <c r="Y327" s="3" t="s">
        <v>151</v>
      </c>
      <c r="Z327" s="3"/>
      <c r="AA327" s="3" t="s">
        <v>152</v>
      </c>
      <c r="AB327" s="3" t="s">
        <v>153</v>
      </c>
    </row>
    <row r="328" spans="1:28" x14ac:dyDescent="0.25">
      <c r="A328" s="3" t="s">
        <v>144</v>
      </c>
      <c r="B328" s="3" t="s">
        <v>10675</v>
      </c>
      <c r="C328" s="3" t="s">
        <v>10658</v>
      </c>
      <c r="D328" s="3" t="str">
        <f t="shared" si="98"/>
        <v>SWAP001-05 Refrigerator/Freezer_SFm</v>
      </c>
      <c r="E328" s="3"/>
      <c r="F328" s="3" t="s">
        <v>154</v>
      </c>
      <c r="G328" s="3" t="str">
        <f t="shared" si="97"/>
        <v>Res-Refg-dKWH-Cond</v>
      </c>
      <c r="H328" s="3" t="s">
        <v>155</v>
      </c>
      <c r="I328" s="3" t="s">
        <v>156</v>
      </c>
      <c r="J328" s="3" t="s">
        <v>157</v>
      </c>
      <c r="K328" s="32" t="s">
        <v>158</v>
      </c>
      <c r="L328" s="32" t="s">
        <v>158</v>
      </c>
      <c r="M328" s="3" t="str">
        <f t="shared" si="96"/>
        <v>Msr-Res-Refg-dKWH-Cond-500kWh</v>
      </c>
      <c r="N328" s="3" t="str">
        <f t="shared" si="89"/>
        <v>SFm&amp;1&amp;rDXHP&amp;New&amp;Ref_Storage__RefrigFrz</v>
      </c>
      <c r="O328" s="3" t="s">
        <v>50</v>
      </c>
      <c r="P328" s="3">
        <v>1</v>
      </c>
      <c r="Q328" s="3" t="s">
        <v>57</v>
      </c>
      <c r="R328" s="3" t="s">
        <v>107</v>
      </c>
      <c r="S328" s="3" t="str">
        <f t="shared" si="95"/>
        <v>No</v>
      </c>
      <c r="T328" s="3" t="str">
        <f t="shared" si="92"/>
        <v>Ref_Storage__RefrigFrz</v>
      </c>
      <c r="U328" s="3" t="str">
        <f t="shared" si="93"/>
        <v>Ref_Storage__RefrigFrz</v>
      </c>
      <c r="V328" s="3" t="s">
        <v>150</v>
      </c>
      <c r="W328" s="3" t="s">
        <v>151</v>
      </c>
      <c r="X328" s="3" t="s">
        <v>150</v>
      </c>
      <c r="Y328" s="3" t="s">
        <v>151</v>
      </c>
      <c r="Z328" s="3"/>
      <c r="AA328" s="3" t="s">
        <v>152</v>
      </c>
      <c r="AB328" s="3" t="s">
        <v>153</v>
      </c>
    </row>
    <row r="329" spans="1:28" x14ac:dyDescent="0.25">
      <c r="A329" s="3" t="s">
        <v>144</v>
      </c>
      <c r="B329" s="3" t="s">
        <v>10675</v>
      </c>
      <c r="C329" s="3" t="s">
        <v>10658</v>
      </c>
      <c r="D329" s="3" t="str">
        <f t="shared" si="98"/>
        <v>SWAP001-05 Refrigerator/Freezer_SFm</v>
      </c>
      <c r="E329" s="3"/>
      <c r="F329" s="3" t="s">
        <v>154</v>
      </c>
      <c r="G329" s="3" t="str">
        <f t="shared" si="97"/>
        <v>Res-Refg-dKWH-Cond</v>
      </c>
      <c r="H329" s="3" t="s">
        <v>155</v>
      </c>
      <c r="I329" s="3" t="s">
        <v>156</v>
      </c>
      <c r="J329" s="3" t="s">
        <v>157</v>
      </c>
      <c r="K329" s="32" t="s">
        <v>158</v>
      </c>
      <c r="L329" s="32" t="s">
        <v>158</v>
      </c>
      <c r="M329" s="3" t="str">
        <f t="shared" si="96"/>
        <v>Msr-Res-Refg-dKWH-Cond-500kWh</v>
      </c>
      <c r="N329" s="3" t="str">
        <f t="shared" si="89"/>
        <v>SFm&amp;2&amp;rDXHP&amp;New&amp;Ref_Storage__RefrigFrz</v>
      </c>
      <c r="O329" s="3" t="s">
        <v>50</v>
      </c>
      <c r="P329" s="3">
        <v>2</v>
      </c>
      <c r="Q329" s="3" t="s">
        <v>57</v>
      </c>
      <c r="R329" s="3" t="s">
        <v>107</v>
      </c>
      <c r="S329" s="3" t="str">
        <f t="shared" si="95"/>
        <v>No</v>
      </c>
      <c r="T329" s="3" t="str">
        <f t="shared" si="92"/>
        <v>Ref_Storage__RefrigFrz</v>
      </c>
      <c r="U329" s="3" t="str">
        <f t="shared" si="93"/>
        <v>Ref_Storage__RefrigFrz</v>
      </c>
      <c r="V329" s="3" t="s">
        <v>150</v>
      </c>
      <c r="W329" s="3" t="s">
        <v>151</v>
      </c>
      <c r="X329" s="3" t="s">
        <v>150</v>
      </c>
      <c r="Y329" s="3" t="s">
        <v>151</v>
      </c>
      <c r="Z329" s="3"/>
      <c r="AA329" s="3" t="s">
        <v>152</v>
      </c>
      <c r="AB329" s="3" t="s">
        <v>153</v>
      </c>
    </row>
    <row r="330" spans="1:28" x14ac:dyDescent="0.25">
      <c r="A330" s="3" t="s">
        <v>144</v>
      </c>
      <c r="B330" s="3" t="s">
        <v>10675</v>
      </c>
      <c r="C330" s="3" t="s">
        <v>10658</v>
      </c>
      <c r="D330" s="3" t="str">
        <f t="shared" si="98"/>
        <v>SWAP001-05 Refrigerator/Freezer_DMo</v>
      </c>
      <c r="E330" s="3"/>
      <c r="F330" s="3" t="s">
        <v>154</v>
      </c>
      <c r="G330" s="3" t="str">
        <f t="shared" si="97"/>
        <v>Res-Refg-dKWH-Cond</v>
      </c>
      <c r="H330" s="3" t="s">
        <v>155</v>
      </c>
      <c r="I330" s="3" t="s">
        <v>156</v>
      </c>
      <c r="J330" s="3" t="s">
        <v>157</v>
      </c>
      <c r="K330" s="32" t="s">
        <v>158</v>
      </c>
      <c r="L330" s="32" t="s">
        <v>158</v>
      </c>
      <c r="M330" s="3" t="str">
        <f t="shared" si="96"/>
        <v>Msr-Res-Refg-dKWH-Cond-500kWh</v>
      </c>
      <c r="N330" s="3" t="str">
        <f t="shared" si="89"/>
        <v>DMo&amp;0&amp;rDXHP&amp;New&amp;Ref_Storage__RefrigFrz</v>
      </c>
      <c r="O330" s="3" t="s">
        <v>62</v>
      </c>
      <c r="P330" s="3">
        <v>0</v>
      </c>
      <c r="Q330" s="3" t="s">
        <v>57</v>
      </c>
      <c r="R330" s="3" t="s">
        <v>107</v>
      </c>
      <c r="S330" s="3" t="str">
        <f t="shared" si="95"/>
        <v>No</v>
      </c>
      <c r="T330" s="3" t="str">
        <f t="shared" si="92"/>
        <v>Ref_Storage__RefrigFrz</v>
      </c>
      <c r="U330" s="3" t="str">
        <f t="shared" si="93"/>
        <v>Ref_Storage__RefrigFrz</v>
      </c>
      <c r="V330" s="3" t="s">
        <v>150</v>
      </c>
      <c r="W330" s="3" t="s">
        <v>151</v>
      </c>
      <c r="X330" s="3" t="s">
        <v>150</v>
      </c>
      <c r="Y330" s="3" t="s">
        <v>151</v>
      </c>
      <c r="Z330" s="3"/>
      <c r="AA330" s="3" t="s">
        <v>152</v>
      </c>
      <c r="AB330" s="3" t="s">
        <v>153</v>
      </c>
    </row>
    <row r="331" spans="1:28" x14ac:dyDescent="0.25">
      <c r="A331" s="3" t="s">
        <v>144</v>
      </c>
      <c r="B331" s="3" t="s">
        <v>10675</v>
      </c>
      <c r="C331" s="3" t="s">
        <v>10658</v>
      </c>
      <c r="D331" s="3" t="str">
        <f t="shared" si="98"/>
        <v>SWAP001-05 Refrigerator/Freezer_MFm</v>
      </c>
      <c r="E331" s="3"/>
      <c r="F331" s="3" t="s">
        <v>154</v>
      </c>
      <c r="G331" s="3" t="str">
        <f t="shared" si="97"/>
        <v>Res-Refg-dKWH-Cond</v>
      </c>
      <c r="H331" s="3" t="s">
        <v>155</v>
      </c>
      <c r="I331" s="3" t="s">
        <v>156</v>
      </c>
      <c r="J331" s="3" t="s">
        <v>157</v>
      </c>
      <c r="K331" s="32" t="s">
        <v>158</v>
      </c>
      <c r="L331" s="32" t="s">
        <v>158</v>
      </c>
      <c r="M331" s="3" t="str">
        <f t="shared" si="96"/>
        <v>Msr-Res-Refg-dKWH-Cond-500kWh</v>
      </c>
      <c r="N331" s="3" t="str">
        <f t="shared" si="89"/>
        <v>MFm&amp;0&amp;rDXHP&amp;New&amp;Ref_Storage__RefrigFrz</v>
      </c>
      <c r="O331" s="3" t="s">
        <v>63</v>
      </c>
      <c r="P331" s="3">
        <v>0</v>
      </c>
      <c r="Q331" s="3" t="s">
        <v>57</v>
      </c>
      <c r="R331" s="3" t="s">
        <v>107</v>
      </c>
      <c r="S331" s="3" t="str">
        <f t="shared" si="95"/>
        <v>No</v>
      </c>
      <c r="T331" s="3" t="str">
        <f t="shared" si="92"/>
        <v>Ref_Storage__RefrigFrz</v>
      </c>
      <c r="U331" s="3" t="str">
        <f t="shared" si="93"/>
        <v>Ref_Storage__RefrigFrz</v>
      </c>
      <c r="V331" s="3" t="s">
        <v>150</v>
      </c>
      <c r="W331" s="3" t="s">
        <v>151</v>
      </c>
      <c r="X331" s="3" t="s">
        <v>150</v>
      </c>
      <c r="Y331" s="3" t="s">
        <v>151</v>
      </c>
      <c r="Z331" s="3"/>
      <c r="AA331" s="3" t="s">
        <v>152</v>
      </c>
      <c r="AB331" s="3" t="s">
        <v>153</v>
      </c>
    </row>
    <row r="332" spans="1:28" x14ac:dyDescent="0.25">
      <c r="A332" s="3" t="s">
        <v>144</v>
      </c>
      <c r="B332" s="3" t="s">
        <v>10675</v>
      </c>
      <c r="C332" s="3" t="s">
        <v>10658</v>
      </c>
      <c r="D332" s="3" t="str">
        <f t="shared" si="98"/>
        <v>SWAP001-05 Refrigerator/Freezer_SFm</v>
      </c>
      <c r="E332" s="3"/>
      <c r="F332" s="3" t="s">
        <v>154</v>
      </c>
      <c r="G332" s="3" t="str">
        <f t="shared" si="97"/>
        <v>Res-Refg-dKWH-Cond</v>
      </c>
      <c r="H332" s="3" t="s">
        <v>155</v>
      </c>
      <c r="I332" s="3" t="s">
        <v>156</v>
      </c>
      <c r="J332" s="3" t="s">
        <v>157</v>
      </c>
      <c r="K332" s="32" t="s">
        <v>158</v>
      </c>
      <c r="L332" s="32" t="s">
        <v>158</v>
      </c>
      <c r="M332" s="3" t="str">
        <f t="shared" si="96"/>
        <v>Msr-Res-Refg-dKWH-Cond-500kWh</v>
      </c>
      <c r="N332" s="3" t="str">
        <f t="shared" si="89"/>
        <v>SFm&amp;1&amp;rNCEH&amp;Ex&amp;Ref_Storage__RefrigFrz</v>
      </c>
      <c r="O332" s="3" t="s">
        <v>50</v>
      </c>
      <c r="P332" s="3">
        <v>1</v>
      </c>
      <c r="Q332" s="3" t="s">
        <v>71</v>
      </c>
      <c r="R332" s="3" t="s">
        <v>52</v>
      </c>
      <c r="S332" s="3" t="str">
        <f t="shared" si="95"/>
        <v>No</v>
      </c>
      <c r="T332" s="3" t="str">
        <f t="shared" si="92"/>
        <v>Ref_Storage__RefrigFrz</v>
      </c>
      <c r="U332" s="3" t="str">
        <f t="shared" si="93"/>
        <v>Ref_Storage__RefrigFrz</v>
      </c>
      <c r="V332" s="3" t="s">
        <v>150</v>
      </c>
      <c r="W332" s="3" t="s">
        <v>151</v>
      </c>
      <c r="X332" s="3" t="s">
        <v>150</v>
      </c>
      <c r="Y332" s="3" t="s">
        <v>151</v>
      </c>
      <c r="Z332" s="3"/>
      <c r="AA332" s="3" t="s">
        <v>152</v>
      </c>
      <c r="AB332" s="3" t="s">
        <v>153</v>
      </c>
    </row>
    <row r="333" spans="1:28" x14ac:dyDescent="0.25">
      <c r="A333" s="3" t="s">
        <v>144</v>
      </c>
      <c r="B333" s="3" t="s">
        <v>10675</v>
      </c>
      <c r="C333" s="3" t="s">
        <v>10658</v>
      </c>
      <c r="D333" s="3" t="str">
        <f t="shared" si="98"/>
        <v>SWAP001-05 Refrigerator/Freezer_SFm</v>
      </c>
      <c r="E333" s="3"/>
      <c r="F333" s="3" t="s">
        <v>154</v>
      </c>
      <c r="G333" s="3" t="str">
        <f t="shared" si="97"/>
        <v>Res-Refg-dKWH-Cond</v>
      </c>
      <c r="H333" s="3" t="s">
        <v>155</v>
      </c>
      <c r="I333" s="3" t="s">
        <v>156</v>
      </c>
      <c r="J333" s="3" t="s">
        <v>157</v>
      </c>
      <c r="K333" s="32" t="s">
        <v>158</v>
      </c>
      <c r="L333" s="32" t="s">
        <v>158</v>
      </c>
      <c r="M333" s="3" t="str">
        <f t="shared" si="96"/>
        <v>Msr-Res-Refg-dKWH-Cond-500kWh</v>
      </c>
      <c r="N333" s="3" t="str">
        <f t="shared" si="89"/>
        <v>SFm&amp;2&amp;rNCEH&amp;Ex&amp;Ref_Storage__RefrigFrz</v>
      </c>
      <c r="O333" s="3" t="s">
        <v>50</v>
      </c>
      <c r="P333" s="3">
        <v>2</v>
      </c>
      <c r="Q333" s="3" t="s">
        <v>71</v>
      </c>
      <c r="R333" s="3" t="s">
        <v>52</v>
      </c>
      <c r="S333" s="3" t="str">
        <f t="shared" si="95"/>
        <v>No</v>
      </c>
      <c r="T333" s="3" t="str">
        <f t="shared" si="92"/>
        <v>Ref_Storage__RefrigFrz</v>
      </c>
      <c r="U333" s="3" t="str">
        <f t="shared" si="93"/>
        <v>Ref_Storage__RefrigFrz</v>
      </c>
      <c r="V333" s="3" t="s">
        <v>150</v>
      </c>
      <c r="W333" s="3" t="s">
        <v>151</v>
      </c>
      <c r="X333" s="3" t="s">
        <v>150</v>
      </c>
      <c r="Y333" s="3" t="s">
        <v>151</v>
      </c>
      <c r="Z333" s="3"/>
      <c r="AA333" s="3" t="s">
        <v>152</v>
      </c>
      <c r="AB333" s="3" t="s">
        <v>153</v>
      </c>
    </row>
    <row r="334" spans="1:28" x14ac:dyDescent="0.25">
      <c r="A334" s="3" t="s">
        <v>144</v>
      </c>
      <c r="B334" s="3" t="s">
        <v>10675</v>
      </c>
      <c r="C334" s="3" t="s">
        <v>10658</v>
      </c>
      <c r="D334" s="3" t="str">
        <f t="shared" si="98"/>
        <v>SWAP001-05 Refrigerator/Freezer_DMo</v>
      </c>
      <c r="E334" s="3"/>
      <c r="F334" s="3" t="s">
        <v>154</v>
      </c>
      <c r="G334" s="3" t="str">
        <f t="shared" si="97"/>
        <v>Res-Refg-dKWH-Cond</v>
      </c>
      <c r="H334" s="3" t="s">
        <v>155</v>
      </c>
      <c r="I334" s="3" t="s">
        <v>156</v>
      </c>
      <c r="J334" s="3" t="s">
        <v>157</v>
      </c>
      <c r="K334" s="32" t="s">
        <v>158</v>
      </c>
      <c r="L334" s="32" t="s">
        <v>158</v>
      </c>
      <c r="M334" s="3" t="str">
        <f t="shared" si="96"/>
        <v>Msr-Res-Refg-dKWH-Cond-500kWh</v>
      </c>
      <c r="N334" s="3" t="str">
        <f t="shared" si="89"/>
        <v>DMo&amp;0&amp;rNCEH&amp;Ex&amp;Ref_Storage__RefrigFrz</v>
      </c>
      <c r="O334" s="3" t="s">
        <v>62</v>
      </c>
      <c r="P334" s="3">
        <v>0</v>
      </c>
      <c r="Q334" s="3" t="s">
        <v>71</v>
      </c>
      <c r="R334" s="3" t="s">
        <v>52</v>
      </c>
      <c r="S334" s="3" t="str">
        <f t="shared" si="95"/>
        <v>No</v>
      </c>
      <c r="T334" s="3" t="str">
        <f t="shared" si="92"/>
        <v>Ref_Storage__RefrigFrz</v>
      </c>
      <c r="U334" s="3" t="str">
        <f t="shared" si="93"/>
        <v>Ref_Storage__RefrigFrz</v>
      </c>
      <c r="V334" s="3" t="s">
        <v>150</v>
      </c>
      <c r="W334" s="3" t="s">
        <v>151</v>
      </c>
      <c r="X334" s="3" t="s">
        <v>150</v>
      </c>
      <c r="Y334" s="3" t="s">
        <v>151</v>
      </c>
      <c r="Z334" s="3"/>
      <c r="AA334" s="3" t="s">
        <v>152</v>
      </c>
      <c r="AB334" s="3" t="s">
        <v>153</v>
      </c>
    </row>
    <row r="335" spans="1:28" x14ac:dyDescent="0.25">
      <c r="A335" s="3" t="s">
        <v>144</v>
      </c>
      <c r="B335" s="3" t="s">
        <v>10675</v>
      </c>
      <c r="C335" s="3" t="s">
        <v>10658</v>
      </c>
      <c r="D335" s="3" t="str">
        <f t="shared" si="98"/>
        <v>SWAP001-05 Refrigerator/Freezer_MFm</v>
      </c>
      <c r="E335" s="3"/>
      <c r="F335" s="3" t="s">
        <v>154</v>
      </c>
      <c r="G335" s="3" t="str">
        <f t="shared" si="97"/>
        <v>Res-Refg-dKWH-Cond</v>
      </c>
      <c r="H335" s="3" t="s">
        <v>155</v>
      </c>
      <c r="I335" s="3" t="s">
        <v>156</v>
      </c>
      <c r="J335" s="3" t="s">
        <v>157</v>
      </c>
      <c r="K335" s="32" t="s">
        <v>158</v>
      </c>
      <c r="L335" s="32" t="s">
        <v>158</v>
      </c>
      <c r="M335" s="3" t="str">
        <f t="shared" si="96"/>
        <v>Msr-Res-Refg-dKWH-Cond-500kWh</v>
      </c>
      <c r="N335" s="3" t="str">
        <f t="shared" si="89"/>
        <v>MFm&amp;0&amp;rNCEH&amp;Ex&amp;Ref_Storage__RefrigFrz</v>
      </c>
      <c r="O335" s="3" t="s">
        <v>63</v>
      </c>
      <c r="P335" s="3">
        <v>0</v>
      </c>
      <c r="Q335" s="3" t="s">
        <v>71</v>
      </c>
      <c r="R335" s="3" t="s">
        <v>52</v>
      </c>
      <c r="S335" s="3" t="str">
        <f t="shared" si="95"/>
        <v>No</v>
      </c>
      <c r="T335" s="3" t="str">
        <f t="shared" si="92"/>
        <v>Ref_Storage__RefrigFrz</v>
      </c>
      <c r="U335" s="3" t="str">
        <f t="shared" si="93"/>
        <v>Ref_Storage__RefrigFrz</v>
      </c>
      <c r="V335" s="3" t="s">
        <v>150</v>
      </c>
      <c r="W335" s="3" t="s">
        <v>151</v>
      </c>
      <c r="X335" s="3" t="s">
        <v>150</v>
      </c>
      <c r="Y335" s="3" t="s">
        <v>151</v>
      </c>
      <c r="Z335" s="3"/>
      <c r="AA335" s="3" t="s">
        <v>152</v>
      </c>
      <c r="AB335" s="3" t="s">
        <v>153</v>
      </c>
    </row>
    <row r="336" spans="1:28" x14ac:dyDescent="0.25">
      <c r="A336" s="3" t="s">
        <v>144</v>
      </c>
      <c r="B336" s="3" t="s">
        <v>10675</v>
      </c>
      <c r="C336" s="3" t="s">
        <v>10658</v>
      </c>
      <c r="D336" s="3" t="str">
        <f t="shared" si="98"/>
        <v>SWAP001-05 Refrigerator/Freezer_SFm</v>
      </c>
      <c r="E336" s="3"/>
      <c r="F336" s="3" t="s">
        <v>154</v>
      </c>
      <c r="G336" s="3" t="str">
        <f t="shared" si="97"/>
        <v>Res-Refg-dKWH-Cond</v>
      </c>
      <c r="H336" s="3" t="s">
        <v>155</v>
      </c>
      <c r="I336" s="3" t="s">
        <v>156</v>
      </c>
      <c r="J336" s="3" t="s">
        <v>157</v>
      </c>
      <c r="K336" s="32" t="s">
        <v>158</v>
      </c>
      <c r="L336" s="32" t="s">
        <v>158</v>
      </c>
      <c r="M336" s="3" t="str">
        <f t="shared" si="96"/>
        <v>Msr-Res-Refg-dKWH-Cond-500kWh</v>
      </c>
      <c r="N336" s="3" t="str">
        <f t="shared" si="89"/>
        <v>SFm&amp;1&amp;rNCEH&amp;New&amp;Ref_Storage__RefrigFrz</v>
      </c>
      <c r="O336" s="3" t="s">
        <v>50</v>
      </c>
      <c r="P336" s="3">
        <v>1</v>
      </c>
      <c r="Q336" s="3" t="s">
        <v>71</v>
      </c>
      <c r="R336" s="3" t="s">
        <v>107</v>
      </c>
      <c r="S336" s="3" t="str">
        <f t="shared" si="95"/>
        <v>No</v>
      </c>
      <c r="T336" s="3" t="str">
        <f t="shared" si="92"/>
        <v>Ref_Storage__RefrigFrz</v>
      </c>
      <c r="U336" s="3" t="str">
        <f t="shared" si="93"/>
        <v>Ref_Storage__RefrigFrz</v>
      </c>
      <c r="V336" s="3" t="s">
        <v>150</v>
      </c>
      <c r="W336" s="3" t="s">
        <v>151</v>
      </c>
      <c r="X336" s="3" t="s">
        <v>150</v>
      </c>
      <c r="Y336" s="3" t="s">
        <v>151</v>
      </c>
      <c r="Z336" s="3"/>
      <c r="AA336" s="3" t="s">
        <v>152</v>
      </c>
      <c r="AB336" s="3" t="s">
        <v>153</v>
      </c>
    </row>
    <row r="337" spans="1:28" x14ac:dyDescent="0.25">
      <c r="A337" s="3" t="s">
        <v>144</v>
      </c>
      <c r="B337" s="3" t="s">
        <v>10675</v>
      </c>
      <c r="C337" s="3" t="s">
        <v>10658</v>
      </c>
      <c r="D337" s="3" t="str">
        <f t="shared" si="98"/>
        <v>SWAP001-05 Refrigerator/Freezer_SFm</v>
      </c>
      <c r="E337" s="3"/>
      <c r="F337" s="3" t="s">
        <v>154</v>
      </c>
      <c r="G337" s="3" t="str">
        <f t="shared" si="97"/>
        <v>Res-Refg-dKWH-Cond</v>
      </c>
      <c r="H337" s="3" t="s">
        <v>155</v>
      </c>
      <c r="I337" s="3" t="s">
        <v>156</v>
      </c>
      <c r="J337" s="3" t="s">
        <v>157</v>
      </c>
      <c r="K337" s="32" t="s">
        <v>158</v>
      </c>
      <c r="L337" s="32" t="s">
        <v>158</v>
      </c>
      <c r="M337" s="3" t="str">
        <f t="shared" si="96"/>
        <v>Msr-Res-Refg-dKWH-Cond-500kWh</v>
      </c>
      <c r="N337" s="3" t="str">
        <f t="shared" si="89"/>
        <v>SFm&amp;2&amp;rNCEH&amp;New&amp;Ref_Storage__RefrigFrz</v>
      </c>
      <c r="O337" s="3" t="s">
        <v>50</v>
      </c>
      <c r="P337" s="3">
        <v>2</v>
      </c>
      <c r="Q337" s="3" t="s">
        <v>71</v>
      </c>
      <c r="R337" s="3" t="s">
        <v>107</v>
      </c>
      <c r="S337" s="3" t="str">
        <f t="shared" si="95"/>
        <v>No</v>
      </c>
      <c r="T337" s="3" t="str">
        <f t="shared" si="92"/>
        <v>Ref_Storage__RefrigFrz</v>
      </c>
      <c r="U337" s="3" t="str">
        <f t="shared" si="93"/>
        <v>Ref_Storage__RefrigFrz</v>
      </c>
      <c r="V337" s="3" t="s">
        <v>150</v>
      </c>
      <c r="W337" s="3" t="s">
        <v>151</v>
      </c>
      <c r="X337" s="3" t="s">
        <v>150</v>
      </c>
      <c r="Y337" s="3" t="s">
        <v>151</v>
      </c>
      <c r="Z337" s="3"/>
      <c r="AA337" s="3" t="s">
        <v>152</v>
      </c>
      <c r="AB337" s="3" t="s">
        <v>153</v>
      </c>
    </row>
    <row r="338" spans="1:28" x14ac:dyDescent="0.25">
      <c r="A338" s="3" t="s">
        <v>144</v>
      </c>
      <c r="B338" s="3" t="s">
        <v>10675</v>
      </c>
      <c r="C338" s="3" t="s">
        <v>10658</v>
      </c>
      <c r="D338" s="3" t="str">
        <f t="shared" si="98"/>
        <v>SWAP001-05 Refrigerator/Freezer_DMo</v>
      </c>
      <c r="E338" s="3"/>
      <c r="F338" s="3" t="s">
        <v>154</v>
      </c>
      <c r="G338" s="3" t="str">
        <f t="shared" si="97"/>
        <v>Res-Refg-dKWH-Cond</v>
      </c>
      <c r="H338" s="3" t="s">
        <v>155</v>
      </c>
      <c r="I338" s="3" t="s">
        <v>156</v>
      </c>
      <c r="J338" s="3" t="s">
        <v>157</v>
      </c>
      <c r="K338" s="32" t="s">
        <v>158</v>
      </c>
      <c r="L338" s="32" t="s">
        <v>158</v>
      </c>
      <c r="M338" s="3" t="str">
        <f t="shared" si="96"/>
        <v>Msr-Res-Refg-dKWH-Cond-500kWh</v>
      </c>
      <c r="N338" s="3" t="str">
        <f t="shared" si="89"/>
        <v>DMo&amp;0&amp;rNCEH&amp;New&amp;Ref_Storage__RefrigFrz</v>
      </c>
      <c r="O338" s="3" t="s">
        <v>62</v>
      </c>
      <c r="P338" s="3">
        <v>0</v>
      </c>
      <c r="Q338" s="3" t="s">
        <v>71</v>
      </c>
      <c r="R338" s="3" t="s">
        <v>107</v>
      </c>
      <c r="S338" s="3" t="str">
        <f t="shared" si="95"/>
        <v>No</v>
      </c>
      <c r="T338" s="3" t="str">
        <f t="shared" si="92"/>
        <v>Ref_Storage__RefrigFrz</v>
      </c>
      <c r="U338" s="3" t="str">
        <f t="shared" si="93"/>
        <v>Ref_Storage__RefrigFrz</v>
      </c>
      <c r="V338" s="3" t="s">
        <v>150</v>
      </c>
      <c r="W338" s="3" t="s">
        <v>151</v>
      </c>
      <c r="X338" s="3" t="s">
        <v>150</v>
      </c>
      <c r="Y338" s="3" t="s">
        <v>151</v>
      </c>
      <c r="Z338" s="3"/>
      <c r="AA338" s="3" t="s">
        <v>152</v>
      </c>
      <c r="AB338" s="3" t="s">
        <v>153</v>
      </c>
    </row>
    <row r="339" spans="1:28" x14ac:dyDescent="0.25">
      <c r="A339" s="3" t="s">
        <v>144</v>
      </c>
      <c r="B339" s="3" t="s">
        <v>10675</v>
      </c>
      <c r="C339" s="3" t="s">
        <v>10658</v>
      </c>
      <c r="D339" s="3" t="str">
        <f t="shared" si="98"/>
        <v>SWAP001-05 Refrigerator/Freezer_MFm</v>
      </c>
      <c r="E339" s="3"/>
      <c r="F339" s="3" t="s">
        <v>154</v>
      </c>
      <c r="G339" s="3" t="str">
        <f t="shared" si="97"/>
        <v>Res-Refg-dKWH-Cond</v>
      </c>
      <c r="H339" s="3" t="s">
        <v>155</v>
      </c>
      <c r="I339" s="3" t="s">
        <v>156</v>
      </c>
      <c r="J339" s="3" t="s">
        <v>157</v>
      </c>
      <c r="K339" s="32" t="s">
        <v>158</v>
      </c>
      <c r="L339" s="32" t="s">
        <v>158</v>
      </c>
      <c r="M339" s="3" t="str">
        <f t="shared" si="96"/>
        <v>Msr-Res-Refg-dKWH-Cond-500kWh</v>
      </c>
      <c r="N339" s="3" t="str">
        <f t="shared" si="89"/>
        <v>MFm&amp;0&amp;rNCEH&amp;New&amp;Ref_Storage__RefrigFrz</v>
      </c>
      <c r="O339" s="3" t="s">
        <v>63</v>
      </c>
      <c r="P339" s="3">
        <v>0</v>
      </c>
      <c r="Q339" s="3" t="s">
        <v>71</v>
      </c>
      <c r="R339" s="3" t="s">
        <v>107</v>
      </c>
      <c r="S339" s="3" t="str">
        <f t="shared" si="95"/>
        <v>No</v>
      </c>
      <c r="T339" s="3" t="str">
        <f t="shared" si="92"/>
        <v>Ref_Storage__RefrigFrz</v>
      </c>
      <c r="U339" s="3" t="str">
        <f t="shared" si="93"/>
        <v>Ref_Storage__RefrigFrz</v>
      </c>
      <c r="V339" s="3" t="s">
        <v>150</v>
      </c>
      <c r="W339" s="3" t="s">
        <v>151</v>
      </c>
      <c r="X339" s="3" t="s">
        <v>150</v>
      </c>
      <c r="Y339" s="3" t="s">
        <v>151</v>
      </c>
      <c r="Z339" s="3"/>
      <c r="AA339" s="3" t="s">
        <v>152</v>
      </c>
      <c r="AB339" s="3" t="s">
        <v>153</v>
      </c>
    </row>
    <row r="340" spans="1:28" x14ac:dyDescent="0.25">
      <c r="A340" s="3" t="s">
        <v>144</v>
      </c>
      <c r="B340" s="3" t="s">
        <v>10675</v>
      </c>
      <c r="C340" s="3" t="s">
        <v>10658</v>
      </c>
      <c r="D340" s="3" t="str">
        <f t="shared" si="98"/>
        <v>SWAP001-05 Refrigerator/Freezer_SFm</v>
      </c>
      <c r="E340" s="3"/>
      <c r="F340" s="3" t="s">
        <v>154</v>
      </c>
      <c r="G340" s="3" t="str">
        <f t="shared" si="97"/>
        <v>Res-Refg-dKWH-Cond</v>
      </c>
      <c r="H340" s="3" t="s">
        <v>155</v>
      </c>
      <c r="I340" s="3" t="s">
        <v>156</v>
      </c>
      <c r="J340" s="3" t="s">
        <v>157</v>
      </c>
      <c r="K340" s="32" t="s">
        <v>158</v>
      </c>
      <c r="L340" s="32" t="s">
        <v>158</v>
      </c>
      <c r="M340" s="3" t="str">
        <f t="shared" si="96"/>
        <v>Msr-Res-Refg-dKWH-Cond-500kWh</v>
      </c>
      <c r="N340" s="3" t="str">
        <f t="shared" si="89"/>
        <v>SFm&amp;1&amp;rNCGF&amp;Ex&amp;Ref_Storage__RefrigFrz</v>
      </c>
      <c r="O340" s="3" t="s">
        <v>50</v>
      </c>
      <c r="P340" s="3">
        <v>1</v>
      </c>
      <c r="Q340" s="3" t="s">
        <v>58</v>
      </c>
      <c r="R340" s="3" t="s">
        <v>52</v>
      </c>
      <c r="S340" s="3" t="str">
        <f t="shared" si="95"/>
        <v>No</v>
      </c>
      <c r="T340" s="3" t="str">
        <f t="shared" si="92"/>
        <v>Ref_Storage__RefrigFrz</v>
      </c>
      <c r="U340" s="3" t="str">
        <f t="shared" si="93"/>
        <v>Ref_Storage__RefrigFrz</v>
      </c>
      <c r="V340" s="3" t="s">
        <v>150</v>
      </c>
      <c r="W340" s="3" t="s">
        <v>151</v>
      </c>
      <c r="X340" s="3" t="s">
        <v>150</v>
      </c>
      <c r="Y340" s="3" t="s">
        <v>151</v>
      </c>
      <c r="Z340" s="3"/>
      <c r="AA340" s="3" t="s">
        <v>152</v>
      </c>
      <c r="AB340" s="3" t="s">
        <v>153</v>
      </c>
    </row>
    <row r="341" spans="1:28" x14ac:dyDescent="0.25">
      <c r="A341" s="3" t="s">
        <v>144</v>
      </c>
      <c r="B341" s="3" t="s">
        <v>10675</v>
      </c>
      <c r="C341" s="3" t="s">
        <v>10658</v>
      </c>
      <c r="D341" s="3" t="str">
        <f t="shared" si="98"/>
        <v>SWAP001-05 Refrigerator/Freezer_SFm</v>
      </c>
      <c r="E341" s="3"/>
      <c r="F341" s="3" t="s">
        <v>154</v>
      </c>
      <c r="G341" s="3" t="str">
        <f t="shared" si="97"/>
        <v>Res-Refg-dKWH-Cond</v>
      </c>
      <c r="H341" s="3" t="s">
        <v>155</v>
      </c>
      <c r="I341" s="3" t="s">
        <v>156</v>
      </c>
      <c r="J341" s="3" t="s">
        <v>157</v>
      </c>
      <c r="K341" s="32" t="s">
        <v>158</v>
      </c>
      <c r="L341" s="32" t="s">
        <v>158</v>
      </c>
      <c r="M341" s="3" t="str">
        <f t="shared" si="96"/>
        <v>Msr-Res-Refg-dKWH-Cond-500kWh</v>
      </c>
      <c r="N341" s="3" t="str">
        <f t="shared" si="89"/>
        <v>SFm&amp;2&amp;rNCGF&amp;Ex&amp;Ref_Storage__RefrigFrz</v>
      </c>
      <c r="O341" s="3" t="s">
        <v>50</v>
      </c>
      <c r="P341" s="3">
        <v>2</v>
      </c>
      <c r="Q341" s="3" t="s">
        <v>58</v>
      </c>
      <c r="R341" s="3" t="s">
        <v>52</v>
      </c>
      <c r="S341" s="3" t="str">
        <f t="shared" si="95"/>
        <v>No</v>
      </c>
      <c r="T341" s="3" t="str">
        <f t="shared" si="92"/>
        <v>Ref_Storage__RefrigFrz</v>
      </c>
      <c r="U341" s="3" t="str">
        <f t="shared" si="93"/>
        <v>Ref_Storage__RefrigFrz</v>
      </c>
      <c r="V341" s="3" t="s">
        <v>150</v>
      </c>
      <c r="W341" s="3" t="s">
        <v>151</v>
      </c>
      <c r="X341" s="3" t="s">
        <v>150</v>
      </c>
      <c r="Y341" s="3" t="s">
        <v>151</v>
      </c>
      <c r="Z341" s="3"/>
      <c r="AA341" s="3" t="s">
        <v>152</v>
      </c>
      <c r="AB341" s="3" t="s">
        <v>153</v>
      </c>
    </row>
    <row r="342" spans="1:28" x14ac:dyDescent="0.25">
      <c r="A342" s="3" t="s">
        <v>144</v>
      </c>
      <c r="B342" s="3" t="s">
        <v>10675</v>
      </c>
      <c r="C342" s="3" t="s">
        <v>10658</v>
      </c>
      <c r="D342" s="3" t="str">
        <f t="shared" si="98"/>
        <v>SWAP001-05 Refrigerator/Freezer_DMo</v>
      </c>
      <c r="E342" s="3"/>
      <c r="F342" s="3" t="s">
        <v>154</v>
      </c>
      <c r="G342" s="3" t="str">
        <f t="shared" si="97"/>
        <v>Res-Refg-dKWH-Cond</v>
      </c>
      <c r="H342" s="3" t="s">
        <v>155</v>
      </c>
      <c r="I342" s="3" t="s">
        <v>156</v>
      </c>
      <c r="J342" s="3" t="s">
        <v>157</v>
      </c>
      <c r="K342" s="32" t="s">
        <v>158</v>
      </c>
      <c r="L342" s="32" t="s">
        <v>158</v>
      </c>
      <c r="M342" s="3" t="str">
        <f t="shared" si="96"/>
        <v>Msr-Res-Refg-dKWH-Cond-500kWh</v>
      </c>
      <c r="N342" s="3" t="str">
        <f t="shared" si="89"/>
        <v>DMo&amp;0&amp;rNCGF&amp;Ex&amp;Ref_Storage__RefrigFrz</v>
      </c>
      <c r="O342" s="3" t="s">
        <v>62</v>
      </c>
      <c r="P342" s="3">
        <v>0</v>
      </c>
      <c r="Q342" s="3" t="s">
        <v>58</v>
      </c>
      <c r="R342" s="3" t="s">
        <v>52</v>
      </c>
      <c r="S342" s="3" t="str">
        <f t="shared" si="95"/>
        <v>No</v>
      </c>
      <c r="T342" s="3" t="str">
        <f t="shared" si="92"/>
        <v>Ref_Storage__RefrigFrz</v>
      </c>
      <c r="U342" s="3" t="str">
        <f t="shared" si="93"/>
        <v>Ref_Storage__RefrigFrz</v>
      </c>
      <c r="V342" s="3" t="s">
        <v>150</v>
      </c>
      <c r="W342" s="3" t="s">
        <v>151</v>
      </c>
      <c r="X342" s="3" t="s">
        <v>150</v>
      </c>
      <c r="Y342" s="3" t="s">
        <v>151</v>
      </c>
      <c r="Z342" s="3"/>
      <c r="AA342" s="3" t="s">
        <v>152</v>
      </c>
      <c r="AB342" s="3" t="s">
        <v>153</v>
      </c>
    </row>
    <row r="343" spans="1:28" x14ac:dyDescent="0.25">
      <c r="A343" s="3" t="s">
        <v>144</v>
      </c>
      <c r="B343" s="3" t="s">
        <v>10675</v>
      </c>
      <c r="C343" s="3" t="s">
        <v>10658</v>
      </c>
      <c r="D343" s="3" t="str">
        <f t="shared" si="98"/>
        <v>SWAP001-05 Refrigerator/Freezer_MFm</v>
      </c>
      <c r="E343" s="3"/>
      <c r="F343" s="3" t="s">
        <v>154</v>
      </c>
      <c r="G343" s="3" t="str">
        <f t="shared" si="97"/>
        <v>Res-Refg-dKWH-Cond</v>
      </c>
      <c r="H343" s="3" t="s">
        <v>155</v>
      </c>
      <c r="I343" s="3" t="s">
        <v>156</v>
      </c>
      <c r="J343" s="3" t="s">
        <v>157</v>
      </c>
      <c r="K343" s="32" t="s">
        <v>158</v>
      </c>
      <c r="L343" s="32" t="s">
        <v>158</v>
      </c>
      <c r="M343" s="3" t="str">
        <f t="shared" si="96"/>
        <v>Msr-Res-Refg-dKWH-Cond-500kWh</v>
      </c>
      <c r="N343" s="3" t="str">
        <f t="shared" si="89"/>
        <v>MFm&amp;0&amp;rNCGF&amp;Ex&amp;Ref_Storage__RefrigFrz</v>
      </c>
      <c r="O343" s="3" t="s">
        <v>63</v>
      </c>
      <c r="P343" s="3">
        <v>0</v>
      </c>
      <c r="Q343" s="3" t="s">
        <v>58</v>
      </c>
      <c r="R343" s="3" t="s">
        <v>52</v>
      </c>
      <c r="S343" s="3" t="str">
        <f t="shared" si="95"/>
        <v>No</v>
      </c>
      <c r="T343" s="3" t="str">
        <f t="shared" si="92"/>
        <v>Ref_Storage__RefrigFrz</v>
      </c>
      <c r="U343" s="3" t="str">
        <f t="shared" si="93"/>
        <v>Ref_Storage__RefrigFrz</v>
      </c>
      <c r="V343" s="3" t="s">
        <v>150</v>
      </c>
      <c r="W343" s="3" t="s">
        <v>151</v>
      </c>
      <c r="X343" s="3" t="s">
        <v>150</v>
      </c>
      <c r="Y343" s="3" t="s">
        <v>151</v>
      </c>
      <c r="Z343" s="3"/>
      <c r="AA343" s="3" t="s">
        <v>152</v>
      </c>
      <c r="AB343" s="3" t="s">
        <v>153</v>
      </c>
    </row>
    <row r="344" spans="1:28" x14ac:dyDescent="0.25">
      <c r="A344" s="3" t="s">
        <v>144</v>
      </c>
      <c r="B344" s="3" t="s">
        <v>10675</v>
      </c>
      <c r="C344" s="3" t="s">
        <v>10658</v>
      </c>
      <c r="D344" s="3" t="str">
        <f t="shared" si="98"/>
        <v>SWAP001-05 Refrigerator/Freezer_SFm</v>
      </c>
      <c r="E344" s="3"/>
      <c r="F344" s="3" t="s">
        <v>154</v>
      </c>
      <c r="G344" s="3" t="str">
        <f t="shared" si="97"/>
        <v>Res-Refg-dKWH-Cond</v>
      </c>
      <c r="H344" s="3" t="s">
        <v>155</v>
      </c>
      <c r="I344" s="3" t="s">
        <v>156</v>
      </c>
      <c r="J344" s="3" t="s">
        <v>157</v>
      </c>
      <c r="K344" s="32" t="s">
        <v>158</v>
      </c>
      <c r="L344" s="32" t="s">
        <v>158</v>
      </c>
      <c r="M344" s="3" t="str">
        <f t="shared" si="96"/>
        <v>Msr-Res-Refg-dKWH-Cond-500kWh</v>
      </c>
      <c r="N344" s="3" t="str">
        <f t="shared" si="89"/>
        <v>SFm&amp;1&amp;rNCGF&amp;New&amp;Ref_Storage__RefrigFrz</v>
      </c>
      <c r="O344" s="3" t="s">
        <v>50</v>
      </c>
      <c r="P344" s="3">
        <v>1</v>
      </c>
      <c r="Q344" s="3" t="s">
        <v>58</v>
      </c>
      <c r="R344" s="3" t="s">
        <v>107</v>
      </c>
      <c r="S344" s="3" t="str">
        <f t="shared" si="95"/>
        <v>No</v>
      </c>
      <c r="T344" s="3" t="str">
        <f t="shared" si="92"/>
        <v>Ref_Storage__RefrigFrz</v>
      </c>
      <c r="U344" s="3" t="str">
        <f t="shared" si="93"/>
        <v>Ref_Storage__RefrigFrz</v>
      </c>
      <c r="V344" s="3" t="s">
        <v>150</v>
      </c>
      <c r="W344" s="3" t="s">
        <v>151</v>
      </c>
      <c r="X344" s="3" t="s">
        <v>150</v>
      </c>
      <c r="Y344" s="3" t="s">
        <v>151</v>
      </c>
      <c r="Z344" s="3"/>
      <c r="AA344" s="3" t="s">
        <v>152</v>
      </c>
      <c r="AB344" s="3" t="s">
        <v>153</v>
      </c>
    </row>
    <row r="345" spans="1:28" x14ac:dyDescent="0.25">
      <c r="A345" s="3" t="s">
        <v>144</v>
      </c>
      <c r="B345" s="3" t="s">
        <v>10675</v>
      </c>
      <c r="C345" s="3" t="s">
        <v>10658</v>
      </c>
      <c r="D345" s="3" t="str">
        <f t="shared" si="98"/>
        <v>SWAP001-05 Refrigerator/Freezer_SFm</v>
      </c>
      <c r="E345" s="3"/>
      <c r="F345" s="3" t="s">
        <v>154</v>
      </c>
      <c r="G345" s="3" t="str">
        <f t="shared" si="97"/>
        <v>Res-Refg-dKWH-Cond</v>
      </c>
      <c r="H345" s="3" t="s">
        <v>155</v>
      </c>
      <c r="I345" s="3" t="s">
        <v>156</v>
      </c>
      <c r="J345" s="3" t="s">
        <v>157</v>
      </c>
      <c r="K345" s="32" t="s">
        <v>158</v>
      </c>
      <c r="L345" s="32" t="s">
        <v>158</v>
      </c>
      <c r="M345" s="3" t="str">
        <f t="shared" si="96"/>
        <v>Msr-Res-Refg-dKWH-Cond-500kWh</v>
      </c>
      <c r="N345" s="3" t="str">
        <f t="shared" si="89"/>
        <v>SFm&amp;2&amp;rNCGF&amp;New&amp;Ref_Storage__RefrigFrz</v>
      </c>
      <c r="O345" s="3" t="s">
        <v>50</v>
      </c>
      <c r="P345" s="3">
        <v>2</v>
      </c>
      <c r="Q345" s="3" t="s">
        <v>58</v>
      </c>
      <c r="R345" s="3" t="s">
        <v>107</v>
      </c>
      <c r="S345" s="3" t="str">
        <f t="shared" si="95"/>
        <v>No</v>
      </c>
      <c r="T345" s="3" t="str">
        <f t="shared" si="92"/>
        <v>Ref_Storage__RefrigFrz</v>
      </c>
      <c r="U345" s="3" t="str">
        <f t="shared" si="93"/>
        <v>Ref_Storage__RefrigFrz</v>
      </c>
      <c r="V345" s="3" t="s">
        <v>150</v>
      </c>
      <c r="W345" s="3" t="s">
        <v>151</v>
      </c>
      <c r="X345" s="3" t="s">
        <v>150</v>
      </c>
      <c r="Y345" s="3" t="s">
        <v>151</v>
      </c>
      <c r="Z345" s="3"/>
      <c r="AA345" s="3" t="s">
        <v>152</v>
      </c>
      <c r="AB345" s="3" t="s">
        <v>153</v>
      </c>
    </row>
    <row r="346" spans="1:28" x14ac:dyDescent="0.25">
      <c r="A346" s="3" t="s">
        <v>144</v>
      </c>
      <c r="B346" s="3" t="s">
        <v>10675</v>
      </c>
      <c r="C346" s="3" t="s">
        <v>10658</v>
      </c>
      <c r="D346" s="3" t="str">
        <f t="shared" si="98"/>
        <v>SWAP001-05 Refrigerator/Freezer_DMo</v>
      </c>
      <c r="E346" s="3"/>
      <c r="F346" s="3" t="s">
        <v>154</v>
      </c>
      <c r="G346" s="3" t="str">
        <f t="shared" si="97"/>
        <v>Res-Refg-dKWH-Cond</v>
      </c>
      <c r="H346" s="3" t="s">
        <v>155</v>
      </c>
      <c r="I346" s="3" t="s">
        <v>156</v>
      </c>
      <c r="J346" s="3" t="s">
        <v>157</v>
      </c>
      <c r="K346" s="32" t="s">
        <v>158</v>
      </c>
      <c r="L346" s="32" t="s">
        <v>158</v>
      </c>
      <c r="M346" s="3" t="str">
        <f t="shared" si="96"/>
        <v>Msr-Res-Refg-dKWH-Cond-500kWh</v>
      </c>
      <c r="N346" s="3" t="str">
        <f t="shared" si="89"/>
        <v>DMo&amp;0&amp;rNCGF&amp;New&amp;Ref_Storage__RefrigFrz</v>
      </c>
      <c r="O346" s="3" t="s">
        <v>62</v>
      </c>
      <c r="P346" s="3">
        <v>0</v>
      </c>
      <c r="Q346" s="3" t="s">
        <v>58</v>
      </c>
      <c r="R346" s="3" t="s">
        <v>107</v>
      </c>
      <c r="S346" s="3" t="str">
        <f t="shared" si="95"/>
        <v>No</v>
      </c>
      <c r="T346" s="3" t="str">
        <f t="shared" si="92"/>
        <v>Ref_Storage__RefrigFrz</v>
      </c>
      <c r="U346" s="3" t="str">
        <f t="shared" si="93"/>
        <v>Ref_Storage__RefrigFrz</v>
      </c>
      <c r="V346" s="3" t="s">
        <v>150</v>
      </c>
      <c r="W346" s="3" t="s">
        <v>151</v>
      </c>
      <c r="X346" s="3" t="s">
        <v>150</v>
      </c>
      <c r="Y346" s="3" t="s">
        <v>151</v>
      </c>
      <c r="Z346" s="3"/>
      <c r="AA346" s="3" t="s">
        <v>152</v>
      </c>
      <c r="AB346" s="3" t="s">
        <v>153</v>
      </c>
    </row>
    <row r="347" spans="1:28" x14ac:dyDescent="0.25">
      <c r="A347" s="3" t="s">
        <v>144</v>
      </c>
      <c r="B347" s="3" t="s">
        <v>10675</v>
      </c>
      <c r="C347" s="3" t="s">
        <v>10658</v>
      </c>
      <c r="D347" s="3" t="str">
        <f t="shared" si="98"/>
        <v>SWAP001-05 Refrigerator/Freezer_MFm</v>
      </c>
      <c r="E347" s="3"/>
      <c r="F347" s="3" t="s">
        <v>154</v>
      </c>
      <c r="G347" s="3" t="str">
        <f t="shared" si="97"/>
        <v>Res-Refg-dKWH-Cond</v>
      </c>
      <c r="H347" s="3" t="s">
        <v>155</v>
      </c>
      <c r="I347" s="3" t="s">
        <v>156</v>
      </c>
      <c r="J347" s="3" t="s">
        <v>157</v>
      </c>
      <c r="K347" s="32" t="s">
        <v>158</v>
      </c>
      <c r="L347" s="32" t="s">
        <v>158</v>
      </c>
      <c r="M347" s="3" t="str">
        <f t="shared" si="96"/>
        <v>Msr-Res-Refg-dKWH-Cond-500kWh</v>
      </c>
      <c r="N347" s="3" t="str">
        <f t="shared" si="89"/>
        <v>MFm&amp;0&amp;rNCGF&amp;New&amp;Ref_Storage__RefrigFrz</v>
      </c>
      <c r="O347" s="3" t="s">
        <v>63</v>
      </c>
      <c r="P347" s="3">
        <v>0</v>
      </c>
      <c r="Q347" s="3" t="s">
        <v>58</v>
      </c>
      <c r="R347" s="3" t="s">
        <v>107</v>
      </c>
      <c r="S347" s="3" t="str">
        <f t="shared" si="95"/>
        <v>No</v>
      </c>
      <c r="T347" s="3" t="str">
        <f t="shared" si="92"/>
        <v>Ref_Storage__RefrigFrz</v>
      </c>
      <c r="U347" s="3" t="str">
        <f t="shared" si="93"/>
        <v>Ref_Storage__RefrigFrz</v>
      </c>
      <c r="V347" s="3" t="s">
        <v>150</v>
      </c>
      <c r="W347" s="3" t="s">
        <v>151</v>
      </c>
      <c r="X347" s="3" t="s">
        <v>150</v>
      </c>
      <c r="Y347" s="3" t="s">
        <v>151</v>
      </c>
      <c r="Z347" s="3"/>
      <c r="AA347" s="3" t="s">
        <v>152</v>
      </c>
      <c r="AB347" s="3" t="s">
        <v>153</v>
      </c>
    </row>
    <row r="348" spans="1:28" x14ac:dyDescent="0.25">
      <c r="A348" t="s">
        <v>159</v>
      </c>
      <c r="B348" s="3" t="s">
        <v>10675</v>
      </c>
      <c r="C348" t="s">
        <v>10661</v>
      </c>
      <c r="D348" s="3" t="str">
        <f t="shared" si="98"/>
        <v>SWHC030-03 Whole House Fan_SFm</v>
      </c>
      <c r="E348" s="3"/>
      <c r="F348" t="s">
        <v>160</v>
      </c>
      <c r="G348" t="s">
        <v>161</v>
      </c>
      <c r="H348" t="s">
        <v>162</v>
      </c>
      <c r="J348" t="s">
        <v>163</v>
      </c>
      <c r="K348" t="str">
        <f>H348</f>
        <v>Pre-SFm-NatVent</v>
      </c>
      <c r="M348" t="str">
        <f>J348</f>
        <v>Msr-SFm-WholeHouseFan-0.7CFM-ECM</v>
      </c>
      <c r="N348" t="str">
        <f t="shared" ref="N348:N363" si="99">IF(S348="No", O348&amp;"&amp;"&amp;P348&amp;"&amp;"&amp;Q348&amp;"&amp;"&amp;R348&amp;"&amp;"&amp;T348,   O348&amp;"&amp;"&amp;P348&amp;"&amp;"&amp;Q348&amp;"&amp;"&amp;R348&amp;"&amp;"&amp;T348&amp;"&amp;"&amp;U348)</f>
        <v>SFm&amp;1&amp;rDXGF&amp;Ex&amp;HV_Tech__WHFan</v>
      </c>
      <c r="O348" t="s">
        <v>50</v>
      </c>
      <c r="P348">
        <v>1</v>
      </c>
      <c r="Q348" t="s">
        <v>51</v>
      </c>
      <c r="R348" t="s">
        <v>52</v>
      </c>
      <c r="S348" s="3" t="str">
        <f t="shared" si="95"/>
        <v>No</v>
      </c>
      <c r="T348" t="str">
        <f t="shared" si="92"/>
        <v>HV_Tech__WHFan</v>
      </c>
      <c r="U348" t="str">
        <f t="shared" si="93"/>
        <v>HV_Tech__WHFan</v>
      </c>
      <c r="V348" t="s">
        <v>164</v>
      </c>
      <c r="W348" t="s">
        <v>165</v>
      </c>
      <c r="X348" t="s">
        <v>164</v>
      </c>
      <c r="Y348" t="s">
        <v>165</v>
      </c>
      <c r="AA348" t="s">
        <v>166</v>
      </c>
      <c r="AB348" s="3" t="s">
        <v>167</v>
      </c>
    </row>
    <row r="349" spans="1:28" x14ac:dyDescent="0.25">
      <c r="A349" t="s">
        <v>159</v>
      </c>
      <c r="B349" s="3" t="s">
        <v>10675</v>
      </c>
      <c r="C349" t="s">
        <v>10661</v>
      </c>
      <c r="D349" s="3" t="str">
        <f t="shared" si="98"/>
        <v>SWHC030-03 Whole House Fan_SFm</v>
      </c>
      <c r="E349" s="3"/>
      <c r="F349" t="s">
        <v>160</v>
      </c>
      <c r="G349" t="s">
        <v>161</v>
      </c>
      <c r="H349" t="s">
        <v>162</v>
      </c>
      <c r="J349" t="s">
        <v>163</v>
      </c>
      <c r="K349" t="str">
        <f t="shared" ref="K349:K363" si="100">H349</f>
        <v>Pre-SFm-NatVent</v>
      </c>
      <c r="M349" t="str">
        <f t="shared" ref="M349:M363" si="101">J349</f>
        <v>Msr-SFm-WholeHouseFan-0.7CFM-ECM</v>
      </c>
      <c r="N349" t="str">
        <f t="shared" si="99"/>
        <v>SFm&amp;2&amp;rDXGF&amp;Ex&amp;HV_Tech__WHFan</v>
      </c>
      <c r="O349" t="s">
        <v>50</v>
      </c>
      <c r="P349">
        <v>2</v>
      </c>
      <c r="Q349" t="s">
        <v>51</v>
      </c>
      <c r="R349" t="s">
        <v>52</v>
      </c>
      <c r="S349" s="3" t="str">
        <f t="shared" si="95"/>
        <v>No</v>
      </c>
      <c r="T349" t="str">
        <f t="shared" ref="T349:T363" si="102">V349&amp;"__"&amp;W349</f>
        <v>HV_Tech__WHFan</v>
      </c>
      <c r="U349" t="str">
        <f t="shared" ref="U349:U363" si="103">X349&amp;"__"&amp;Y349</f>
        <v>HV_Tech__WHFan</v>
      </c>
      <c r="V349" t="s">
        <v>164</v>
      </c>
      <c r="W349" t="s">
        <v>165</v>
      </c>
      <c r="X349" t="s">
        <v>164</v>
      </c>
      <c r="Y349" t="s">
        <v>165</v>
      </c>
      <c r="AA349" t="s">
        <v>166</v>
      </c>
      <c r="AB349" s="3" t="s">
        <v>167</v>
      </c>
    </row>
    <row r="350" spans="1:28" x14ac:dyDescent="0.25">
      <c r="A350" t="s">
        <v>159</v>
      </c>
      <c r="B350" s="3" t="s">
        <v>10675</v>
      </c>
      <c r="C350" t="s">
        <v>10661</v>
      </c>
      <c r="D350" s="3" t="str">
        <f t="shared" si="98"/>
        <v>SWHC030-03 Whole House Fan_SFm</v>
      </c>
      <c r="E350" s="3"/>
      <c r="F350" t="s">
        <v>168</v>
      </c>
      <c r="G350" t="s">
        <v>169</v>
      </c>
      <c r="H350" t="s">
        <v>162</v>
      </c>
      <c r="J350" t="s">
        <v>170</v>
      </c>
      <c r="K350" t="str">
        <f t="shared" si="100"/>
        <v>Pre-SFm-NatVent</v>
      </c>
      <c r="M350" t="str">
        <f t="shared" si="101"/>
        <v>Msr-SFm-WholeHouseFan-0.7CFM-PSC</v>
      </c>
      <c r="N350" t="str">
        <f t="shared" si="99"/>
        <v>SFm&amp;1&amp;rDXGF&amp;Ex&amp;HV_Tech__WHFan</v>
      </c>
      <c r="O350" t="s">
        <v>50</v>
      </c>
      <c r="P350">
        <v>1</v>
      </c>
      <c r="Q350" t="s">
        <v>51</v>
      </c>
      <c r="R350" t="s">
        <v>52</v>
      </c>
      <c r="S350" s="3" t="str">
        <f t="shared" si="95"/>
        <v>No</v>
      </c>
      <c r="T350" t="str">
        <f t="shared" si="102"/>
        <v>HV_Tech__WHFan</v>
      </c>
      <c r="U350" t="str">
        <f t="shared" si="103"/>
        <v>HV_Tech__WHFan</v>
      </c>
      <c r="V350" t="s">
        <v>164</v>
      </c>
      <c r="W350" t="s">
        <v>165</v>
      </c>
      <c r="X350" t="s">
        <v>164</v>
      </c>
      <c r="Y350" t="s">
        <v>165</v>
      </c>
      <c r="AA350" t="s">
        <v>166</v>
      </c>
      <c r="AB350" s="3" t="s">
        <v>167</v>
      </c>
    </row>
    <row r="351" spans="1:28" x14ac:dyDescent="0.25">
      <c r="A351" t="s">
        <v>159</v>
      </c>
      <c r="B351" s="3" t="s">
        <v>10675</v>
      </c>
      <c r="C351" t="s">
        <v>10661</v>
      </c>
      <c r="D351" s="3" t="str">
        <f t="shared" si="98"/>
        <v>SWHC030-03 Whole House Fan_SFm</v>
      </c>
      <c r="E351" s="3"/>
      <c r="F351" t="s">
        <v>168</v>
      </c>
      <c r="G351" t="s">
        <v>169</v>
      </c>
      <c r="H351" t="s">
        <v>162</v>
      </c>
      <c r="J351" t="s">
        <v>170</v>
      </c>
      <c r="K351" t="str">
        <f t="shared" si="100"/>
        <v>Pre-SFm-NatVent</v>
      </c>
      <c r="M351" t="str">
        <f t="shared" si="101"/>
        <v>Msr-SFm-WholeHouseFan-0.7CFM-PSC</v>
      </c>
      <c r="N351" t="str">
        <f t="shared" si="99"/>
        <v>SFm&amp;2&amp;rDXGF&amp;Ex&amp;HV_Tech__WHFan</v>
      </c>
      <c r="O351" t="s">
        <v>50</v>
      </c>
      <c r="P351">
        <v>2</v>
      </c>
      <c r="Q351" t="s">
        <v>51</v>
      </c>
      <c r="R351" t="s">
        <v>52</v>
      </c>
      <c r="S351" s="3" t="str">
        <f t="shared" si="95"/>
        <v>No</v>
      </c>
      <c r="T351" t="str">
        <f t="shared" si="102"/>
        <v>HV_Tech__WHFan</v>
      </c>
      <c r="U351" t="str">
        <f t="shared" si="103"/>
        <v>HV_Tech__WHFan</v>
      </c>
      <c r="V351" t="s">
        <v>164</v>
      </c>
      <c r="W351" t="s">
        <v>165</v>
      </c>
      <c r="X351" t="s">
        <v>164</v>
      </c>
      <c r="Y351" t="s">
        <v>165</v>
      </c>
      <c r="AA351" t="s">
        <v>166</v>
      </c>
      <c r="AB351" s="3" t="s">
        <v>167</v>
      </c>
    </row>
    <row r="352" spans="1:28" x14ac:dyDescent="0.25">
      <c r="A352" t="s">
        <v>159</v>
      </c>
      <c r="B352" s="3" t="s">
        <v>10675</v>
      </c>
      <c r="C352" t="s">
        <v>10661</v>
      </c>
      <c r="D352" s="3" t="str">
        <f t="shared" si="98"/>
        <v>SWHC030-03 Whole House Fan_SFm</v>
      </c>
      <c r="E352" s="3"/>
      <c r="F352" t="s">
        <v>171</v>
      </c>
      <c r="G352" t="s">
        <v>172</v>
      </c>
      <c r="H352" t="s">
        <v>162</v>
      </c>
      <c r="J352" t="s">
        <v>173</v>
      </c>
      <c r="K352" t="str">
        <f t="shared" si="100"/>
        <v>Pre-SFm-NatVent</v>
      </c>
      <c r="M352" t="str">
        <f t="shared" si="101"/>
        <v>Msr-SFm-WholeHouseFan-1.5CFM-ECM</v>
      </c>
      <c r="N352" t="str">
        <f t="shared" si="99"/>
        <v>SFm&amp;1&amp;rDXGF&amp;Ex&amp;HV_Tech__WHFan</v>
      </c>
      <c r="O352" t="s">
        <v>50</v>
      </c>
      <c r="P352">
        <v>1</v>
      </c>
      <c r="Q352" t="s">
        <v>51</v>
      </c>
      <c r="R352" t="s">
        <v>52</v>
      </c>
      <c r="S352" s="3" t="str">
        <f t="shared" si="95"/>
        <v>No</v>
      </c>
      <c r="T352" t="str">
        <f t="shared" si="102"/>
        <v>HV_Tech__WHFan</v>
      </c>
      <c r="U352" t="str">
        <f t="shared" si="103"/>
        <v>HV_Tech__WHFan</v>
      </c>
      <c r="V352" t="s">
        <v>164</v>
      </c>
      <c r="W352" t="s">
        <v>165</v>
      </c>
      <c r="X352" t="s">
        <v>164</v>
      </c>
      <c r="Y352" t="s">
        <v>165</v>
      </c>
      <c r="AA352" t="s">
        <v>166</v>
      </c>
      <c r="AB352" s="3" t="s">
        <v>167</v>
      </c>
    </row>
    <row r="353" spans="1:28" x14ac:dyDescent="0.25">
      <c r="A353" t="s">
        <v>159</v>
      </c>
      <c r="B353" s="3" t="s">
        <v>10675</v>
      </c>
      <c r="C353" t="s">
        <v>10661</v>
      </c>
      <c r="D353" s="3" t="str">
        <f t="shared" si="98"/>
        <v>SWHC030-03 Whole House Fan_SFm</v>
      </c>
      <c r="E353" s="3"/>
      <c r="F353" t="s">
        <v>171</v>
      </c>
      <c r="G353" t="s">
        <v>172</v>
      </c>
      <c r="H353" t="s">
        <v>162</v>
      </c>
      <c r="J353" t="s">
        <v>173</v>
      </c>
      <c r="K353" t="str">
        <f t="shared" si="100"/>
        <v>Pre-SFm-NatVent</v>
      </c>
      <c r="M353" t="str">
        <f t="shared" si="101"/>
        <v>Msr-SFm-WholeHouseFan-1.5CFM-ECM</v>
      </c>
      <c r="N353" t="str">
        <f t="shared" si="99"/>
        <v>SFm&amp;2&amp;rDXGF&amp;Ex&amp;HV_Tech__WHFan</v>
      </c>
      <c r="O353" t="s">
        <v>50</v>
      </c>
      <c r="P353">
        <v>2</v>
      </c>
      <c r="Q353" t="s">
        <v>51</v>
      </c>
      <c r="R353" t="s">
        <v>52</v>
      </c>
      <c r="S353" s="3" t="str">
        <f t="shared" si="95"/>
        <v>No</v>
      </c>
      <c r="T353" t="str">
        <f t="shared" si="102"/>
        <v>HV_Tech__WHFan</v>
      </c>
      <c r="U353" t="str">
        <f t="shared" si="103"/>
        <v>HV_Tech__WHFan</v>
      </c>
      <c r="V353" t="s">
        <v>164</v>
      </c>
      <c r="W353" t="s">
        <v>165</v>
      </c>
      <c r="X353" t="s">
        <v>164</v>
      </c>
      <c r="Y353" t="s">
        <v>165</v>
      </c>
      <c r="AA353" t="s">
        <v>166</v>
      </c>
      <c r="AB353" s="3" t="s">
        <v>167</v>
      </c>
    </row>
    <row r="354" spans="1:28" x14ac:dyDescent="0.25">
      <c r="A354" t="s">
        <v>159</v>
      </c>
      <c r="B354" s="3" t="s">
        <v>10675</v>
      </c>
      <c r="C354" t="s">
        <v>10661</v>
      </c>
      <c r="D354" s="3" t="str">
        <f t="shared" si="98"/>
        <v>SWHC030-03 Whole House Fan_SFm</v>
      </c>
      <c r="E354" s="3"/>
      <c r="F354" t="s">
        <v>174</v>
      </c>
      <c r="G354" t="s">
        <v>175</v>
      </c>
      <c r="H354" t="s">
        <v>162</v>
      </c>
      <c r="J354" t="s">
        <v>176</v>
      </c>
      <c r="K354" t="str">
        <f t="shared" si="100"/>
        <v>Pre-SFm-NatVent</v>
      </c>
      <c r="M354" t="str">
        <f t="shared" si="101"/>
        <v>Msr-SFm-WholeHouseFan-1.5CFM-PSC</v>
      </c>
      <c r="N354" t="str">
        <f t="shared" si="99"/>
        <v>SFm&amp;1&amp;rDXGF&amp;Ex&amp;HV_Tech__WHFan</v>
      </c>
      <c r="O354" t="s">
        <v>50</v>
      </c>
      <c r="P354">
        <v>1</v>
      </c>
      <c r="Q354" t="s">
        <v>51</v>
      </c>
      <c r="R354" t="s">
        <v>52</v>
      </c>
      <c r="S354" s="3" t="str">
        <f t="shared" si="95"/>
        <v>No</v>
      </c>
      <c r="T354" t="str">
        <f t="shared" si="102"/>
        <v>HV_Tech__WHFan</v>
      </c>
      <c r="U354" t="str">
        <f t="shared" si="103"/>
        <v>HV_Tech__WHFan</v>
      </c>
      <c r="V354" t="s">
        <v>164</v>
      </c>
      <c r="W354" t="s">
        <v>165</v>
      </c>
      <c r="X354" t="s">
        <v>164</v>
      </c>
      <c r="Y354" t="s">
        <v>165</v>
      </c>
      <c r="AA354" t="s">
        <v>166</v>
      </c>
      <c r="AB354" s="3" t="s">
        <v>167</v>
      </c>
    </row>
    <row r="355" spans="1:28" x14ac:dyDescent="0.25">
      <c r="A355" t="s">
        <v>159</v>
      </c>
      <c r="B355" s="3" t="s">
        <v>10675</v>
      </c>
      <c r="C355" t="s">
        <v>10661</v>
      </c>
      <c r="D355" s="3" t="str">
        <f t="shared" si="98"/>
        <v>SWHC030-03 Whole House Fan_SFm</v>
      </c>
      <c r="E355" s="3"/>
      <c r="F355" t="s">
        <v>174</v>
      </c>
      <c r="G355" t="s">
        <v>175</v>
      </c>
      <c r="H355" t="s">
        <v>162</v>
      </c>
      <c r="J355" t="s">
        <v>176</v>
      </c>
      <c r="K355" t="str">
        <f t="shared" si="100"/>
        <v>Pre-SFm-NatVent</v>
      </c>
      <c r="M355" t="str">
        <f t="shared" si="101"/>
        <v>Msr-SFm-WholeHouseFan-1.5CFM-PSC</v>
      </c>
      <c r="N355" t="str">
        <f t="shared" si="99"/>
        <v>SFm&amp;2&amp;rDXGF&amp;Ex&amp;HV_Tech__WHFan</v>
      </c>
      <c r="O355" t="s">
        <v>50</v>
      </c>
      <c r="P355">
        <v>2</v>
      </c>
      <c r="Q355" t="s">
        <v>51</v>
      </c>
      <c r="R355" t="s">
        <v>52</v>
      </c>
      <c r="S355" s="3" t="str">
        <f t="shared" si="95"/>
        <v>No</v>
      </c>
      <c r="T355" t="str">
        <f t="shared" si="102"/>
        <v>HV_Tech__WHFan</v>
      </c>
      <c r="U355" t="str">
        <f t="shared" si="103"/>
        <v>HV_Tech__WHFan</v>
      </c>
      <c r="V355" t="s">
        <v>164</v>
      </c>
      <c r="W355" t="s">
        <v>165</v>
      </c>
      <c r="X355" t="s">
        <v>164</v>
      </c>
      <c r="Y355" t="s">
        <v>165</v>
      </c>
      <c r="AA355" t="s">
        <v>166</v>
      </c>
      <c r="AB355" s="3" t="s">
        <v>167</v>
      </c>
    </row>
    <row r="356" spans="1:28" x14ac:dyDescent="0.25">
      <c r="A356" t="s">
        <v>159</v>
      </c>
      <c r="B356" s="3" t="s">
        <v>10675</v>
      </c>
      <c r="C356" t="s">
        <v>10661</v>
      </c>
      <c r="D356" s="3" t="str">
        <f t="shared" si="98"/>
        <v>SWHC030-03 Whole House Fan_SFm</v>
      </c>
      <c r="E356" s="3"/>
      <c r="F356" t="s">
        <v>177</v>
      </c>
      <c r="G356" t="s">
        <v>178</v>
      </c>
      <c r="H356" t="s">
        <v>162</v>
      </c>
      <c r="J356" t="s">
        <v>179</v>
      </c>
      <c r="K356" t="str">
        <f t="shared" si="100"/>
        <v>Pre-SFm-NatVent</v>
      </c>
      <c r="M356" t="str">
        <f t="shared" si="101"/>
        <v>Msr-SFm-WholeHouseFan-2.0CFM-ECM</v>
      </c>
      <c r="N356" t="str">
        <f t="shared" si="99"/>
        <v>SFm&amp;1&amp;rDXGF&amp;Ex&amp;HV_Tech__WHFan</v>
      </c>
      <c r="O356" t="s">
        <v>50</v>
      </c>
      <c r="P356">
        <v>1</v>
      </c>
      <c r="Q356" t="s">
        <v>51</v>
      </c>
      <c r="R356" t="s">
        <v>52</v>
      </c>
      <c r="S356" s="3" t="str">
        <f t="shared" si="95"/>
        <v>No</v>
      </c>
      <c r="T356" t="str">
        <f t="shared" si="102"/>
        <v>HV_Tech__WHFan</v>
      </c>
      <c r="U356" t="str">
        <f t="shared" si="103"/>
        <v>HV_Tech__WHFan</v>
      </c>
      <c r="V356" t="s">
        <v>164</v>
      </c>
      <c r="W356" t="s">
        <v>165</v>
      </c>
      <c r="X356" t="s">
        <v>164</v>
      </c>
      <c r="Y356" t="s">
        <v>165</v>
      </c>
      <c r="AA356" t="s">
        <v>166</v>
      </c>
      <c r="AB356" s="3" t="s">
        <v>167</v>
      </c>
    </row>
    <row r="357" spans="1:28" x14ac:dyDescent="0.25">
      <c r="A357" t="s">
        <v>159</v>
      </c>
      <c r="B357" s="3" t="s">
        <v>10675</v>
      </c>
      <c r="C357" t="s">
        <v>10661</v>
      </c>
      <c r="D357" s="3" t="str">
        <f t="shared" si="98"/>
        <v>SWHC030-03 Whole House Fan_SFm</v>
      </c>
      <c r="E357" s="3"/>
      <c r="F357" t="s">
        <v>177</v>
      </c>
      <c r="G357" t="s">
        <v>178</v>
      </c>
      <c r="H357" t="s">
        <v>162</v>
      </c>
      <c r="J357" t="s">
        <v>179</v>
      </c>
      <c r="K357" t="str">
        <f t="shared" si="100"/>
        <v>Pre-SFm-NatVent</v>
      </c>
      <c r="M357" t="str">
        <f t="shared" si="101"/>
        <v>Msr-SFm-WholeHouseFan-2.0CFM-ECM</v>
      </c>
      <c r="N357" t="str">
        <f t="shared" si="99"/>
        <v>SFm&amp;2&amp;rDXGF&amp;Ex&amp;HV_Tech__WHFan</v>
      </c>
      <c r="O357" t="s">
        <v>50</v>
      </c>
      <c r="P357">
        <v>2</v>
      </c>
      <c r="Q357" t="s">
        <v>51</v>
      </c>
      <c r="R357" t="s">
        <v>52</v>
      </c>
      <c r="S357" s="3" t="str">
        <f t="shared" si="95"/>
        <v>No</v>
      </c>
      <c r="T357" t="str">
        <f t="shared" si="102"/>
        <v>HV_Tech__WHFan</v>
      </c>
      <c r="U357" t="str">
        <f t="shared" si="103"/>
        <v>HV_Tech__WHFan</v>
      </c>
      <c r="V357" t="s">
        <v>164</v>
      </c>
      <c r="W357" t="s">
        <v>165</v>
      </c>
      <c r="X357" t="s">
        <v>164</v>
      </c>
      <c r="Y357" t="s">
        <v>165</v>
      </c>
      <c r="AA357" t="s">
        <v>166</v>
      </c>
      <c r="AB357" s="3" t="s">
        <v>167</v>
      </c>
    </row>
    <row r="358" spans="1:28" x14ac:dyDescent="0.25">
      <c r="A358" t="s">
        <v>159</v>
      </c>
      <c r="B358" s="3" t="s">
        <v>10675</v>
      </c>
      <c r="C358" t="s">
        <v>10661</v>
      </c>
      <c r="D358" s="3" t="str">
        <f t="shared" si="98"/>
        <v>SWHC030-03 Whole House Fan_SFm</v>
      </c>
      <c r="E358" s="3"/>
      <c r="F358" t="s">
        <v>180</v>
      </c>
      <c r="G358" t="s">
        <v>181</v>
      </c>
      <c r="H358" t="s">
        <v>162</v>
      </c>
      <c r="J358" t="s">
        <v>182</v>
      </c>
      <c r="K358" t="str">
        <f t="shared" si="100"/>
        <v>Pre-SFm-NatVent</v>
      </c>
      <c r="M358" t="str">
        <f t="shared" si="101"/>
        <v>Msr-SFm-WholeHouseFan-2.0CFM-PSC</v>
      </c>
      <c r="N358" t="str">
        <f t="shared" si="99"/>
        <v>SFm&amp;1&amp;rDXGF&amp;Ex&amp;HV_Tech__WHFan</v>
      </c>
      <c r="O358" t="s">
        <v>50</v>
      </c>
      <c r="P358">
        <v>1</v>
      </c>
      <c r="Q358" t="s">
        <v>51</v>
      </c>
      <c r="R358" t="s">
        <v>52</v>
      </c>
      <c r="S358" s="3" t="str">
        <f t="shared" si="95"/>
        <v>No</v>
      </c>
      <c r="T358" t="str">
        <f t="shared" si="102"/>
        <v>HV_Tech__WHFan</v>
      </c>
      <c r="U358" t="str">
        <f t="shared" si="103"/>
        <v>HV_Tech__WHFan</v>
      </c>
      <c r="V358" t="s">
        <v>164</v>
      </c>
      <c r="W358" t="s">
        <v>165</v>
      </c>
      <c r="X358" t="s">
        <v>164</v>
      </c>
      <c r="Y358" t="s">
        <v>165</v>
      </c>
      <c r="AA358" t="s">
        <v>166</v>
      </c>
      <c r="AB358" s="3" t="s">
        <v>167</v>
      </c>
    </row>
    <row r="359" spans="1:28" x14ac:dyDescent="0.25">
      <c r="A359" t="s">
        <v>159</v>
      </c>
      <c r="B359" s="3" t="s">
        <v>10675</v>
      </c>
      <c r="C359" t="s">
        <v>10661</v>
      </c>
      <c r="D359" s="3" t="str">
        <f t="shared" si="98"/>
        <v>SWHC030-03 Whole House Fan_SFm</v>
      </c>
      <c r="E359" s="3"/>
      <c r="F359" t="s">
        <v>180</v>
      </c>
      <c r="G359" t="s">
        <v>181</v>
      </c>
      <c r="H359" t="s">
        <v>162</v>
      </c>
      <c r="J359" t="s">
        <v>182</v>
      </c>
      <c r="K359" t="str">
        <f t="shared" si="100"/>
        <v>Pre-SFm-NatVent</v>
      </c>
      <c r="M359" t="str">
        <f t="shared" si="101"/>
        <v>Msr-SFm-WholeHouseFan-2.0CFM-PSC</v>
      </c>
      <c r="N359" t="str">
        <f t="shared" si="99"/>
        <v>SFm&amp;2&amp;rDXGF&amp;Ex&amp;HV_Tech__WHFan</v>
      </c>
      <c r="O359" t="s">
        <v>50</v>
      </c>
      <c r="P359">
        <v>2</v>
      </c>
      <c r="Q359" t="s">
        <v>51</v>
      </c>
      <c r="R359" t="s">
        <v>52</v>
      </c>
      <c r="S359" s="3" t="str">
        <f t="shared" si="95"/>
        <v>No</v>
      </c>
      <c r="T359" t="str">
        <f t="shared" si="102"/>
        <v>HV_Tech__WHFan</v>
      </c>
      <c r="U359" t="str">
        <f t="shared" si="103"/>
        <v>HV_Tech__WHFan</v>
      </c>
      <c r="V359" t="s">
        <v>164</v>
      </c>
      <c r="W359" t="s">
        <v>165</v>
      </c>
      <c r="X359" t="s">
        <v>164</v>
      </c>
      <c r="Y359" t="s">
        <v>165</v>
      </c>
      <c r="AA359" t="s">
        <v>166</v>
      </c>
      <c r="AB359" s="3" t="s">
        <v>167</v>
      </c>
    </row>
    <row r="360" spans="1:28" x14ac:dyDescent="0.25">
      <c r="A360" t="s">
        <v>159</v>
      </c>
      <c r="B360" s="3" t="s">
        <v>10675</v>
      </c>
      <c r="C360" t="s">
        <v>10661</v>
      </c>
      <c r="D360" s="3" t="str">
        <f t="shared" si="98"/>
        <v>SWHC030-03 Whole House Fan_SFm</v>
      </c>
      <c r="E360" s="3"/>
      <c r="F360" t="s">
        <v>183</v>
      </c>
      <c r="G360" t="s">
        <v>184</v>
      </c>
      <c r="H360" t="s">
        <v>162</v>
      </c>
      <c r="J360" t="s">
        <v>185</v>
      </c>
      <c r="K360" t="str">
        <f t="shared" si="100"/>
        <v>Pre-SFm-NatVent</v>
      </c>
      <c r="M360" t="str">
        <f t="shared" si="101"/>
        <v>Msr-SFm-WholeHouseFan-3.0CFM-ECM</v>
      </c>
      <c r="N360" t="str">
        <f t="shared" si="99"/>
        <v>SFm&amp;1&amp;rDXGF&amp;Ex&amp;HV_Tech__WHFan</v>
      </c>
      <c r="O360" t="s">
        <v>50</v>
      </c>
      <c r="P360">
        <v>1</v>
      </c>
      <c r="Q360" t="s">
        <v>51</v>
      </c>
      <c r="R360" t="s">
        <v>52</v>
      </c>
      <c r="S360" s="3" t="str">
        <f t="shared" ref="S360:S363" si="104">IF(T360=U360, "No", "Yes")</f>
        <v>No</v>
      </c>
      <c r="T360" t="str">
        <f t="shared" si="102"/>
        <v>HV_Tech__WHFan</v>
      </c>
      <c r="U360" t="str">
        <f t="shared" si="103"/>
        <v>HV_Tech__WHFan</v>
      </c>
      <c r="V360" t="s">
        <v>164</v>
      </c>
      <c r="W360" t="s">
        <v>165</v>
      </c>
      <c r="X360" t="s">
        <v>164</v>
      </c>
      <c r="Y360" t="s">
        <v>165</v>
      </c>
      <c r="AA360" t="s">
        <v>166</v>
      </c>
      <c r="AB360" s="3" t="s">
        <v>167</v>
      </c>
    </row>
    <row r="361" spans="1:28" x14ac:dyDescent="0.25">
      <c r="A361" t="s">
        <v>159</v>
      </c>
      <c r="B361" s="3" t="s">
        <v>10675</v>
      </c>
      <c r="C361" t="s">
        <v>10661</v>
      </c>
      <c r="D361" s="3" t="str">
        <f t="shared" si="98"/>
        <v>SWHC030-03 Whole House Fan_SFm</v>
      </c>
      <c r="E361" s="3"/>
      <c r="F361" t="s">
        <v>183</v>
      </c>
      <c r="G361" t="s">
        <v>184</v>
      </c>
      <c r="H361" t="s">
        <v>162</v>
      </c>
      <c r="J361" t="s">
        <v>185</v>
      </c>
      <c r="K361" t="str">
        <f t="shared" si="100"/>
        <v>Pre-SFm-NatVent</v>
      </c>
      <c r="M361" t="str">
        <f t="shared" si="101"/>
        <v>Msr-SFm-WholeHouseFan-3.0CFM-ECM</v>
      </c>
      <c r="N361" t="str">
        <f t="shared" si="99"/>
        <v>SFm&amp;2&amp;rDXGF&amp;Ex&amp;HV_Tech__WHFan</v>
      </c>
      <c r="O361" t="s">
        <v>50</v>
      </c>
      <c r="P361">
        <v>2</v>
      </c>
      <c r="Q361" t="s">
        <v>51</v>
      </c>
      <c r="R361" t="s">
        <v>52</v>
      </c>
      <c r="S361" s="3" t="str">
        <f t="shared" si="104"/>
        <v>No</v>
      </c>
      <c r="T361" t="str">
        <f t="shared" si="102"/>
        <v>HV_Tech__WHFan</v>
      </c>
      <c r="U361" t="str">
        <f t="shared" si="103"/>
        <v>HV_Tech__WHFan</v>
      </c>
      <c r="V361" t="s">
        <v>164</v>
      </c>
      <c r="W361" t="s">
        <v>165</v>
      </c>
      <c r="X361" t="s">
        <v>164</v>
      </c>
      <c r="Y361" t="s">
        <v>165</v>
      </c>
      <c r="AA361" t="s">
        <v>166</v>
      </c>
      <c r="AB361" s="3" t="s">
        <v>167</v>
      </c>
    </row>
    <row r="362" spans="1:28" x14ac:dyDescent="0.25">
      <c r="A362" t="s">
        <v>159</v>
      </c>
      <c r="B362" s="3" t="s">
        <v>10675</v>
      </c>
      <c r="C362" t="s">
        <v>10661</v>
      </c>
      <c r="D362" s="3" t="str">
        <f t="shared" si="98"/>
        <v>SWHC030-03 Whole House Fan_SFm</v>
      </c>
      <c r="E362" s="3"/>
      <c r="F362" t="s">
        <v>186</v>
      </c>
      <c r="G362" t="s">
        <v>187</v>
      </c>
      <c r="H362" t="s">
        <v>162</v>
      </c>
      <c r="J362" t="s">
        <v>188</v>
      </c>
      <c r="K362" t="str">
        <f t="shared" si="100"/>
        <v>Pre-SFm-NatVent</v>
      </c>
      <c r="M362" t="str">
        <f t="shared" si="101"/>
        <v>Msr-SFm-WholeHouseFan-3.0CFM-PSC</v>
      </c>
      <c r="N362" t="str">
        <f t="shared" si="99"/>
        <v>SFm&amp;1&amp;rDXGF&amp;Ex&amp;HV_Tech__WHFan</v>
      </c>
      <c r="O362" t="s">
        <v>50</v>
      </c>
      <c r="P362">
        <v>1</v>
      </c>
      <c r="Q362" t="s">
        <v>51</v>
      </c>
      <c r="R362" t="s">
        <v>52</v>
      </c>
      <c r="S362" s="3" t="str">
        <f t="shared" si="104"/>
        <v>No</v>
      </c>
      <c r="T362" t="str">
        <f t="shared" si="102"/>
        <v>HV_Tech__WHFan</v>
      </c>
      <c r="U362" t="str">
        <f t="shared" si="103"/>
        <v>HV_Tech__WHFan</v>
      </c>
      <c r="V362" t="s">
        <v>164</v>
      </c>
      <c r="W362" t="s">
        <v>165</v>
      </c>
      <c r="X362" t="s">
        <v>164</v>
      </c>
      <c r="Y362" t="s">
        <v>165</v>
      </c>
      <c r="AA362" t="s">
        <v>166</v>
      </c>
      <c r="AB362" s="3" t="s">
        <v>167</v>
      </c>
    </row>
    <row r="363" spans="1:28" x14ac:dyDescent="0.25">
      <c r="A363" t="s">
        <v>159</v>
      </c>
      <c r="B363" s="3" t="s">
        <v>10675</v>
      </c>
      <c r="C363" t="s">
        <v>10661</v>
      </c>
      <c r="D363" s="3" t="str">
        <f t="shared" si="98"/>
        <v>SWHC030-03 Whole House Fan_SFm</v>
      </c>
      <c r="E363" s="3"/>
      <c r="F363" t="s">
        <v>186</v>
      </c>
      <c r="G363" t="s">
        <v>187</v>
      </c>
      <c r="H363" t="s">
        <v>162</v>
      </c>
      <c r="J363" t="s">
        <v>188</v>
      </c>
      <c r="K363" t="str">
        <f t="shared" si="100"/>
        <v>Pre-SFm-NatVent</v>
      </c>
      <c r="M363" t="str">
        <f t="shared" si="101"/>
        <v>Msr-SFm-WholeHouseFan-3.0CFM-PSC</v>
      </c>
      <c r="N363" t="str">
        <f t="shared" si="99"/>
        <v>SFm&amp;2&amp;rDXGF&amp;Ex&amp;HV_Tech__WHFan</v>
      </c>
      <c r="O363" t="s">
        <v>50</v>
      </c>
      <c r="P363">
        <v>2</v>
      </c>
      <c r="Q363" t="s">
        <v>51</v>
      </c>
      <c r="R363" t="s">
        <v>52</v>
      </c>
      <c r="S363" s="3" t="str">
        <f t="shared" si="104"/>
        <v>No</v>
      </c>
      <c r="T363" t="str">
        <f t="shared" si="102"/>
        <v>HV_Tech__WHFan</v>
      </c>
      <c r="U363" t="str">
        <f t="shared" si="103"/>
        <v>HV_Tech__WHFan</v>
      </c>
      <c r="V363" t="s">
        <v>164</v>
      </c>
      <c r="W363" t="s">
        <v>165</v>
      </c>
      <c r="X363" t="s">
        <v>164</v>
      </c>
      <c r="Y363" t="s">
        <v>165</v>
      </c>
      <c r="AA363" t="s">
        <v>166</v>
      </c>
      <c r="AB363" s="3" t="s">
        <v>167</v>
      </c>
    </row>
    <row r="364" spans="1:28" x14ac:dyDescent="0.25">
      <c r="A364" t="s">
        <v>189</v>
      </c>
      <c r="B364" s="3" t="s">
        <v>10675</v>
      </c>
      <c r="C364" t="s">
        <v>10657</v>
      </c>
      <c r="D364" s="3" t="str">
        <f t="shared" si="98"/>
        <v>SWHC027-03 PTAC / PTHP_SFm</v>
      </c>
      <c r="E364" s="3"/>
      <c r="F364" t="s">
        <v>190</v>
      </c>
      <c r="G364" t="str">
        <f t="shared" ref="G364:G379" si="105">F364</f>
        <v>RE-HV-PTAC-10.27EER-Retrofit</v>
      </c>
      <c r="I364" t="s">
        <v>191</v>
      </c>
      <c r="J364" t="s">
        <v>192</v>
      </c>
      <c r="L364" t="str">
        <f>I364</f>
        <v>RE-HV-PTAC-8.56EER</v>
      </c>
      <c r="M364" t="str">
        <f>J364</f>
        <v>RE-HV-PTAC-10.27EER</v>
      </c>
      <c r="N364" t="str">
        <f t="shared" ref="N364:N369" si="106">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107">IF(T364=U364, "No", "Yes")</f>
        <v>No</v>
      </c>
      <c r="T364" t="str">
        <f t="shared" ref="T364" si="108">V364&amp;"__"&amp;W364</f>
        <v>dxAC_equip__pkgTerm</v>
      </c>
      <c r="U364" t="str">
        <f t="shared" ref="U364" si="109">X364&amp;"__"&amp;Y364</f>
        <v>dxAC_equip__pkgTerm</v>
      </c>
      <c r="V364" t="s">
        <v>111</v>
      </c>
      <c r="W364" t="s">
        <v>193</v>
      </c>
      <c r="X364" t="s">
        <v>111</v>
      </c>
      <c r="Y364" t="s">
        <v>193</v>
      </c>
      <c r="AA364" t="s">
        <v>194</v>
      </c>
      <c r="AB364" t="s">
        <v>56</v>
      </c>
    </row>
    <row r="365" spans="1:28" x14ac:dyDescent="0.25">
      <c r="A365" t="s">
        <v>189</v>
      </c>
      <c r="B365" s="3" t="s">
        <v>10675</v>
      </c>
      <c r="C365" t="s">
        <v>10657</v>
      </c>
      <c r="D365" s="3" t="str">
        <f t="shared" si="98"/>
        <v>SWHC027-03 PTAC / PTHP_SFm</v>
      </c>
      <c r="E365" s="3"/>
      <c r="F365" t="s">
        <v>190</v>
      </c>
      <c r="G365" t="str">
        <f t="shared" si="105"/>
        <v>RE-HV-PTAC-10.27EER-Retrofit</v>
      </c>
      <c r="I365" t="s">
        <v>191</v>
      </c>
      <c r="J365" t="s">
        <v>192</v>
      </c>
      <c r="L365" t="str">
        <f t="shared" ref="L365:L375" si="110">I365</f>
        <v>RE-HV-PTAC-8.56EER</v>
      </c>
      <c r="M365" t="str">
        <f t="shared" ref="M365:M375" si="111">J365</f>
        <v>RE-HV-PTAC-10.27EER</v>
      </c>
      <c r="N365" t="str">
        <f t="shared" si="106"/>
        <v>SFm&amp;2&amp;rDXGF&amp;Ex&amp;dxAC_equip__pkgTerm</v>
      </c>
      <c r="O365" t="s">
        <v>50</v>
      </c>
      <c r="P365">
        <v>2</v>
      </c>
      <c r="Q365" t="s">
        <v>51</v>
      </c>
      <c r="R365" t="s">
        <v>52</v>
      </c>
      <c r="S365" s="3" t="str">
        <f t="shared" si="107"/>
        <v>No</v>
      </c>
      <c r="T365" t="str">
        <f t="shared" ref="T365:T366" si="112">V365&amp;"__"&amp;W365</f>
        <v>dxAC_equip__pkgTerm</v>
      </c>
      <c r="U365" t="str">
        <f t="shared" ref="U365:U369" si="113">X365&amp;"__"&amp;Y365</f>
        <v>dxAC_equip__pkgTerm</v>
      </c>
      <c r="V365" t="s">
        <v>111</v>
      </c>
      <c r="W365" t="s">
        <v>193</v>
      </c>
      <c r="X365" t="s">
        <v>111</v>
      </c>
      <c r="Y365" t="s">
        <v>193</v>
      </c>
      <c r="AA365" t="s">
        <v>194</v>
      </c>
      <c r="AB365" t="s">
        <v>56</v>
      </c>
    </row>
    <row r="366" spans="1:28" x14ac:dyDescent="0.25">
      <c r="A366" t="s">
        <v>189</v>
      </c>
      <c r="B366" s="3" t="s">
        <v>10675</v>
      </c>
      <c r="C366" t="s">
        <v>10657</v>
      </c>
      <c r="D366" s="3" t="str">
        <f t="shared" si="98"/>
        <v>SWHC027-03 PTAC / PTHP_MFm</v>
      </c>
      <c r="E366" s="3"/>
      <c r="F366" t="s">
        <v>190</v>
      </c>
      <c r="G366" t="str">
        <f t="shared" si="105"/>
        <v>RE-HV-PTAC-10.27EER-Retrofit</v>
      </c>
      <c r="I366" t="s">
        <v>191</v>
      </c>
      <c r="J366" t="s">
        <v>192</v>
      </c>
      <c r="L366" t="str">
        <f t="shared" si="110"/>
        <v>RE-HV-PTAC-8.56EER</v>
      </c>
      <c r="M366" t="str">
        <f t="shared" si="111"/>
        <v>RE-HV-PTAC-10.27EER</v>
      </c>
      <c r="N366" t="str">
        <f t="shared" si="106"/>
        <v>MFm&amp;0&amp;rDXGF&amp;Ex&amp;dxAC_equip__pkgTerm</v>
      </c>
      <c r="O366" t="s">
        <v>63</v>
      </c>
      <c r="P366">
        <v>0</v>
      </c>
      <c r="Q366" t="s">
        <v>51</v>
      </c>
      <c r="R366" t="s">
        <v>52</v>
      </c>
      <c r="S366" s="3" t="str">
        <f t="shared" si="107"/>
        <v>No</v>
      </c>
      <c r="T366" t="str">
        <f t="shared" si="112"/>
        <v>dxAC_equip__pkgTerm</v>
      </c>
      <c r="U366" t="str">
        <f t="shared" si="113"/>
        <v>dxAC_equip__pkgTerm</v>
      </c>
      <c r="V366" t="s">
        <v>111</v>
      </c>
      <c r="W366" t="s">
        <v>193</v>
      </c>
      <c r="X366" t="s">
        <v>111</v>
      </c>
      <c r="Y366" t="s">
        <v>193</v>
      </c>
      <c r="AA366" t="s">
        <v>194</v>
      </c>
      <c r="AB366" t="s">
        <v>56</v>
      </c>
    </row>
    <row r="367" spans="1:28" x14ac:dyDescent="0.25">
      <c r="A367" t="s">
        <v>189</v>
      </c>
      <c r="B367" s="3" t="s">
        <v>10675</v>
      </c>
      <c r="C367" t="s">
        <v>10657</v>
      </c>
      <c r="D367" s="3" t="str">
        <f t="shared" si="98"/>
        <v>SWHC027-03 PTAC / PTHP_SFm</v>
      </c>
      <c r="E367" s="3"/>
      <c r="F367" t="s">
        <v>195</v>
      </c>
      <c r="G367" t="str">
        <f t="shared" si="105"/>
        <v>RE-HV-PTAC-12.84EER-NC</v>
      </c>
      <c r="I367" t="s">
        <v>196</v>
      </c>
      <c r="J367" t="s">
        <v>197</v>
      </c>
      <c r="L367" t="str">
        <f t="shared" si="110"/>
        <v>RE-HV-PTAC-10.70EER</v>
      </c>
      <c r="M367" t="str">
        <f t="shared" si="111"/>
        <v>RE-HV-PTAC-12.84EER</v>
      </c>
      <c r="N367" t="str">
        <f t="shared" si="106"/>
        <v>SFm&amp;1&amp;rDXGF&amp;New&amp;dxAC_equip__pkgTerm</v>
      </c>
      <c r="O367" t="s">
        <v>50</v>
      </c>
      <c r="P367">
        <v>1</v>
      </c>
      <c r="Q367" t="s">
        <v>51</v>
      </c>
      <c r="R367" t="s">
        <v>107</v>
      </c>
      <c r="S367" s="3" t="str">
        <f t="shared" si="107"/>
        <v>No</v>
      </c>
      <c r="T367" t="s">
        <v>198</v>
      </c>
      <c r="U367" t="str">
        <f t="shared" si="113"/>
        <v>dxAC_equip__pkgTerm</v>
      </c>
      <c r="V367" t="s">
        <v>111</v>
      </c>
      <c r="W367" t="s">
        <v>193</v>
      </c>
      <c r="X367" t="s">
        <v>111</v>
      </c>
      <c r="Y367" t="s">
        <v>193</v>
      </c>
      <c r="AA367" t="s">
        <v>194</v>
      </c>
      <c r="AB367" t="s">
        <v>56</v>
      </c>
    </row>
    <row r="368" spans="1:28" x14ac:dyDescent="0.25">
      <c r="A368" t="s">
        <v>189</v>
      </c>
      <c r="B368" s="3" t="s">
        <v>10675</v>
      </c>
      <c r="C368" t="s">
        <v>10657</v>
      </c>
      <c r="D368" s="3" t="str">
        <f t="shared" si="98"/>
        <v>SWHC027-03 PTAC / PTHP_SFm</v>
      </c>
      <c r="E368" s="3"/>
      <c r="F368" t="s">
        <v>195</v>
      </c>
      <c r="G368" t="str">
        <f t="shared" si="105"/>
        <v>RE-HV-PTAC-12.84EER-NC</v>
      </c>
      <c r="I368" t="s">
        <v>196</v>
      </c>
      <c r="J368" t="s">
        <v>197</v>
      </c>
      <c r="L368" t="str">
        <f t="shared" si="110"/>
        <v>RE-HV-PTAC-10.70EER</v>
      </c>
      <c r="M368" t="str">
        <f t="shared" si="111"/>
        <v>RE-HV-PTAC-12.84EER</v>
      </c>
      <c r="N368" t="str">
        <f t="shared" si="106"/>
        <v>SFm&amp;2&amp;rDXGF&amp;New&amp;dxAC_equip__pkgTerm</v>
      </c>
      <c r="O368" t="s">
        <v>50</v>
      </c>
      <c r="P368">
        <v>2</v>
      </c>
      <c r="Q368" t="s">
        <v>51</v>
      </c>
      <c r="R368" t="s">
        <v>107</v>
      </c>
      <c r="S368" s="3" t="str">
        <f t="shared" si="107"/>
        <v>No</v>
      </c>
      <c r="T368" t="s">
        <v>198</v>
      </c>
      <c r="U368" t="str">
        <f t="shared" si="113"/>
        <v>dxAC_equip__pkgTerm</v>
      </c>
      <c r="V368" t="s">
        <v>111</v>
      </c>
      <c r="W368" t="s">
        <v>193</v>
      </c>
      <c r="X368" t="s">
        <v>111</v>
      </c>
      <c r="Y368" t="s">
        <v>193</v>
      </c>
      <c r="AA368" t="s">
        <v>194</v>
      </c>
      <c r="AB368" t="s">
        <v>56</v>
      </c>
    </row>
    <row r="369" spans="1:31" x14ac:dyDescent="0.25">
      <c r="A369" t="s">
        <v>189</v>
      </c>
      <c r="B369" s="3" t="s">
        <v>10675</v>
      </c>
      <c r="C369" t="s">
        <v>10657</v>
      </c>
      <c r="D369" s="3" t="str">
        <f t="shared" si="98"/>
        <v>SWHC027-03 PTAC / PTHP_MFm</v>
      </c>
      <c r="E369" s="3"/>
      <c r="F369" t="s">
        <v>195</v>
      </c>
      <c r="G369" t="str">
        <f t="shared" si="105"/>
        <v>RE-HV-PTAC-12.84EER-NC</v>
      </c>
      <c r="I369" t="s">
        <v>196</v>
      </c>
      <c r="J369" t="s">
        <v>197</v>
      </c>
      <c r="L369" t="str">
        <f t="shared" si="110"/>
        <v>RE-HV-PTAC-10.70EER</v>
      </c>
      <c r="M369" t="str">
        <f t="shared" si="111"/>
        <v>RE-HV-PTAC-12.84EER</v>
      </c>
      <c r="N369" t="str">
        <f t="shared" si="106"/>
        <v>MFm&amp;0&amp;rDXGF&amp;New&amp;dxAC_equip__pkgTerm</v>
      </c>
      <c r="O369" t="s">
        <v>63</v>
      </c>
      <c r="P369">
        <v>0</v>
      </c>
      <c r="Q369" t="s">
        <v>51</v>
      </c>
      <c r="R369" t="s">
        <v>107</v>
      </c>
      <c r="S369" s="3" t="str">
        <f t="shared" si="107"/>
        <v>No</v>
      </c>
      <c r="T369" t="s">
        <v>198</v>
      </c>
      <c r="U369" t="str">
        <f t="shared" si="113"/>
        <v>dxAC_equip__pkgTerm</v>
      </c>
      <c r="V369" t="s">
        <v>111</v>
      </c>
      <c r="W369" t="s">
        <v>193</v>
      </c>
      <c r="X369" t="s">
        <v>111</v>
      </c>
      <c r="Y369" t="s">
        <v>193</v>
      </c>
      <c r="AA369" t="s">
        <v>194</v>
      </c>
      <c r="AB369" t="s">
        <v>56</v>
      </c>
    </row>
    <row r="370" spans="1:31" x14ac:dyDescent="0.25">
      <c r="A370" t="s">
        <v>189</v>
      </c>
      <c r="B370" s="3" t="s">
        <v>10675</v>
      </c>
      <c r="C370" t="s">
        <v>10657</v>
      </c>
      <c r="D370" s="3" t="str">
        <f t="shared" si="98"/>
        <v>SWHC027-03 PTAC / PTHP_SFm</v>
      </c>
      <c r="E370" s="3"/>
      <c r="F370" t="s">
        <v>199</v>
      </c>
      <c r="G370" t="str">
        <f t="shared" si="105"/>
        <v>RE-HV-PTHP-10.15EER-3.13COP-Retrofit</v>
      </c>
      <c r="I370" t="s">
        <v>200</v>
      </c>
      <c r="J370" t="s">
        <v>201</v>
      </c>
      <c r="L370" t="str">
        <f t="shared" si="110"/>
        <v>RE-HV-PTHP-8.46EER-2.61COP</v>
      </c>
      <c r="M370" t="str">
        <f t="shared" si="111"/>
        <v>RE-HV-PTHP-10.15EER-3.13COP</v>
      </c>
      <c r="N370" t="str">
        <f t="shared" ref="N370:N433" si="114">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107"/>
        <v>No</v>
      </c>
      <c r="T370" t="str">
        <f t="shared" ref="T370:T372" si="115">V370&amp;"__"&amp;W370</f>
        <v>dxHP_equip__pkgTerm</v>
      </c>
      <c r="U370" t="str">
        <f t="shared" ref="U370:U375" si="116">X370&amp;"__"&amp;Y370</f>
        <v>dxHP_equip__pkgTerm</v>
      </c>
      <c r="V370" t="s">
        <v>105</v>
      </c>
      <c r="W370" t="s">
        <v>193</v>
      </c>
      <c r="X370" t="s">
        <v>105</v>
      </c>
      <c r="Y370" t="s">
        <v>193</v>
      </c>
      <c r="AA370" t="s">
        <v>194</v>
      </c>
      <c r="AB370" t="s">
        <v>56</v>
      </c>
    </row>
    <row r="371" spans="1:31" x14ac:dyDescent="0.25">
      <c r="A371" t="s">
        <v>189</v>
      </c>
      <c r="B371" s="3" t="s">
        <v>10675</v>
      </c>
      <c r="C371" t="s">
        <v>10657</v>
      </c>
      <c r="D371" s="3" t="str">
        <f t="shared" si="98"/>
        <v>SWHC027-03 PTAC / PTHP_SFm</v>
      </c>
      <c r="E371" s="3"/>
      <c r="F371" t="s">
        <v>199</v>
      </c>
      <c r="G371" t="str">
        <f t="shared" si="105"/>
        <v>RE-HV-PTHP-10.15EER-3.13COP-Retrofit</v>
      </c>
      <c r="I371" t="s">
        <v>200</v>
      </c>
      <c r="J371" t="s">
        <v>201</v>
      </c>
      <c r="L371" t="str">
        <f t="shared" si="110"/>
        <v>RE-HV-PTHP-8.46EER-2.61COP</v>
      </c>
      <c r="M371" t="str">
        <f t="shared" si="111"/>
        <v>RE-HV-PTHP-10.15EER-3.13COP</v>
      </c>
      <c r="N371" t="str">
        <f t="shared" si="114"/>
        <v>SFm&amp;2&amp;rDXHP&amp;Ex&amp;dxHP_equip__pkgTerm</v>
      </c>
      <c r="O371" t="s">
        <v>50</v>
      </c>
      <c r="P371">
        <v>2</v>
      </c>
      <c r="Q371" t="s">
        <v>57</v>
      </c>
      <c r="R371" t="s">
        <v>52</v>
      </c>
      <c r="S371" s="3" t="str">
        <f t="shared" si="107"/>
        <v>No</v>
      </c>
      <c r="T371" t="str">
        <f t="shared" si="115"/>
        <v>dxHP_equip__pkgTerm</v>
      </c>
      <c r="U371" t="str">
        <f t="shared" si="116"/>
        <v>dxHP_equip__pkgTerm</v>
      </c>
      <c r="V371" t="s">
        <v>105</v>
      </c>
      <c r="W371" t="s">
        <v>193</v>
      </c>
      <c r="X371" t="s">
        <v>105</v>
      </c>
      <c r="Y371" t="s">
        <v>193</v>
      </c>
      <c r="AA371" t="s">
        <v>194</v>
      </c>
      <c r="AB371" t="s">
        <v>56</v>
      </c>
    </row>
    <row r="372" spans="1:31" x14ac:dyDescent="0.25">
      <c r="A372" t="s">
        <v>189</v>
      </c>
      <c r="B372" s="3" t="s">
        <v>10675</v>
      </c>
      <c r="C372" t="s">
        <v>10657</v>
      </c>
      <c r="D372" s="3" t="str">
        <f t="shared" si="98"/>
        <v>SWHC027-03 PTAC / PTHP_MFm</v>
      </c>
      <c r="E372" s="3"/>
      <c r="F372" t="s">
        <v>199</v>
      </c>
      <c r="G372" t="str">
        <f t="shared" si="105"/>
        <v>RE-HV-PTHP-10.15EER-3.13COP-Retrofit</v>
      </c>
      <c r="I372" t="s">
        <v>200</v>
      </c>
      <c r="J372" t="s">
        <v>201</v>
      </c>
      <c r="L372" t="str">
        <f t="shared" si="110"/>
        <v>RE-HV-PTHP-8.46EER-2.61COP</v>
      </c>
      <c r="M372" t="str">
        <f t="shared" si="111"/>
        <v>RE-HV-PTHP-10.15EER-3.13COP</v>
      </c>
      <c r="N372" t="str">
        <f t="shared" si="114"/>
        <v>MFm&amp;0&amp;rDXHP&amp;Ex&amp;dxHP_equip__pkgTerm</v>
      </c>
      <c r="O372" t="s">
        <v>63</v>
      </c>
      <c r="P372">
        <v>0</v>
      </c>
      <c r="Q372" t="s">
        <v>57</v>
      </c>
      <c r="R372" t="s">
        <v>52</v>
      </c>
      <c r="S372" s="3" t="str">
        <f t="shared" si="107"/>
        <v>No</v>
      </c>
      <c r="T372" t="str">
        <f t="shared" si="115"/>
        <v>dxHP_equip__pkgTerm</v>
      </c>
      <c r="U372" t="str">
        <f t="shared" si="116"/>
        <v>dxHP_equip__pkgTerm</v>
      </c>
      <c r="V372" t="s">
        <v>105</v>
      </c>
      <c r="W372" t="s">
        <v>193</v>
      </c>
      <c r="X372" t="s">
        <v>105</v>
      </c>
      <c r="Y372" t="s">
        <v>193</v>
      </c>
      <c r="AA372" t="s">
        <v>194</v>
      </c>
      <c r="AB372" t="s">
        <v>56</v>
      </c>
    </row>
    <row r="373" spans="1:31" x14ac:dyDescent="0.25">
      <c r="A373" t="s">
        <v>189</v>
      </c>
      <c r="B373" s="3" t="s">
        <v>10675</v>
      </c>
      <c r="C373" t="s">
        <v>10657</v>
      </c>
      <c r="D373" s="3" t="str">
        <f t="shared" si="98"/>
        <v>SWHC027-03 PTAC / PTHP_SFm</v>
      </c>
      <c r="E373" s="3"/>
      <c r="F373" t="s">
        <v>202</v>
      </c>
      <c r="G373" t="str">
        <f t="shared" si="105"/>
        <v>RE-HV-PTHP-12.84EER-3.76COP-NC</v>
      </c>
      <c r="I373" t="s">
        <v>203</v>
      </c>
      <c r="J373" t="s">
        <v>204</v>
      </c>
      <c r="L373" t="str">
        <f t="shared" si="110"/>
        <v>RE-HV-PTHP-10.70EER-3.13COP</v>
      </c>
      <c r="M373" t="str">
        <f t="shared" si="111"/>
        <v>RE-HV-PTHP-12.84EER-3.76COP</v>
      </c>
      <c r="N373" t="str">
        <f t="shared" si="114"/>
        <v>SFm&amp;1&amp;rDXHP&amp;New&amp;dxHP_equip__pkgTerm</v>
      </c>
      <c r="O373" t="s">
        <v>50</v>
      </c>
      <c r="P373">
        <v>1</v>
      </c>
      <c r="Q373" t="s">
        <v>57</v>
      </c>
      <c r="R373" t="s">
        <v>107</v>
      </c>
      <c r="S373" s="3" t="str">
        <f t="shared" si="107"/>
        <v>No</v>
      </c>
      <c r="T373" t="s">
        <v>205</v>
      </c>
      <c r="U373" t="str">
        <f t="shared" si="116"/>
        <v>dxHP_equip__pkgTerm</v>
      </c>
      <c r="V373" t="s">
        <v>105</v>
      </c>
      <c r="W373" t="s">
        <v>193</v>
      </c>
      <c r="X373" t="s">
        <v>105</v>
      </c>
      <c r="Y373" t="s">
        <v>193</v>
      </c>
      <c r="AA373" t="s">
        <v>194</v>
      </c>
      <c r="AB373" t="s">
        <v>56</v>
      </c>
    </row>
    <row r="374" spans="1:31" x14ac:dyDescent="0.25">
      <c r="A374" t="s">
        <v>189</v>
      </c>
      <c r="B374" s="3" t="s">
        <v>10675</v>
      </c>
      <c r="C374" t="s">
        <v>10657</v>
      </c>
      <c r="D374" s="3" t="str">
        <f t="shared" si="98"/>
        <v>SWHC027-03 PTAC / PTHP_SFm</v>
      </c>
      <c r="E374" s="3"/>
      <c r="F374" t="s">
        <v>202</v>
      </c>
      <c r="G374" t="str">
        <f t="shared" si="105"/>
        <v>RE-HV-PTHP-12.84EER-3.76COP-NC</v>
      </c>
      <c r="I374" t="s">
        <v>203</v>
      </c>
      <c r="J374" t="s">
        <v>204</v>
      </c>
      <c r="L374" t="str">
        <f t="shared" si="110"/>
        <v>RE-HV-PTHP-10.70EER-3.13COP</v>
      </c>
      <c r="M374" t="str">
        <f t="shared" si="111"/>
        <v>RE-HV-PTHP-12.84EER-3.76COP</v>
      </c>
      <c r="N374" t="str">
        <f t="shared" si="114"/>
        <v>SFm&amp;2&amp;rDXHP&amp;New&amp;dxHP_equip__pkgTerm</v>
      </c>
      <c r="O374" t="s">
        <v>50</v>
      </c>
      <c r="P374">
        <v>2</v>
      </c>
      <c r="Q374" t="s">
        <v>57</v>
      </c>
      <c r="R374" t="s">
        <v>107</v>
      </c>
      <c r="S374" s="3" t="str">
        <f t="shared" si="107"/>
        <v>No</v>
      </c>
      <c r="T374" t="s">
        <v>205</v>
      </c>
      <c r="U374" t="str">
        <f t="shared" si="116"/>
        <v>dxHP_equip__pkgTerm</v>
      </c>
      <c r="V374" t="s">
        <v>105</v>
      </c>
      <c r="W374" t="s">
        <v>193</v>
      </c>
      <c r="X374" t="s">
        <v>105</v>
      </c>
      <c r="Y374" t="s">
        <v>193</v>
      </c>
      <c r="AA374" t="s">
        <v>194</v>
      </c>
      <c r="AB374" t="s">
        <v>56</v>
      </c>
    </row>
    <row r="375" spans="1:31" x14ac:dyDescent="0.25">
      <c r="A375" t="s">
        <v>189</v>
      </c>
      <c r="B375" s="3" t="s">
        <v>10675</v>
      </c>
      <c r="C375" t="s">
        <v>10657</v>
      </c>
      <c r="D375" s="3" t="str">
        <f t="shared" si="98"/>
        <v>SWHC027-03 PTAC / PTHP_MFm</v>
      </c>
      <c r="E375" s="3"/>
      <c r="F375" t="s">
        <v>202</v>
      </c>
      <c r="G375" t="str">
        <f t="shared" si="105"/>
        <v>RE-HV-PTHP-12.84EER-3.76COP-NC</v>
      </c>
      <c r="I375" t="s">
        <v>203</v>
      </c>
      <c r="J375" t="s">
        <v>204</v>
      </c>
      <c r="L375" t="str">
        <f t="shared" si="110"/>
        <v>RE-HV-PTHP-10.70EER-3.13COP</v>
      </c>
      <c r="M375" t="str">
        <f t="shared" si="111"/>
        <v>RE-HV-PTHP-12.84EER-3.76COP</v>
      </c>
      <c r="N375" t="str">
        <f t="shared" si="114"/>
        <v>MFm&amp;0&amp;rDXHP&amp;New&amp;dxHP_equip__pkgTerm</v>
      </c>
      <c r="O375" t="s">
        <v>63</v>
      </c>
      <c r="P375">
        <v>0</v>
      </c>
      <c r="Q375" t="s">
        <v>57</v>
      </c>
      <c r="R375" t="s">
        <v>107</v>
      </c>
      <c r="S375" s="3" t="str">
        <f t="shared" si="107"/>
        <v>No</v>
      </c>
      <c r="T375" t="s">
        <v>205</v>
      </c>
      <c r="U375" t="str">
        <f t="shared" si="116"/>
        <v>dxHP_equip__pkgTerm</v>
      </c>
      <c r="V375" t="s">
        <v>105</v>
      </c>
      <c r="W375" t="s">
        <v>193</v>
      </c>
      <c r="X375" t="s">
        <v>105</v>
      </c>
      <c r="Y375" t="s">
        <v>193</v>
      </c>
      <c r="AA375" t="s">
        <v>194</v>
      </c>
      <c r="AB375" t="s">
        <v>56</v>
      </c>
    </row>
    <row r="376" spans="1:31" s="3" customFormat="1" x14ac:dyDescent="0.25">
      <c r="A376" s="3" t="s">
        <v>0</v>
      </c>
      <c r="B376" s="3" t="s">
        <v>10675</v>
      </c>
      <c r="C376" s="3" t="s">
        <v>10659</v>
      </c>
      <c r="D376" s="3" t="str">
        <f t="shared" si="98"/>
        <v>SWHC049-03 SEER Rated AC/HP_SFm</v>
      </c>
      <c r="F376" s="3" t="s">
        <v>206</v>
      </c>
      <c r="G376" s="3" t="str">
        <f t="shared" si="105"/>
        <v>RE-HV-AC-Pkg-18to65kBtuh-S16p0</v>
      </c>
      <c r="H376" s="3" t="s">
        <v>207</v>
      </c>
      <c r="I376" s="3" t="s">
        <v>208</v>
      </c>
      <c r="J376" s="3" t="s">
        <v>209</v>
      </c>
      <c r="K376" s="32" t="s">
        <v>210</v>
      </c>
      <c r="L376" s="32" t="s">
        <v>211</v>
      </c>
      <c r="M376" s="32" t="s">
        <v>212</v>
      </c>
      <c r="N376" s="3" t="str">
        <f t="shared" si="114"/>
        <v>SFm&amp;1&amp;rDXGF&amp;Ex&amp;dxAC_equip</v>
      </c>
      <c r="O376" s="3" t="s">
        <v>50</v>
      </c>
      <c r="P376" s="3">
        <v>1</v>
      </c>
      <c r="Q376" s="3" t="s">
        <v>51</v>
      </c>
      <c r="R376" s="3" t="s">
        <v>52</v>
      </c>
      <c r="S376" s="3" t="str">
        <f t="shared" si="107"/>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x14ac:dyDescent="0.25">
      <c r="A377" s="3" t="s">
        <v>0</v>
      </c>
      <c r="B377" s="3" t="s">
        <v>10675</v>
      </c>
      <c r="C377" s="3" t="s">
        <v>10659</v>
      </c>
      <c r="D377" s="3" t="str">
        <f t="shared" si="98"/>
        <v>SWHC049-03 SEER Rated AC/HP_SFm</v>
      </c>
      <c r="F377" s="3" t="s">
        <v>206</v>
      </c>
      <c r="G377" s="3" t="str">
        <f t="shared" si="105"/>
        <v>RE-HV-AC-Pkg-18to65kBtuh-S16p0</v>
      </c>
      <c r="H377" s="3" t="s">
        <v>207</v>
      </c>
      <c r="I377" s="3" t="s">
        <v>208</v>
      </c>
      <c r="J377" s="3" t="s">
        <v>209</v>
      </c>
      <c r="K377" s="32" t="s">
        <v>210</v>
      </c>
      <c r="L377" s="32" t="s">
        <v>211</v>
      </c>
      <c r="M377" s="32" t="s">
        <v>212</v>
      </c>
      <c r="N377" s="3" t="str">
        <f t="shared" si="114"/>
        <v>SFm&amp;2&amp;rDXGF&amp;Ex&amp;dxAC_equip</v>
      </c>
      <c r="O377" s="3" t="s">
        <v>50</v>
      </c>
      <c r="P377" s="3">
        <v>2</v>
      </c>
      <c r="Q377" s="3" t="s">
        <v>51</v>
      </c>
      <c r="R377" s="3" t="s">
        <v>52</v>
      </c>
      <c r="S377" s="3" t="str">
        <f t="shared" si="107"/>
        <v>No</v>
      </c>
      <c r="T377" s="3" t="str">
        <f t="shared" ref="T377:T440" si="117">V377</f>
        <v>dxAC_equip</v>
      </c>
      <c r="U377" s="3" t="str">
        <f t="shared" ref="U377:U440" si="118">X377</f>
        <v>dxAC_equip</v>
      </c>
      <c r="V377" s="3" t="s">
        <v>111</v>
      </c>
      <c r="W377" s="3" t="s">
        <v>213</v>
      </c>
      <c r="X377" s="3" t="s">
        <v>111</v>
      </c>
      <c r="Y377" s="3" t="s">
        <v>213</v>
      </c>
      <c r="Z377" s="3" t="s">
        <v>214</v>
      </c>
      <c r="AA377" s="3" t="s">
        <v>55</v>
      </c>
      <c r="AB377" s="3" t="s">
        <v>56</v>
      </c>
      <c r="AC377" s="3" t="s">
        <v>215</v>
      </c>
    </row>
    <row r="378" spans="1:31" s="3" customFormat="1" x14ac:dyDescent="0.25">
      <c r="A378" s="3" t="s">
        <v>0</v>
      </c>
      <c r="B378" s="3" t="s">
        <v>10675</v>
      </c>
      <c r="C378" s="3" t="s">
        <v>10659</v>
      </c>
      <c r="D378" s="3" t="str">
        <f t="shared" si="98"/>
        <v>SWHC049-03 SEER Rated AC/HP_DMo</v>
      </c>
      <c r="F378" s="3" t="s">
        <v>206</v>
      </c>
      <c r="G378" s="3" t="str">
        <f t="shared" si="105"/>
        <v>RE-HV-AC-Pkg-18to65kBtuh-S16p0</v>
      </c>
      <c r="H378" s="3" t="s">
        <v>207</v>
      </c>
      <c r="I378" s="3" t="s">
        <v>208</v>
      </c>
      <c r="J378" s="3" t="s">
        <v>209</v>
      </c>
      <c r="K378" s="32" t="s">
        <v>210</v>
      </c>
      <c r="L378" s="32" t="s">
        <v>211</v>
      </c>
      <c r="M378" s="32" t="s">
        <v>212</v>
      </c>
      <c r="N378" s="3" t="str">
        <f t="shared" si="114"/>
        <v>DMo&amp;0&amp;rDXGF&amp;Ex&amp;dxAC_equip</v>
      </c>
      <c r="O378" s="3" t="s">
        <v>62</v>
      </c>
      <c r="P378" s="3">
        <v>0</v>
      </c>
      <c r="Q378" s="3" t="s">
        <v>51</v>
      </c>
      <c r="R378" s="3" t="s">
        <v>52</v>
      </c>
      <c r="S378" s="3" t="str">
        <f t="shared" si="107"/>
        <v>No</v>
      </c>
      <c r="T378" s="3" t="str">
        <f t="shared" si="117"/>
        <v>dxAC_equip</v>
      </c>
      <c r="U378" s="3" t="str">
        <f t="shared" si="118"/>
        <v>dxAC_equip</v>
      </c>
      <c r="V378" s="3" t="s">
        <v>111</v>
      </c>
      <c r="W378" s="3" t="s">
        <v>213</v>
      </c>
      <c r="X378" s="3" t="s">
        <v>111</v>
      </c>
      <c r="Y378" s="3" t="s">
        <v>213</v>
      </c>
      <c r="Z378" s="3" t="s">
        <v>214</v>
      </c>
      <c r="AA378" s="3" t="s">
        <v>55</v>
      </c>
      <c r="AB378" s="3" t="s">
        <v>56</v>
      </c>
      <c r="AC378" s="3" t="s">
        <v>215</v>
      </c>
      <c r="AE378" s="35"/>
    </row>
    <row r="379" spans="1:31" s="3" customFormat="1" x14ac:dyDescent="0.25">
      <c r="A379" s="3" t="s">
        <v>0</v>
      </c>
      <c r="B379" s="3" t="s">
        <v>10675</v>
      </c>
      <c r="C379" s="3" t="s">
        <v>10659</v>
      </c>
      <c r="D379" s="3" t="str">
        <f t="shared" si="98"/>
        <v>SWHC049-03 SEER Rated AC/HP_MFm</v>
      </c>
      <c r="F379" s="3" t="s">
        <v>206</v>
      </c>
      <c r="G379" s="3" t="str">
        <f t="shared" si="105"/>
        <v>RE-HV-AC-Pkg-18to65kBtuh-S16p0</v>
      </c>
      <c r="H379" s="3" t="s">
        <v>207</v>
      </c>
      <c r="I379" s="3" t="s">
        <v>208</v>
      </c>
      <c r="J379" s="3" t="s">
        <v>209</v>
      </c>
      <c r="K379" s="32" t="s">
        <v>210</v>
      </c>
      <c r="L379" s="32" t="s">
        <v>211</v>
      </c>
      <c r="M379" s="32" t="s">
        <v>212</v>
      </c>
      <c r="N379" s="3" t="str">
        <f t="shared" si="114"/>
        <v>MFm&amp;0&amp;rDXGF&amp;Ex&amp;dxAC_equip</v>
      </c>
      <c r="O379" s="3" t="s">
        <v>63</v>
      </c>
      <c r="P379" s="3">
        <v>0</v>
      </c>
      <c r="Q379" s="3" t="s">
        <v>51</v>
      </c>
      <c r="R379" s="3" t="s">
        <v>52</v>
      </c>
      <c r="S379" s="3" t="str">
        <f t="shared" si="107"/>
        <v>No</v>
      </c>
      <c r="T379" s="3" t="str">
        <f t="shared" si="117"/>
        <v>dxAC_equip</v>
      </c>
      <c r="U379" s="3" t="str">
        <f t="shared" si="118"/>
        <v>dxAC_equip</v>
      </c>
      <c r="V379" s="3" t="s">
        <v>111</v>
      </c>
      <c r="W379" s="3" t="s">
        <v>213</v>
      </c>
      <c r="X379" s="3" t="s">
        <v>111</v>
      </c>
      <c r="Y379" s="3" t="s">
        <v>213</v>
      </c>
      <c r="Z379" s="3" t="s">
        <v>214</v>
      </c>
      <c r="AA379" s="3" t="s">
        <v>55</v>
      </c>
      <c r="AB379" s="3" t="s">
        <v>56</v>
      </c>
      <c r="AC379" s="3" t="s">
        <v>215</v>
      </c>
    </row>
    <row r="380" spans="1:31" s="3" customFormat="1" x14ac:dyDescent="0.25">
      <c r="A380" s="3" t="s">
        <v>0</v>
      </c>
      <c r="B380" s="3" t="s">
        <v>10675</v>
      </c>
      <c r="C380" s="3" t="s">
        <v>10659</v>
      </c>
      <c r="D380" s="3" t="str">
        <f t="shared" si="98"/>
        <v>SWHC049-03 SEER Rated AC/HP_SFm</v>
      </c>
      <c r="F380" s="3" t="s">
        <v>206</v>
      </c>
      <c r="G380" s="3" t="str">
        <f t="shared" ref="G380:G387" si="119">F380</f>
        <v>RE-HV-AC-Pkg-18to65kBtuh-S16p0</v>
      </c>
      <c r="H380" s="3" t="s">
        <v>207</v>
      </c>
      <c r="I380" s="3" t="s">
        <v>208</v>
      </c>
      <c r="J380" s="3" t="s">
        <v>209</v>
      </c>
      <c r="K380" s="32" t="s">
        <v>210</v>
      </c>
      <c r="L380" s="32" t="s">
        <v>211</v>
      </c>
      <c r="M380" s="32" t="s">
        <v>212</v>
      </c>
      <c r="N380" s="3" t="str">
        <f t="shared" si="114"/>
        <v>SFm&amp;1&amp;rDXGF&amp;New&amp;dxAC_equip</v>
      </c>
      <c r="O380" s="3" t="s">
        <v>50</v>
      </c>
      <c r="P380" s="3">
        <v>1</v>
      </c>
      <c r="Q380" s="3" t="s">
        <v>51</v>
      </c>
      <c r="R380" s="3" t="s">
        <v>107</v>
      </c>
      <c r="S380" s="3" t="str">
        <f t="shared" si="107"/>
        <v>No</v>
      </c>
      <c r="T380" s="3" t="str">
        <f t="shared" si="117"/>
        <v>dxAC_equip</v>
      </c>
      <c r="U380" s="3" t="str">
        <f t="shared" si="118"/>
        <v>dxAC_equip</v>
      </c>
      <c r="V380" s="3" t="s">
        <v>111</v>
      </c>
      <c r="W380" s="3" t="s">
        <v>213</v>
      </c>
      <c r="X380" s="3" t="s">
        <v>111</v>
      </c>
      <c r="Y380" s="3" t="s">
        <v>213</v>
      </c>
      <c r="Z380" s="3" t="s">
        <v>214</v>
      </c>
      <c r="AA380" s="3" t="s">
        <v>55</v>
      </c>
      <c r="AB380" s="3" t="s">
        <v>56</v>
      </c>
      <c r="AC380" s="3" t="s">
        <v>215</v>
      </c>
    </row>
    <row r="381" spans="1:31" s="3" customFormat="1" x14ac:dyDescent="0.25">
      <c r="A381" s="3" t="s">
        <v>0</v>
      </c>
      <c r="B381" s="3" t="s">
        <v>10675</v>
      </c>
      <c r="C381" s="3" t="s">
        <v>10659</v>
      </c>
      <c r="D381" s="3" t="str">
        <f t="shared" si="98"/>
        <v>SWHC049-03 SEER Rated AC/HP_SFm</v>
      </c>
      <c r="F381" s="3" t="s">
        <v>206</v>
      </c>
      <c r="G381" s="3" t="str">
        <f t="shared" si="119"/>
        <v>RE-HV-AC-Pkg-18to65kBtuh-S16p0</v>
      </c>
      <c r="H381" s="3" t="s">
        <v>207</v>
      </c>
      <c r="I381" s="3" t="s">
        <v>208</v>
      </c>
      <c r="J381" s="3" t="s">
        <v>209</v>
      </c>
      <c r="K381" s="32" t="s">
        <v>210</v>
      </c>
      <c r="L381" s="32" t="s">
        <v>211</v>
      </c>
      <c r="M381" s="32" t="s">
        <v>212</v>
      </c>
      <c r="N381" s="3" t="str">
        <f t="shared" si="114"/>
        <v>SFm&amp;2&amp;rDXGF&amp;New&amp;dxAC_equip</v>
      </c>
      <c r="O381" s="3" t="s">
        <v>50</v>
      </c>
      <c r="P381" s="3">
        <v>2</v>
      </c>
      <c r="Q381" s="3" t="s">
        <v>51</v>
      </c>
      <c r="R381" s="3" t="s">
        <v>107</v>
      </c>
      <c r="S381" s="3" t="str">
        <f t="shared" si="107"/>
        <v>No</v>
      </c>
      <c r="T381" s="3" t="str">
        <f t="shared" si="117"/>
        <v>dxAC_equip</v>
      </c>
      <c r="U381" s="3" t="str">
        <f t="shared" si="118"/>
        <v>dxAC_equip</v>
      </c>
      <c r="V381" s="3" t="s">
        <v>111</v>
      </c>
      <c r="W381" s="3" t="s">
        <v>213</v>
      </c>
      <c r="X381" s="3" t="s">
        <v>111</v>
      </c>
      <c r="Y381" s="3" t="s">
        <v>213</v>
      </c>
      <c r="Z381" s="3" t="s">
        <v>214</v>
      </c>
      <c r="AA381" s="3" t="s">
        <v>55</v>
      </c>
      <c r="AB381" s="3" t="s">
        <v>56</v>
      </c>
      <c r="AC381" s="3" t="s">
        <v>215</v>
      </c>
    </row>
    <row r="382" spans="1:31" s="3" customFormat="1" x14ac:dyDescent="0.25">
      <c r="A382" s="3" t="s">
        <v>0</v>
      </c>
      <c r="B382" s="3" t="s">
        <v>10675</v>
      </c>
      <c r="C382" s="3" t="s">
        <v>10659</v>
      </c>
      <c r="D382" s="3" t="str">
        <f t="shared" si="98"/>
        <v>SWHC049-03 SEER Rated AC/HP_DMo</v>
      </c>
      <c r="F382" s="3" t="s">
        <v>206</v>
      </c>
      <c r="G382" s="3" t="str">
        <f t="shared" si="119"/>
        <v>RE-HV-AC-Pkg-18to65kBtuh-S16p0</v>
      </c>
      <c r="H382" s="3" t="s">
        <v>207</v>
      </c>
      <c r="I382" s="3" t="s">
        <v>208</v>
      </c>
      <c r="J382" s="3" t="s">
        <v>209</v>
      </c>
      <c r="K382" s="32" t="s">
        <v>210</v>
      </c>
      <c r="L382" s="32" t="s">
        <v>211</v>
      </c>
      <c r="M382" s="32" t="s">
        <v>212</v>
      </c>
      <c r="N382" s="3" t="str">
        <f t="shared" si="114"/>
        <v>DMo&amp;0&amp;rDXGF&amp;New&amp;dxAC_equip</v>
      </c>
      <c r="O382" s="3" t="s">
        <v>62</v>
      </c>
      <c r="P382" s="3">
        <v>0</v>
      </c>
      <c r="Q382" s="3" t="s">
        <v>51</v>
      </c>
      <c r="R382" s="3" t="s">
        <v>107</v>
      </c>
      <c r="S382" s="3" t="str">
        <f t="shared" si="107"/>
        <v>No</v>
      </c>
      <c r="T382" s="3" t="str">
        <f t="shared" si="117"/>
        <v>dxAC_equip</v>
      </c>
      <c r="U382" s="3" t="str">
        <f t="shared" si="118"/>
        <v>dxAC_equip</v>
      </c>
      <c r="V382" s="3" t="s">
        <v>111</v>
      </c>
      <c r="W382" s="3" t="s">
        <v>213</v>
      </c>
      <c r="X382" s="3" t="s">
        <v>111</v>
      </c>
      <c r="Y382" s="3" t="s">
        <v>213</v>
      </c>
      <c r="Z382" s="3" t="s">
        <v>214</v>
      </c>
      <c r="AA382" s="3" t="s">
        <v>55</v>
      </c>
      <c r="AB382" s="3" t="s">
        <v>56</v>
      </c>
      <c r="AC382" s="3" t="s">
        <v>215</v>
      </c>
    </row>
    <row r="383" spans="1:31" s="3" customFormat="1" x14ac:dyDescent="0.25">
      <c r="A383" s="3" t="s">
        <v>0</v>
      </c>
      <c r="B383" s="3" t="s">
        <v>10675</v>
      </c>
      <c r="C383" s="3" t="s">
        <v>10659</v>
      </c>
      <c r="D383" s="3" t="str">
        <f t="shared" si="98"/>
        <v>SWHC049-03 SEER Rated AC/HP_MFm</v>
      </c>
      <c r="F383" s="3" t="s">
        <v>206</v>
      </c>
      <c r="G383" s="3" t="str">
        <f t="shared" si="119"/>
        <v>RE-HV-AC-Pkg-18to65kBtuh-S16p0</v>
      </c>
      <c r="H383" s="3" t="s">
        <v>207</v>
      </c>
      <c r="I383" s="3" t="s">
        <v>208</v>
      </c>
      <c r="J383" s="3" t="s">
        <v>209</v>
      </c>
      <c r="K383" s="32" t="s">
        <v>210</v>
      </c>
      <c r="L383" s="32" t="s">
        <v>211</v>
      </c>
      <c r="M383" s="32" t="s">
        <v>212</v>
      </c>
      <c r="N383" s="3" t="str">
        <f t="shared" si="114"/>
        <v>MFm&amp;0&amp;rDXGF&amp;New&amp;dxAC_equip</v>
      </c>
      <c r="O383" s="3" t="s">
        <v>63</v>
      </c>
      <c r="P383" s="3">
        <v>0</v>
      </c>
      <c r="Q383" s="3" t="s">
        <v>51</v>
      </c>
      <c r="R383" s="3" t="s">
        <v>107</v>
      </c>
      <c r="S383" s="3" t="str">
        <f t="shared" si="107"/>
        <v>No</v>
      </c>
      <c r="T383" s="3" t="str">
        <f t="shared" si="117"/>
        <v>dxAC_equip</v>
      </c>
      <c r="U383" s="3" t="str">
        <f t="shared" si="118"/>
        <v>dxAC_equip</v>
      </c>
      <c r="V383" s="3" t="s">
        <v>111</v>
      </c>
      <c r="W383" s="3" t="s">
        <v>213</v>
      </c>
      <c r="X383" s="3" t="s">
        <v>111</v>
      </c>
      <c r="Y383" s="3" t="s">
        <v>213</v>
      </c>
      <c r="Z383" s="3" t="s">
        <v>214</v>
      </c>
      <c r="AA383" s="3" t="s">
        <v>55</v>
      </c>
      <c r="AB383" s="3" t="s">
        <v>56</v>
      </c>
      <c r="AC383" s="3" t="s">
        <v>215</v>
      </c>
    </row>
    <row r="384" spans="1:31" s="3" customFormat="1" x14ac:dyDescent="0.25">
      <c r="A384" s="3" t="s">
        <v>0</v>
      </c>
      <c r="B384" s="3" t="s">
        <v>10675</v>
      </c>
      <c r="C384" s="3" t="s">
        <v>10659</v>
      </c>
      <c r="D384" s="3" t="str">
        <f t="shared" si="98"/>
        <v>SWHC049-03 SEER Rated AC/HP_SFm</v>
      </c>
      <c r="F384" s="3" t="s">
        <v>216</v>
      </c>
      <c r="G384" s="3" t="str">
        <f t="shared" si="119"/>
        <v>RE-HV-AC-Pkg-18to65kBtuh-S17p0</v>
      </c>
      <c r="H384" s="3" t="s">
        <v>207</v>
      </c>
      <c r="I384" s="3" t="s">
        <v>208</v>
      </c>
      <c r="J384" s="3" t="s">
        <v>217</v>
      </c>
      <c r="K384" s="32" t="s">
        <v>210</v>
      </c>
      <c r="L384" s="32" t="s">
        <v>211</v>
      </c>
      <c r="M384" s="32" t="s">
        <v>218</v>
      </c>
      <c r="N384" s="3" t="str">
        <f t="shared" si="114"/>
        <v>SFm&amp;1&amp;rDXGF&amp;Ex&amp;dxAC_equip</v>
      </c>
      <c r="O384" s="3" t="s">
        <v>50</v>
      </c>
      <c r="P384" s="3">
        <v>1</v>
      </c>
      <c r="Q384" s="3" t="s">
        <v>51</v>
      </c>
      <c r="R384" s="3" t="s">
        <v>52</v>
      </c>
      <c r="S384" s="3" t="str">
        <f t="shared" si="107"/>
        <v>No</v>
      </c>
      <c r="T384" s="3" t="str">
        <f t="shared" si="117"/>
        <v>dxAC_equip</v>
      </c>
      <c r="U384" s="3" t="str">
        <f t="shared" si="118"/>
        <v>dxAC_equip</v>
      </c>
      <c r="V384" s="3" t="s">
        <v>111</v>
      </c>
      <c r="W384" s="3" t="s">
        <v>213</v>
      </c>
      <c r="X384" s="3" t="s">
        <v>111</v>
      </c>
      <c r="Y384" s="3" t="s">
        <v>213</v>
      </c>
      <c r="Z384" s="3" t="s">
        <v>214</v>
      </c>
      <c r="AA384" s="3" t="s">
        <v>55</v>
      </c>
      <c r="AB384" s="3" t="s">
        <v>56</v>
      </c>
      <c r="AC384" s="3" t="s">
        <v>215</v>
      </c>
    </row>
    <row r="385" spans="1:29" s="3" customFormat="1" x14ac:dyDescent="0.25">
      <c r="A385" s="3" t="s">
        <v>0</v>
      </c>
      <c r="B385" s="3" t="s">
        <v>10675</v>
      </c>
      <c r="C385" s="3" t="s">
        <v>10659</v>
      </c>
      <c r="D385" s="3" t="str">
        <f t="shared" si="98"/>
        <v>SWHC049-03 SEER Rated AC/HP_SFm</v>
      </c>
      <c r="F385" s="3" t="s">
        <v>216</v>
      </c>
      <c r="G385" s="3" t="str">
        <f t="shared" si="119"/>
        <v>RE-HV-AC-Pkg-18to65kBtuh-S17p0</v>
      </c>
      <c r="H385" s="3" t="s">
        <v>207</v>
      </c>
      <c r="I385" s="3" t="s">
        <v>208</v>
      </c>
      <c r="J385" s="3" t="s">
        <v>217</v>
      </c>
      <c r="K385" s="32" t="s">
        <v>210</v>
      </c>
      <c r="L385" s="32" t="s">
        <v>211</v>
      </c>
      <c r="M385" s="32" t="s">
        <v>218</v>
      </c>
      <c r="N385" s="3" t="str">
        <f t="shared" si="114"/>
        <v>SFm&amp;2&amp;rDXGF&amp;Ex&amp;dxAC_equip</v>
      </c>
      <c r="O385" s="3" t="s">
        <v>50</v>
      </c>
      <c r="P385" s="3">
        <v>2</v>
      </c>
      <c r="Q385" s="3" t="s">
        <v>51</v>
      </c>
      <c r="R385" s="3" t="s">
        <v>52</v>
      </c>
      <c r="S385" s="3" t="str">
        <f t="shared" si="107"/>
        <v>No</v>
      </c>
      <c r="T385" s="3" t="str">
        <f t="shared" si="117"/>
        <v>dxAC_equip</v>
      </c>
      <c r="U385" s="3" t="str">
        <f t="shared" si="118"/>
        <v>dxAC_equip</v>
      </c>
      <c r="V385" s="3" t="s">
        <v>111</v>
      </c>
      <c r="W385" s="3" t="s">
        <v>213</v>
      </c>
      <c r="X385" s="3" t="s">
        <v>111</v>
      </c>
      <c r="Y385" s="3" t="s">
        <v>213</v>
      </c>
      <c r="Z385" s="3" t="s">
        <v>214</v>
      </c>
      <c r="AA385" s="3" t="s">
        <v>55</v>
      </c>
      <c r="AB385" s="3" t="s">
        <v>56</v>
      </c>
      <c r="AC385" s="3" t="s">
        <v>215</v>
      </c>
    </row>
    <row r="386" spans="1:29" s="3" customFormat="1" x14ac:dyDescent="0.25">
      <c r="A386" s="3" t="s">
        <v>0</v>
      </c>
      <c r="B386" s="3" t="s">
        <v>10675</v>
      </c>
      <c r="C386" s="3" t="s">
        <v>10659</v>
      </c>
      <c r="D386" s="3" t="str">
        <f t="shared" si="98"/>
        <v>SWHC049-03 SEER Rated AC/HP_DMo</v>
      </c>
      <c r="F386" s="3" t="s">
        <v>216</v>
      </c>
      <c r="G386" s="3" t="str">
        <f t="shared" si="119"/>
        <v>RE-HV-AC-Pkg-18to65kBtuh-S17p0</v>
      </c>
      <c r="H386" s="3" t="s">
        <v>207</v>
      </c>
      <c r="I386" s="3" t="s">
        <v>208</v>
      </c>
      <c r="J386" s="3" t="s">
        <v>217</v>
      </c>
      <c r="K386" s="32" t="s">
        <v>210</v>
      </c>
      <c r="L386" s="32" t="s">
        <v>211</v>
      </c>
      <c r="M386" s="32" t="s">
        <v>218</v>
      </c>
      <c r="N386" s="3" t="str">
        <f t="shared" si="114"/>
        <v>DMo&amp;0&amp;rDXGF&amp;Ex&amp;dxAC_equip</v>
      </c>
      <c r="O386" s="3" t="s">
        <v>62</v>
      </c>
      <c r="P386" s="3">
        <v>0</v>
      </c>
      <c r="Q386" s="3" t="s">
        <v>51</v>
      </c>
      <c r="R386" s="3" t="s">
        <v>52</v>
      </c>
      <c r="S386" s="3" t="str">
        <f t="shared" si="107"/>
        <v>No</v>
      </c>
      <c r="T386" s="3" t="str">
        <f t="shared" si="117"/>
        <v>dxAC_equip</v>
      </c>
      <c r="U386" s="3" t="str">
        <f t="shared" si="118"/>
        <v>dxAC_equip</v>
      </c>
      <c r="V386" s="3" t="s">
        <v>111</v>
      </c>
      <c r="W386" s="3" t="s">
        <v>213</v>
      </c>
      <c r="X386" s="3" t="s">
        <v>111</v>
      </c>
      <c r="Y386" s="3" t="s">
        <v>213</v>
      </c>
      <c r="Z386" s="3" t="s">
        <v>214</v>
      </c>
      <c r="AA386" s="3" t="s">
        <v>55</v>
      </c>
      <c r="AB386" s="3" t="s">
        <v>56</v>
      </c>
      <c r="AC386" s="3" t="s">
        <v>215</v>
      </c>
    </row>
    <row r="387" spans="1:29" s="3" customFormat="1" x14ac:dyDescent="0.25">
      <c r="A387" s="3" t="s">
        <v>0</v>
      </c>
      <c r="B387" s="3" t="s">
        <v>10675</v>
      </c>
      <c r="C387" s="3" t="s">
        <v>10659</v>
      </c>
      <c r="D387" s="3" t="str">
        <f t="shared" si="98"/>
        <v>SWHC049-03 SEER Rated AC/HP_MFm</v>
      </c>
      <c r="F387" s="3" t="s">
        <v>216</v>
      </c>
      <c r="G387" s="3" t="str">
        <f t="shared" si="119"/>
        <v>RE-HV-AC-Pkg-18to65kBtuh-S17p0</v>
      </c>
      <c r="H387" s="3" t="s">
        <v>207</v>
      </c>
      <c r="I387" s="3" t="s">
        <v>208</v>
      </c>
      <c r="J387" s="3" t="s">
        <v>217</v>
      </c>
      <c r="K387" s="32" t="s">
        <v>210</v>
      </c>
      <c r="L387" s="32" t="s">
        <v>211</v>
      </c>
      <c r="M387" s="32" t="s">
        <v>218</v>
      </c>
      <c r="N387" s="3" t="str">
        <f t="shared" si="114"/>
        <v>MFm&amp;0&amp;rDXGF&amp;Ex&amp;dxAC_equip</v>
      </c>
      <c r="O387" s="3" t="s">
        <v>63</v>
      </c>
      <c r="P387" s="3">
        <v>0</v>
      </c>
      <c r="Q387" s="3" t="s">
        <v>51</v>
      </c>
      <c r="R387" s="3" t="s">
        <v>52</v>
      </c>
      <c r="S387" s="3" t="str">
        <f t="shared" si="107"/>
        <v>No</v>
      </c>
      <c r="T387" s="3" t="str">
        <f t="shared" si="117"/>
        <v>dxAC_equip</v>
      </c>
      <c r="U387" s="3" t="str">
        <f t="shared" si="118"/>
        <v>dxAC_equip</v>
      </c>
      <c r="V387" s="3" t="s">
        <v>111</v>
      </c>
      <c r="W387" s="3" t="s">
        <v>213</v>
      </c>
      <c r="X387" s="3" t="s">
        <v>111</v>
      </c>
      <c r="Y387" s="3" t="s">
        <v>213</v>
      </c>
      <c r="Z387" s="3" t="s">
        <v>214</v>
      </c>
      <c r="AA387" s="3" t="s">
        <v>55</v>
      </c>
      <c r="AB387" s="3" t="s">
        <v>56</v>
      </c>
      <c r="AC387" s="3" t="s">
        <v>215</v>
      </c>
    </row>
    <row r="388" spans="1:29" s="3" customFormat="1" x14ac:dyDescent="0.25">
      <c r="A388" s="3" t="s">
        <v>0</v>
      </c>
      <c r="B388" s="3" t="s">
        <v>10675</v>
      </c>
      <c r="C388" s="3" t="s">
        <v>10659</v>
      </c>
      <c r="D388" s="3" t="str">
        <f t="shared" si="98"/>
        <v>SWHC049-03 SEER Rated AC/HP_SFm</v>
      </c>
      <c r="F388" s="3" t="s">
        <v>216</v>
      </c>
      <c r="G388" s="3" t="str">
        <f t="shared" ref="G388:G395" si="120">F388</f>
        <v>RE-HV-AC-Pkg-18to65kBtuh-S17p0</v>
      </c>
      <c r="H388" s="3" t="s">
        <v>207</v>
      </c>
      <c r="I388" s="3" t="s">
        <v>208</v>
      </c>
      <c r="J388" s="3" t="s">
        <v>217</v>
      </c>
      <c r="K388" s="32" t="s">
        <v>210</v>
      </c>
      <c r="L388" s="32" t="s">
        <v>211</v>
      </c>
      <c r="M388" s="32" t="s">
        <v>218</v>
      </c>
      <c r="N388" s="3" t="str">
        <f t="shared" si="114"/>
        <v>SFm&amp;1&amp;rDXGF&amp;New&amp;dxAC_equip</v>
      </c>
      <c r="O388" s="3" t="s">
        <v>50</v>
      </c>
      <c r="P388" s="3">
        <v>1</v>
      </c>
      <c r="Q388" s="3" t="s">
        <v>51</v>
      </c>
      <c r="R388" s="3" t="s">
        <v>107</v>
      </c>
      <c r="S388" s="3" t="str">
        <f t="shared" si="107"/>
        <v>No</v>
      </c>
      <c r="T388" s="3" t="str">
        <f t="shared" si="117"/>
        <v>dxAC_equip</v>
      </c>
      <c r="U388" s="3" t="str">
        <f t="shared" si="118"/>
        <v>dxAC_equip</v>
      </c>
      <c r="V388" s="3" t="s">
        <v>111</v>
      </c>
      <c r="W388" s="3" t="s">
        <v>213</v>
      </c>
      <c r="X388" s="3" t="s">
        <v>111</v>
      </c>
      <c r="Y388" s="3" t="s">
        <v>213</v>
      </c>
      <c r="Z388" s="3" t="s">
        <v>214</v>
      </c>
      <c r="AA388" s="3" t="s">
        <v>55</v>
      </c>
      <c r="AB388" s="3" t="s">
        <v>56</v>
      </c>
      <c r="AC388" s="3" t="s">
        <v>215</v>
      </c>
    </row>
    <row r="389" spans="1:29" s="3" customFormat="1" x14ac:dyDescent="0.25">
      <c r="A389" s="3" t="s">
        <v>0</v>
      </c>
      <c r="B389" s="3" t="s">
        <v>10675</v>
      </c>
      <c r="C389" s="3" t="s">
        <v>10659</v>
      </c>
      <c r="D389" s="3" t="str">
        <f t="shared" si="98"/>
        <v>SWHC049-03 SEER Rated AC/HP_SFm</v>
      </c>
      <c r="F389" s="3" t="s">
        <v>216</v>
      </c>
      <c r="G389" s="3" t="str">
        <f t="shared" si="120"/>
        <v>RE-HV-AC-Pkg-18to65kBtuh-S17p0</v>
      </c>
      <c r="H389" s="3" t="s">
        <v>207</v>
      </c>
      <c r="I389" s="3" t="s">
        <v>208</v>
      </c>
      <c r="J389" s="3" t="s">
        <v>217</v>
      </c>
      <c r="K389" s="32" t="s">
        <v>210</v>
      </c>
      <c r="L389" s="32" t="s">
        <v>211</v>
      </c>
      <c r="M389" s="32" t="s">
        <v>218</v>
      </c>
      <c r="N389" s="3" t="str">
        <f t="shared" si="114"/>
        <v>SFm&amp;2&amp;rDXGF&amp;New&amp;dxAC_equip</v>
      </c>
      <c r="O389" s="3" t="s">
        <v>50</v>
      </c>
      <c r="P389" s="3">
        <v>2</v>
      </c>
      <c r="Q389" s="3" t="s">
        <v>51</v>
      </c>
      <c r="R389" s="3" t="s">
        <v>107</v>
      </c>
      <c r="S389" s="3" t="str">
        <f t="shared" si="107"/>
        <v>No</v>
      </c>
      <c r="T389" s="3" t="str">
        <f t="shared" si="117"/>
        <v>dxAC_equip</v>
      </c>
      <c r="U389" s="3" t="str">
        <f t="shared" si="118"/>
        <v>dxAC_equip</v>
      </c>
      <c r="V389" s="3" t="s">
        <v>111</v>
      </c>
      <c r="W389" s="3" t="s">
        <v>213</v>
      </c>
      <c r="X389" s="3" t="s">
        <v>111</v>
      </c>
      <c r="Y389" s="3" t="s">
        <v>213</v>
      </c>
      <c r="Z389" s="3" t="s">
        <v>214</v>
      </c>
      <c r="AA389" s="3" t="s">
        <v>55</v>
      </c>
      <c r="AB389" s="3" t="s">
        <v>56</v>
      </c>
      <c r="AC389" s="3" t="s">
        <v>215</v>
      </c>
    </row>
    <row r="390" spans="1:29" s="3" customFormat="1" x14ac:dyDescent="0.25">
      <c r="A390" s="3" t="s">
        <v>0</v>
      </c>
      <c r="B390" s="3" t="s">
        <v>10675</v>
      </c>
      <c r="C390" s="3" t="s">
        <v>10659</v>
      </c>
      <c r="D390" s="3" t="str">
        <f t="shared" si="98"/>
        <v>SWHC049-03 SEER Rated AC/HP_DMo</v>
      </c>
      <c r="F390" s="3" t="s">
        <v>216</v>
      </c>
      <c r="G390" s="3" t="str">
        <f t="shared" si="120"/>
        <v>RE-HV-AC-Pkg-18to65kBtuh-S17p0</v>
      </c>
      <c r="H390" s="3" t="s">
        <v>207</v>
      </c>
      <c r="I390" s="3" t="s">
        <v>208</v>
      </c>
      <c r="J390" s="3" t="s">
        <v>217</v>
      </c>
      <c r="K390" s="32" t="s">
        <v>210</v>
      </c>
      <c r="L390" s="32" t="s">
        <v>211</v>
      </c>
      <c r="M390" s="32" t="s">
        <v>218</v>
      </c>
      <c r="N390" s="3" t="str">
        <f t="shared" si="114"/>
        <v>DMo&amp;0&amp;rDXGF&amp;New&amp;dxAC_equip</v>
      </c>
      <c r="O390" s="3" t="s">
        <v>62</v>
      </c>
      <c r="P390" s="3">
        <v>0</v>
      </c>
      <c r="Q390" s="3" t="s">
        <v>51</v>
      </c>
      <c r="R390" s="3" t="s">
        <v>107</v>
      </c>
      <c r="S390" s="3" t="str">
        <f t="shared" si="107"/>
        <v>No</v>
      </c>
      <c r="T390" s="3" t="str">
        <f t="shared" si="117"/>
        <v>dxAC_equip</v>
      </c>
      <c r="U390" s="3" t="str">
        <f t="shared" si="118"/>
        <v>dxAC_equip</v>
      </c>
      <c r="V390" s="3" t="s">
        <v>111</v>
      </c>
      <c r="W390" s="3" t="s">
        <v>213</v>
      </c>
      <c r="X390" s="3" t="s">
        <v>111</v>
      </c>
      <c r="Y390" s="3" t="s">
        <v>213</v>
      </c>
      <c r="Z390" s="3" t="s">
        <v>214</v>
      </c>
      <c r="AA390" s="3" t="s">
        <v>55</v>
      </c>
      <c r="AB390" s="3" t="s">
        <v>56</v>
      </c>
      <c r="AC390" s="3" t="s">
        <v>215</v>
      </c>
    </row>
    <row r="391" spans="1:29" s="3" customFormat="1" x14ac:dyDescent="0.25">
      <c r="A391" s="3" t="s">
        <v>0</v>
      </c>
      <c r="B391" s="3" t="s">
        <v>10675</v>
      </c>
      <c r="C391" s="3" t="s">
        <v>10659</v>
      </c>
      <c r="D391" s="3" t="str">
        <f t="shared" ref="D391:D454" si="121">_xlfn.CONCAT(C391, " ", A391,"_",O391)</f>
        <v>SWHC049-03 SEER Rated AC/HP_MFm</v>
      </c>
      <c r="F391" s="3" t="s">
        <v>216</v>
      </c>
      <c r="G391" s="3" t="str">
        <f t="shared" si="120"/>
        <v>RE-HV-AC-Pkg-18to65kBtuh-S17p0</v>
      </c>
      <c r="H391" s="3" t="s">
        <v>207</v>
      </c>
      <c r="I391" s="3" t="s">
        <v>208</v>
      </c>
      <c r="J391" s="3" t="s">
        <v>217</v>
      </c>
      <c r="K391" s="32" t="s">
        <v>210</v>
      </c>
      <c r="L391" s="32" t="s">
        <v>211</v>
      </c>
      <c r="M391" s="32" t="s">
        <v>218</v>
      </c>
      <c r="N391" s="3" t="str">
        <f t="shared" si="114"/>
        <v>MFm&amp;0&amp;rDXGF&amp;New&amp;dxAC_equip</v>
      </c>
      <c r="O391" s="3" t="s">
        <v>63</v>
      </c>
      <c r="P391" s="3">
        <v>0</v>
      </c>
      <c r="Q391" s="3" t="s">
        <v>51</v>
      </c>
      <c r="R391" s="3" t="s">
        <v>107</v>
      </c>
      <c r="S391" s="3" t="str">
        <f t="shared" si="107"/>
        <v>No</v>
      </c>
      <c r="T391" s="3" t="str">
        <f t="shared" si="117"/>
        <v>dxAC_equip</v>
      </c>
      <c r="U391" s="3" t="str">
        <f t="shared" si="118"/>
        <v>dxAC_equip</v>
      </c>
      <c r="V391" s="3" t="s">
        <v>111</v>
      </c>
      <c r="W391" s="3" t="s">
        <v>213</v>
      </c>
      <c r="X391" s="3" t="s">
        <v>111</v>
      </c>
      <c r="Y391" s="3" t="s">
        <v>213</v>
      </c>
      <c r="Z391" s="3" t="s">
        <v>214</v>
      </c>
      <c r="AA391" s="3" t="s">
        <v>55</v>
      </c>
      <c r="AB391" s="3" t="s">
        <v>56</v>
      </c>
      <c r="AC391" s="3" t="s">
        <v>215</v>
      </c>
    </row>
    <row r="392" spans="1:29" s="3" customFormat="1" x14ac:dyDescent="0.25">
      <c r="A392" s="3" t="s">
        <v>0</v>
      </c>
      <c r="B392" s="3" t="s">
        <v>10675</v>
      </c>
      <c r="C392" s="3" t="s">
        <v>10659</v>
      </c>
      <c r="D392" s="3" t="str">
        <f t="shared" si="121"/>
        <v>SWHC049-03 SEER Rated AC/HP_SFm</v>
      </c>
      <c r="F392" s="3" t="s">
        <v>219</v>
      </c>
      <c r="G392" s="3" t="str">
        <f t="shared" si="120"/>
        <v>RE-HV-AC-Pkg-18to65kBtuh-S18p0</v>
      </c>
      <c r="H392" s="3" t="s">
        <v>207</v>
      </c>
      <c r="I392" s="3" t="s">
        <v>208</v>
      </c>
      <c r="J392" s="3" t="s">
        <v>220</v>
      </c>
      <c r="K392" s="32" t="s">
        <v>210</v>
      </c>
      <c r="L392" s="32" t="s">
        <v>211</v>
      </c>
      <c r="M392" s="32" t="s">
        <v>221</v>
      </c>
      <c r="N392" s="3" t="str">
        <f t="shared" si="114"/>
        <v>SFm&amp;1&amp;rDXGF&amp;Ex&amp;dxAC_equip</v>
      </c>
      <c r="O392" s="3" t="s">
        <v>50</v>
      </c>
      <c r="P392" s="3">
        <v>1</v>
      </c>
      <c r="Q392" s="3" t="s">
        <v>51</v>
      </c>
      <c r="R392" s="3" t="s">
        <v>52</v>
      </c>
      <c r="S392" s="3" t="str">
        <f t="shared" si="107"/>
        <v>No</v>
      </c>
      <c r="T392" s="3" t="str">
        <f t="shared" si="117"/>
        <v>dxAC_equip</v>
      </c>
      <c r="U392" s="3" t="str">
        <f t="shared" si="118"/>
        <v>dxAC_equip</v>
      </c>
      <c r="V392" s="3" t="s">
        <v>111</v>
      </c>
      <c r="W392" s="3" t="s">
        <v>213</v>
      </c>
      <c r="X392" s="3" t="s">
        <v>111</v>
      </c>
      <c r="Y392" s="3" t="s">
        <v>213</v>
      </c>
      <c r="Z392" s="3" t="s">
        <v>214</v>
      </c>
      <c r="AA392" s="3" t="s">
        <v>55</v>
      </c>
      <c r="AB392" s="3" t="s">
        <v>56</v>
      </c>
      <c r="AC392" s="3" t="s">
        <v>215</v>
      </c>
    </row>
    <row r="393" spans="1:29" s="3" customFormat="1" x14ac:dyDescent="0.25">
      <c r="A393" s="3" t="s">
        <v>0</v>
      </c>
      <c r="B393" s="3" t="s">
        <v>10675</v>
      </c>
      <c r="C393" s="3" t="s">
        <v>10659</v>
      </c>
      <c r="D393" s="3" t="str">
        <f t="shared" si="121"/>
        <v>SWHC049-03 SEER Rated AC/HP_SFm</v>
      </c>
      <c r="F393" s="3" t="s">
        <v>219</v>
      </c>
      <c r="G393" s="3" t="str">
        <f t="shared" si="120"/>
        <v>RE-HV-AC-Pkg-18to65kBtuh-S18p0</v>
      </c>
      <c r="H393" s="3" t="s">
        <v>207</v>
      </c>
      <c r="I393" s="3" t="s">
        <v>208</v>
      </c>
      <c r="J393" s="3" t="s">
        <v>220</v>
      </c>
      <c r="K393" s="32" t="s">
        <v>210</v>
      </c>
      <c r="L393" s="32" t="s">
        <v>211</v>
      </c>
      <c r="M393" s="32" t="s">
        <v>221</v>
      </c>
      <c r="N393" s="3" t="str">
        <f t="shared" si="114"/>
        <v>SFm&amp;2&amp;rDXGF&amp;Ex&amp;dxAC_equip</v>
      </c>
      <c r="O393" s="3" t="s">
        <v>50</v>
      </c>
      <c r="P393" s="3">
        <v>2</v>
      </c>
      <c r="Q393" s="3" t="s">
        <v>51</v>
      </c>
      <c r="R393" s="3" t="s">
        <v>52</v>
      </c>
      <c r="S393" s="3" t="str">
        <f t="shared" si="107"/>
        <v>No</v>
      </c>
      <c r="T393" s="3" t="str">
        <f t="shared" si="117"/>
        <v>dxAC_equip</v>
      </c>
      <c r="U393" s="3" t="str">
        <f t="shared" si="118"/>
        <v>dxAC_equip</v>
      </c>
      <c r="V393" s="3" t="s">
        <v>111</v>
      </c>
      <c r="W393" s="3" t="s">
        <v>213</v>
      </c>
      <c r="X393" s="3" t="s">
        <v>111</v>
      </c>
      <c r="Y393" s="3" t="s">
        <v>213</v>
      </c>
      <c r="Z393" s="3" t="s">
        <v>214</v>
      </c>
      <c r="AA393" s="3" t="s">
        <v>55</v>
      </c>
      <c r="AB393" s="3" t="s">
        <v>56</v>
      </c>
      <c r="AC393" s="3" t="s">
        <v>215</v>
      </c>
    </row>
    <row r="394" spans="1:29" s="3" customFormat="1" x14ac:dyDescent="0.25">
      <c r="A394" s="3" t="s">
        <v>0</v>
      </c>
      <c r="B394" s="3" t="s">
        <v>10675</v>
      </c>
      <c r="C394" s="3" t="s">
        <v>10659</v>
      </c>
      <c r="D394" s="3" t="str">
        <f t="shared" si="121"/>
        <v>SWHC049-03 SEER Rated AC/HP_DMo</v>
      </c>
      <c r="F394" s="3" t="s">
        <v>219</v>
      </c>
      <c r="G394" s="3" t="str">
        <f t="shared" si="120"/>
        <v>RE-HV-AC-Pkg-18to65kBtuh-S18p0</v>
      </c>
      <c r="H394" s="3" t="s">
        <v>207</v>
      </c>
      <c r="I394" s="3" t="s">
        <v>208</v>
      </c>
      <c r="J394" s="3" t="s">
        <v>220</v>
      </c>
      <c r="K394" s="32" t="s">
        <v>210</v>
      </c>
      <c r="L394" s="32" t="s">
        <v>211</v>
      </c>
      <c r="M394" s="32" t="s">
        <v>221</v>
      </c>
      <c r="N394" s="3" t="str">
        <f t="shared" si="114"/>
        <v>DMo&amp;0&amp;rDXGF&amp;Ex&amp;dxAC_equip</v>
      </c>
      <c r="O394" s="3" t="s">
        <v>62</v>
      </c>
      <c r="P394" s="3">
        <v>0</v>
      </c>
      <c r="Q394" s="3" t="s">
        <v>51</v>
      </c>
      <c r="R394" s="3" t="s">
        <v>52</v>
      </c>
      <c r="S394" s="3" t="str">
        <f t="shared" si="107"/>
        <v>No</v>
      </c>
      <c r="T394" s="3" t="str">
        <f t="shared" si="117"/>
        <v>dxAC_equip</v>
      </c>
      <c r="U394" s="3" t="str">
        <f t="shared" si="118"/>
        <v>dxAC_equip</v>
      </c>
      <c r="V394" s="3" t="s">
        <v>111</v>
      </c>
      <c r="W394" s="3" t="s">
        <v>213</v>
      </c>
      <c r="X394" s="3" t="s">
        <v>111</v>
      </c>
      <c r="Y394" s="3" t="s">
        <v>213</v>
      </c>
      <c r="Z394" s="3" t="s">
        <v>214</v>
      </c>
      <c r="AA394" s="3" t="s">
        <v>55</v>
      </c>
      <c r="AB394" s="3" t="s">
        <v>56</v>
      </c>
      <c r="AC394" s="3" t="s">
        <v>215</v>
      </c>
    </row>
    <row r="395" spans="1:29" s="3" customFormat="1" x14ac:dyDescent="0.25">
      <c r="A395" s="3" t="s">
        <v>0</v>
      </c>
      <c r="B395" s="3" t="s">
        <v>10675</v>
      </c>
      <c r="C395" s="3" t="s">
        <v>10659</v>
      </c>
      <c r="D395" s="3" t="str">
        <f t="shared" si="121"/>
        <v>SWHC049-03 SEER Rated AC/HP_MFm</v>
      </c>
      <c r="F395" s="3" t="s">
        <v>219</v>
      </c>
      <c r="G395" s="3" t="str">
        <f t="shared" si="120"/>
        <v>RE-HV-AC-Pkg-18to65kBtuh-S18p0</v>
      </c>
      <c r="H395" s="3" t="s">
        <v>207</v>
      </c>
      <c r="I395" s="3" t="s">
        <v>208</v>
      </c>
      <c r="J395" s="3" t="s">
        <v>220</v>
      </c>
      <c r="K395" s="32" t="s">
        <v>210</v>
      </c>
      <c r="L395" s="32" t="s">
        <v>211</v>
      </c>
      <c r="M395" s="32" t="s">
        <v>221</v>
      </c>
      <c r="N395" s="3" t="str">
        <f t="shared" si="114"/>
        <v>MFm&amp;0&amp;rDXGF&amp;Ex&amp;dxAC_equip</v>
      </c>
      <c r="O395" s="3" t="s">
        <v>63</v>
      </c>
      <c r="P395" s="3">
        <v>0</v>
      </c>
      <c r="Q395" s="3" t="s">
        <v>51</v>
      </c>
      <c r="R395" s="3" t="s">
        <v>52</v>
      </c>
      <c r="S395" s="3" t="str">
        <f t="shared" si="107"/>
        <v>No</v>
      </c>
      <c r="T395" s="3" t="str">
        <f t="shared" si="117"/>
        <v>dxAC_equip</v>
      </c>
      <c r="U395" s="3" t="str">
        <f t="shared" si="118"/>
        <v>dxAC_equip</v>
      </c>
      <c r="V395" s="3" t="s">
        <v>111</v>
      </c>
      <c r="W395" s="3" t="s">
        <v>213</v>
      </c>
      <c r="X395" s="3" t="s">
        <v>111</v>
      </c>
      <c r="Y395" s="3" t="s">
        <v>213</v>
      </c>
      <c r="Z395" s="3" t="s">
        <v>214</v>
      </c>
      <c r="AA395" s="3" t="s">
        <v>55</v>
      </c>
      <c r="AB395" s="3" t="s">
        <v>56</v>
      </c>
      <c r="AC395" s="3" t="s">
        <v>215</v>
      </c>
    </row>
    <row r="396" spans="1:29" s="3" customFormat="1" x14ac:dyDescent="0.25">
      <c r="A396" s="3" t="s">
        <v>0</v>
      </c>
      <c r="B396" s="3" t="s">
        <v>10675</v>
      </c>
      <c r="C396" s="3" t="s">
        <v>10659</v>
      </c>
      <c r="D396" s="3" t="str">
        <f t="shared" si="121"/>
        <v>SWHC049-03 SEER Rated AC/HP_SFm</v>
      </c>
      <c r="F396" s="3" t="s">
        <v>219</v>
      </c>
      <c r="G396" s="3" t="str">
        <f t="shared" ref="G396:G403" si="122">F396</f>
        <v>RE-HV-AC-Pkg-18to65kBtuh-S18p0</v>
      </c>
      <c r="H396" s="3" t="s">
        <v>207</v>
      </c>
      <c r="I396" s="3" t="s">
        <v>208</v>
      </c>
      <c r="J396" s="3" t="s">
        <v>220</v>
      </c>
      <c r="K396" s="32" t="s">
        <v>210</v>
      </c>
      <c r="L396" s="32" t="s">
        <v>211</v>
      </c>
      <c r="M396" s="32" t="s">
        <v>221</v>
      </c>
      <c r="N396" s="3" t="str">
        <f t="shared" si="114"/>
        <v>SFm&amp;1&amp;rDXGF&amp;New&amp;dxAC_equip</v>
      </c>
      <c r="O396" s="3" t="s">
        <v>50</v>
      </c>
      <c r="P396" s="3">
        <v>1</v>
      </c>
      <c r="Q396" s="3" t="s">
        <v>51</v>
      </c>
      <c r="R396" s="3" t="s">
        <v>107</v>
      </c>
      <c r="S396" s="3" t="str">
        <f t="shared" si="107"/>
        <v>No</v>
      </c>
      <c r="T396" s="3" t="str">
        <f t="shared" si="117"/>
        <v>dxAC_equip</v>
      </c>
      <c r="U396" s="3" t="str">
        <f t="shared" si="118"/>
        <v>dxAC_equip</v>
      </c>
      <c r="V396" s="3" t="s">
        <v>111</v>
      </c>
      <c r="W396" s="3" t="s">
        <v>213</v>
      </c>
      <c r="X396" s="3" t="s">
        <v>111</v>
      </c>
      <c r="Y396" s="3" t="s">
        <v>213</v>
      </c>
      <c r="Z396" s="3" t="s">
        <v>214</v>
      </c>
      <c r="AA396" s="3" t="s">
        <v>55</v>
      </c>
      <c r="AB396" s="3" t="s">
        <v>56</v>
      </c>
      <c r="AC396" s="3" t="s">
        <v>215</v>
      </c>
    </row>
    <row r="397" spans="1:29" s="3" customFormat="1" x14ac:dyDescent="0.25">
      <c r="A397" s="3" t="s">
        <v>0</v>
      </c>
      <c r="B397" s="3" t="s">
        <v>10675</v>
      </c>
      <c r="C397" s="3" t="s">
        <v>10659</v>
      </c>
      <c r="D397" s="3" t="str">
        <f t="shared" si="121"/>
        <v>SWHC049-03 SEER Rated AC/HP_SFm</v>
      </c>
      <c r="F397" s="3" t="s">
        <v>219</v>
      </c>
      <c r="G397" s="3" t="str">
        <f t="shared" si="122"/>
        <v>RE-HV-AC-Pkg-18to65kBtuh-S18p0</v>
      </c>
      <c r="H397" s="3" t="s">
        <v>207</v>
      </c>
      <c r="I397" s="3" t="s">
        <v>208</v>
      </c>
      <c r="J397" s="3" t="s">
        <v>220</v>
      </c>
      <c r="K397" s="32" t="s">
        <v>210</v>
      </c>
      <c r="L397" s="32" t="s">
        <v>211</v>
      </c>
      <c r="M397" s="32" t="s">
        <v>221</v>
      </c>
      <c r="N397" s="3" t="str">
        <f t="shared" si="114"/>
        <v>SFm&amp;2&amp;rDXGF&amp;New&amp;dxAC_equip</v>
      </c>
      <c r="O397" s="3" t="s">
        <v>50</v>
      </c>
      <c r="P397" s="3">
        <v>2</v>
      </c>
      <c r="Q397" s="3" t="s">
        <v>51</v>
      </c>
      <c r="R397" s="3" t="s">
        <v>107</v>
      </c>
      <c r="S397" s="3" t="str">
        <f t="shared" si="107"/>
        <v>No</v>
      </c>
      <c r="T397" s="3" t="str">
        <f t="shared" si="117"/>
        <v>dxAC_equip</v>
      </c>
      <c r="U397" s="3" t="str">
        <f t="shared" si="118"/>
        <v>dxAC_equip</v>
      </c>
      <c r="V397" s="3" t="s">
        <v>111</v>
      </c>
      <c r="W397" s="3" t="s">
        <v>213</v>
      </c>
      <c r="X397" s="3" t="s">
        <v>111</v>
      </c>
      <c r="Y397" s="3" t="s">
        <v>213</v>
      </c>
      <c r="Z397" s="3" t="s">
        <v>214</v>
      </c>
      <c r="AA397" s="3" t="s">
        <v>55</v>
      </c>
      <c r="AB397" s="3" t="s">
        <v>56</v>
      </c>
      <c r="AC397" s="3" t="s">
        <v>215</v>
      </c>
    </row>
    <row r="398" spans="1:29" s="3" customFormat="1" x14ac:dyDescent="0.25">
      <c r="A398" s="3" t="s">
        <v>0</v>
      </c>
      <c r="B398" s="3" t="s">
        <v>10675</v>
      </c>
      <c r="C398" s="3" t="s">
        <v>10659</v>
      </c>
      <c r="D398" s="3" t="str">
        <f t="shared" si="121"/>
        <v>SWHC049-03 SEER Rated AC/HP_DMo</v>
      </c>
      <c r="F398" s="3" t="s">
        <v>219</v>
      </c>
      <c r="G398" s="3" t="str">
        <f t="shared" si="122"/>
        <v>RE-HV-AC-Pkg-18to65kBtuh-S18p0</v>
      </c>
      <c r="H398" s="3" t="s">
        <v>207</v>
      </c>
      <c r="I398" s="3" t="s">
        <v>208</v>
      </c>
      <c r="J398" s="3" t="s">
        <v>220</v>
      </c>
      <c r="K398" s="32" t="s">
        <v>210</v>
      </c>
      <c r="L398" s="32" t="s">
        <v>211</v>
      </c>
      <c r="M398" s="32" t="s">
        <v>221</v>
      </c>
      <c r="N398" s="3" t="str">
        <f t="shared" si="114"/>
        <v>DMo&amp;0&amp;rDXGF&amp;New&amp;dxAC_equip</v>
      </c>
      <c r="O398" s="3" t="s">
        <v>62</v>
      </c>
      <c r="P398" s="3">
        <v>0</v>
      </c>
      <c r="Q398" s="3" t="s">
        <v>51</v>
      </c>
      <c r="R398" s="3" t="s">
        <v>107</v>
      </c>
      <c r="S398" s="3" t="str">
        <f t="shared" si="107"/>
        <v>No</v>
      </c>
      <c r="T398" s="3" t="str">
        <f t="shared" si="117"/>
        <v>dxAC_equip</v>
      </c>
      <c r="U398" s="3" t="str">
        <f t="shared" si="118"/>
        <v>dxAC_equip</v>
      </c>
      <c r="V398" s="3" t="s">
        <v>111</v>
      </c>
      <c r="W398" s="3" t="s">
        <v>213</v>
      </c>
      <c r="X398" s="3" t="s">
        <v>111</v>
      </c>
      <c r="Y398" s="3" t="s">
        <v>213</v>
      </c>
      <c r="Z398" s="3" t="s">
        <v>214</v>
      </c>
      <c r="AA398" s="3" t="s">
        <v>55</v>
      </c>
      <c r="AB398" s="3" t="s">
        <v>56</v>
      </c>
      <c r="AC398" s="3" t="s">
        <v>215</v>
      </c>
    </row>
    <row r="399" spans="1:29" s="3" customFormat="1" x14ac:dyDescent="0.25">
      <c r="A399" s="3" t="s">
        <v>0</v>
      </c>
      <c r="B399" s="3" t="s">
        <v>10675</v>
      </c>
      <c r="C399" s="3" t="s">
        <v>10659</v>
      </c>
      <c r="D399" s="3" t="str">
        <f t="shared" si="121"/>
        <v>SWHC049-03 SEER Rated AC/HP_MFm</v>
      </c>
      <c r="F399" s="3" t="s">
        <v>219</v>
      </c>
      <c r="G399" s="3" t="str">
        <f t="shared" si="122"/>
        <v>RE-HV-AC-Pkg-18to65kBtuh-S18p0</v>
      </c>
      <c r="H399" s="3" t="s">
        <v>207</v>
      </c>
      <c r="I399" s="3" t="s">
        <v>208</v>
      </c>
      <c r="J399" s="3" t="s">
        <v>220</v>
      </c>
      <c r="K399" s="32" t="s">
        <v>210</v>
      </c>
      <c r="L399" s="32" t="s">
        <v>211</v>
      </c>
      <c r="M399" s="32" t="s">
        <v>221</v>
      </c>
      <c r="N399" s="3" t="str">
        <f t="shared" si="114"/>
        <v>MFm&amp;0&amp;rDXGF&amp;New&amp;dxAC_equip</v>
      </c>
      <c r="O399" s="3" t="s">
        <v>63</v>
      </c>
      <c r="P399" s="3">
        <v>0</v>
      </c>
      <c r="Q399" s="3" t="s">
        <v>51</v>
      </c>
      <c r="R399" s="3" t="s">
        <v>107</v>
      </c>
      <c r="S399" s="3" t="str">
        <f t="shared" si="107"/>
        <v>No</v>
      </c>
      <c r="T399" s="3" t="str">
        <f t="shared" si="117"/>
        <v>dxAC_equip</v>
      </c>
      <c r="U399" s="3" t="str">
        <f t="shared" si="118"/>
        <v>dxAC_equip</v>
      </c>
      <c r="V399" s="3" t="s">
        <v>111</v>
      </c>
      <c r="W399" s="3" t="s">
        <v>213</v>
      </c>
      <c r="X399" s="3" t="s">
        <v>111</v>
      </c>
      <c r="Y399" s="3" t="s">
        <v>213</v>
      </c>
      <c r="Z399" s="3" t="s">
        <v>214</v>
      </c>
      <c r="AA399" s="3" t="s">
        <v>55</v>
      </c>
      <c r="AB399" s="3" t="s">
        <v>56</v>
      </c>
      <c r="AC399" s="3" t="s">
        <v>215</v>
      </c>
    </row>
    <row r="400" spans="1:29" s="3" customFormat="1" x14ac:dyDescent="0.25">
      <c r="A400" s="3" t="s">
        <v>0</v>
      </c>
      <c r="B400" s="3" t="s">
        <v>10675</v>
      </c>
      <c r="C400" s="3" t="s">
        <v>10659</v>
      </c>
      <c r="D400" s="3" t="str">
        <f t="shared" si="121"/>
        <v>SWHC049-03 SEER Rated AC/HP_SFm</v>
      </c>
      <c r="F400" s="3" t="s">
        <v>222</v>
      </c>
      <c r="G400" s="3" t="str">
        <f t="shared" si="122"/>
        <v>RE-HV-AC-Pkg-18to65kBtuh-S19p0</v>
      </c>
      <c r="H400" s="3" t="s">
        <v>207</v>
      </c>
      <c r="I400" s="3" t="s">
        <v>208</v>
      </c>
      <c r="J400" s="3" t="s">
        <v>223</v>
      </c>
      <c r="K400" s="32" t="s">
        <v>210</v>
      </c>
      <c r="L400" s="32" t="s">
        <v>211</v>
      </c>
      <c r="M400" s="32" t="s">
        <v>224</v>
      </c>
      <c r="N400" s="3" t="str">
        <f t="shared" si="114"/>
        <v>SFm&amp;1&amp;rDXGF&amp;Ex&amp;dxAC_equip</v>
      </c>
      <c r="O400" s="3" t="s">
        <v>50</v>
      </c>
      <c r="P400" s="3">
        <v>1</v>
      </c>
      <c r="Q400" s="3" t="s">
        <v>51</v>
      </c>
      <c r="R400" s="3" t="s">
        <v>52</v>
      </c>
      <c r="S400" s="3" t="str">
        <f t="shared" si="107"/>
        <v>No</v>
      </c>
      <c r="T400" s="3" t="str">
        <f t="shared" si="117"/>
        <v>dxAC_equip</v>
      </c>
      <c r="U400" s="3" t="str">
        <f t="shared" si="118"/>
        <v>dxAC_equip</v>
      </c>
      <c r="V400" s="3" t="s">
        <v>111</v>
      </c>
      <c r="W400" s="3" t="s">
        <v>213</v>
      </c>
      <c r="X400" s="3" t="s">
        <v>111</v>
      </c>
      <c r="Y400" s="3" t="s">
        <v>213</v>
      </c>
      <c r="Z400" s="3" t="s">
        <v>214</v>
      </c>
      <c r="AA400" s="3" t="s">
        <v>55</v>
      </c>
      <c r="AB400" s="3" t="s">
        <v>56</v>
      </c>
      <c r="AC400" s="3" t="s">
        <v>215</v>
      </c>
    </row>
    <row r="401" spans="1:29" s="3" customFormat="1" x14ac:dyDescent="0.25">
      <c r="A401" s="3" t="s">
        <v>0</v>
      </c>
      <c r="B401" s="3" t="s">
        <v>10675</v>
      </c>
      <c r="C401" s="3" t="s">
        <v>10659</v>
      </c>
      <c r="D401" s="3" t="str">
        <f t="shared" si="121"/>
        <v>SWHC049-03 SEER Rated AC/HP_SFm</v>
      </c>
      <c r="F401" s="3" t="s">
        <v>222</v>
      </c>
      <c r="G401" s="3" t="str">
        <f t="shared" si="122"/>
        <v>RE-HV-AC-Pkg-18to65kBtuh-S19p0</v>
      </c>
      <c r="H401" s="3" t="s">
        <v>207</v>
      </c>
      <c r="I401" s="3" t="s">
        <v>208</v>
      </c>
      <c r="J401" s="3" t="s">
        <v>223</v>
      </c>
      <c r="K401" s="32" t="s">
        <v>210</v>
      </c>
      <c r="L401" s="32" t="s">
        <v>211</v>
      </c>
      <c r="M401" s="32" t="s">
        <v>224</v>
      </c>
      <c r="N401" s="3" t="str">
        <f t="shared" si="114"/>
        <v>SFm&amp;2&amp;rDXGF&amp;Ex&amp;dxAC_equip</v>
      </c>
      <c r="O401" s="3" t="s">
        <v>50</v>
      </c>
      <c r="P401" s="3">
        <v>2</v>
      </c>
      <c r="Q401" s="3" t="s">
        <v>51</v>
      </c>
      <c r="R401" s="3" t="s">
        <v>52</v>
      </c>
      <c r="S401" s="3" t="str">
        <f t="shared" si="107"/>
        <v>No</v>
      </c>
      <c r="T401" s="3" t="str">
        <f t="shared" si="117"/>
        <v>dxAC_equip</v>
      </c>
      <c r="U401" s="3" t="str">
        <f t="shared" si="118"/>
        <v>dxAC_equip</v>
      </c>
      <c r="V401" s="3" t="s">
        <v>111</v>
      </c>
      <c r="W401" s="3" t="s">
        <v>213</v>
      </c>
      <c r="X401" s="3" t="s">
        <v>111</v>
      </c>
      <c r="Y401" s="3" t="s">
        <v>213</v>
      </c>
      <c r="Z401" s="3" t="s">
        <v>214</v>
      </c>
      <c r="AA401" s="3" t="s">
        <v>55</v>
      </c>
      <c r="AB401" s="3" t="s">
        <v>56</v>
      </c>
      <c r="AC401" s="3" t="s">
        <v>215</v>
      </c>
    </row>
    <row r="402" spans="1:29" s="3" customFormat="1" x14ac:dyDescent="0.25">
      <c r="A402" s="3" t="s">
        <v>0</v>
      </c>
      <c r="B402" s="3" t="s">
        <v>10675</v>
      </c>
      <c r="C402" s="3" t="s">
        <v>10659</v>
      </c>
      <c r="D402" s="3" t="str">
        <f t="shared" si="121"/>
        <v>SWHC049-03 SEER Rated AC/HP_DMo</v>
      </c>
      <c r="F402" s="3" t="s">
        <v>222</v>
      </c>
      <c r="G402" s="3" t="str">
        <f t="shared" si="122"/>
        <v>RE-HV-AC-Pkg-18to65kBtuh-S19p0</v>
      </c>
      <c r="H402" s="3" t="s">
        <v>207</v>
      </c>
      <c r="I402" s="3" t="s">
        <v>208</v>
      </c>
      <c r="J402" s="3" t="s">
        <v>223</v>
      </c>
      <c r="K402" s="32" t="s">
        <v>210</v>
      </c>
      <c r="L402" s="32" t="s">
        <v>211</v>
      </c>
      <c r="M402" s="32" t="s">
        <v>224</v>
      </c>
      <c r="N402" s="3" t="str">
        <f t="shared" si="114"/>
        <v>DMo&amp;0&amp;rDXGF&amp;Ex&amp;dxAC_equip</v>
      </c>
      <c r="O402" s="3" t="s">
        <v>62</v>
      </c>
      <c r="P402" s="3">
        <v>0</v>
      </c>
      <c r="Q402" s="3" t="s">
        <v>51</v>
      </c>
      <c r="R402" s="3" t="s">
        <v>52</v>
      </c>
      <c r="S402" s="3" t="str">
        <f t="shared" si="107"/>
        <v>No</v>
      </c>
      <c r="T402" s="3" t="str">
        <f t="shared" si="117"/>
        <v>dxAC_equip</v>
      </c>
      <c r="U402" s="3" t="str">
        <f t="shared" si="118"/>
        <v>dxAC_equip</v>
      </c>
      <c r="V402" s="3" t="s">
        <v>111</v>
      </c>
      <c r="W402" s="3" t="s">
        <v>213</v>
      </c>
      <c r="X402" s="3" t="s">
        <v>111</v>
      </c>
      <c r="Y402" s="3" t="s">
        <v>213</v>
      </c>
      <c r="Z402" s="3" t="s">
        <v>214</v>
      </c>
      <c r="AA402" s="3" t="s">
        <v>55</v>
      </c>
      <c r="AB402" s="3" t="s">
        <v>56</v>
      </c>
      <c r="AC402" s="3" t="s">
        <v>215</v>
      </c>
    </row>
    <row r="403" spans="1:29" s="3" customFormat="1" x14ac:dyDescent="0.25">
      <c r="A403" s="3" t="s">
        <v>0</v>
      </c>
      <c r="B403" s="3" t="s">
        <v>10675</v>
      </c>
      <c r="C403" s="3" t="s">
        <v>10659</v>
      </c>
      <c r="D403" s="3" t="str">
        <f t="shared" si="121"/>
        <v>SWHC049-03 SEER Rated AC/HP_MFm</v>
      </c>
      <c r="F403" s="3" t="s">
        <v>222</v>
      </c>
      <c r="G403" s="3" t="str">
        <f t="shared" si="122"/>
        <v>RE-HV-AC-Pkg-18to65kBtuh-S19p0</v>
      </c>
      <c r="H403" s="3" t="s">
        <v>207</v>
      </c>
      <c r="I403" s="3" t="s">
        <v>208</v>
      </c>
      <c r="J403" s="3" t="s">
        <v>223</v>
      </c>
      <c r="K403" s="32" t="s">
        <v>210</v>
      </c>
      <c r="L403" s="32" t="s">
        <v>211</v>
      </c>
      <c r="M403" s="32" t="s">
        <v>224</v>
      </c>
      <c r="N403" s="3" t="str">
        <f t="shared" si="114"/>
        <v>MFm&amp;0&amp;rDXGF&amp;Ex&amp;dxAC_equip</v>
      </c>
      <c r="O403" s="3" t="s">
        <v>63</v>
      </c>
      <c r="P403" s="3">
        <v>0</v>
      </c>
      <c r="Q403" s="3" t="s">
        <v>51</v>
      </c>
      <c r="R403" s="3" t="s">
        <v>52</v>
      </c>
      <c r="S403" s="3" t="str">
        <f t="shared" si="107"/>
        <v>No</v>
      </c>
      <c r="T403" s="3" t="str">
        <f t="shared" si="117"/>
        <v>dxAC_equip</v>
      </c>
      <c r="U403" s="3" t="str">
        <f t="shared" si="118"/>
        <v>dxAC_equip</v>
      </c>
      <c r="V403" s="3" t="s">
        <v>111</v>
      </c>
      <c r="W403" s="3" t="s">
        <v>213</v>
      </c>
      <c r="X403" s="3" t="s">
        <v>111</v>
      </c>
      <c r="Y403" s="3" t="s">
        <v>213</v>
      </c>
      <c r="Z403" s="3" t="s">
        <v>214</v>
      </c>
      <c r="AA403" s="3" t="s">
        <v>55</v>
      </c>
      <c r="AB403" s="3" t="s">
        <v>56</v>
      </c>
      <c r="AC403" s="3" t="s">
        <v>215</v>
      </c>
    </row>
    <row r="404" spans="1:29" s="3" customFormat="1" x14ac:dyDescent="0.25">
      <c r="A404" s="3" t="s">
        <v>0</v>
      </c>
      <c r="B404" s="3" t="s">
        <v>10675</v>
      </c>
      <c r="C404" s="3" t="s">
        <v>10659</v>
      </c>
      <c r="D404" s="3" t="str">
        <f t="shared" si="121"/>
        <v>SWHC049-03 SEER Rated AC/HP_SFm</v>
      </c>
      <c r="F404" s="3" t="s">
        <v>222</v>
      </c>
      <c r="G404" s="3" t="str">
        <f t="shared" ref="G404:G411" si="123">F404</f>
        <v>RE-HV-AC-Pkg-18to65kBtuh-S19p0</v>
      </c>
      <c r="H404" s="3" t="s">
        <v>207</v>
      </c>
      <c r="I404" s="3" t="s">
        <v>208</v>
      </c>
      <c r="J404" s="3" t="s">
        <v>223</v>
      </c>
      <c r="K404" s="32" t="s">
        <v>210</v>
      </c>
      <c r="L404" s="32" t="s">
        <v>211</v>
      </c>
      <c r="M404" s="32" t="s">
        <v>224</v>
      </c>
      <c r="N404" s="3" t="str">
        <f t="shared" si="114"/>
        <v>SFm&amp;1&amp;rDXGF&amp;New&amp;dxAC_equip</v>
      </c>
      <c r="O404" s="3" t="s">
        <v>50</v>
      </c>
      <c r="P404" s="3">
        <v>1</v>
      </c>
      <c r="Q404" s="3" t="s">
        <v>51</v>
      </c>
      <c r="R404" s="3" t="s">
        <v>107</v>
      </c>
      <c r="S404" s="3" t="str">
        <f t="shared" si="107"/>
        <v>No</v>
      </c>
      <c r="T404" s="3" t="str">
        <f t="shared" si="117"/>
        <v>dxAC_equip</v>
      </c>
      <c r="U404" s="3" t="str">
        <f t="shared" si="118"/>
        <v>dxAC_equip</v>
      </c>
      <c r="V404" s="3" t="s">
        <v>111</v>
      </c>
      <c r="W404" s="3" t="s">
        <v>213</v>
      </c>
      <c r="X404" s="3" t="s">
        <v>111</v>
      </c>
      <c r="Y404" s="3" t="s">
        <v>213</v>
      </c>
      <c r="Z404" s="3" t="s">
        <v>214</v>
      </c>
      <c r="AA404" s="3" t="s">
        <v>55</v>
      </c>
      <c r="AB404" s="3" t="s">
        <v>56</v>
      </c>
      <c r="AC404" s="3" t="s">
        <v>215</v>
      </c>
    </row>
    <row r="405" spans="1:29" s="3" customFormat="1" x14ac:dyDescent="0.25">
      <c r="A405" s="3" t="s">
        <v>0</v>
      </c>
      <c r="B405" s="3" t="s">
        <v>10675</v>
      </c>
      <c r="C405" s="3" t="s">
        <v>10659</v>
      </c>
      <c r="D405" s="3" t="str">
        <f t="shared" si="121"/>
        <v>SWHC049-03 SEER Rated AC/HP_SFm</v>
      </c>
      <c r="F405" s="3" t="s">
        <v>222</v>
      </c>
      <c r="G405" s="3" t="str">
        <f t="shared" si="123"/>
        <v>RE-HV-AC-Pkg-18to65kBtuh-S19p0</v>
      </c>
      <c r="H405" s="3" t="s">
        <v>207</v>
      </c>
      <c r="I405" s="3" t="s">
        <v>208</v>
      </c>
      <c r="J405" s="3" t="s">
        <v>223</v>
      </c>
      <c r="K405" s="32" t="s">
        <v>210</v>
      </c>
      <c r="L405" s="32" t="s">
        <v>211</v>
      </c>
      <c r="M405" s="32" t="s">
        <v>224</v>
      </c>
      <c r="N405" s="3" t="str">
        <f t="shared" si="114"/>
        <v>SFm&amp;2&amp;rDXGF&amp;New&amp;dxAC_equip</v>
      </c>
      <c r="O405" s="3" t="s">
        <v>50</v>
      </c>
      <c r="P405" s="3">
        <v>2</v>
      </c>
      <c r="Q405" s="3" t="s">
        <v>51</v>
      </c>
      <c r="R405" s="3" t="s">
        <v>107</v>
      </c>
      <c r="S405" s="3" t="str">
        <f t="shared" si="107"/>
        <v>No</v>
      </c>
      <c r="T405" s="3" t="str">
        <f t="shared" si="117"/>
        <v>dxAC_equip</v>
      </c>
      <c r="U405" s="3" t="str">
        <f t="shared" si="118"/>
        <v>dxAC_equip</v>
      </c>
      <c r="V405" s="3" t="s">
        <v>111</v>
      </c>
      <c r="W405" s="3" t="s">
        <v>213</v>
      </c>
      <c r="X405" s="3" t="s">
        <v>111</v>
      </c>
      <c r="Y405" s="3" t="s">
        <v>213</v>
      </c>
      <c r="Z405" s="3" t="s">
        <v>214</v>
      </c>
      <c r="AA405" s="3" t="s">
        <v>55</v>
      </c>
      <c r="AB405" s="3" t="s">
        <v>56</v>
      </c>
      <c r="AC405" s="3" t="s">
        <v>215</v>
      </c>
    </row>
    <row r="406" spans="1:29" s="3" customFormat="1" x14ac:dyDescent="0.25">
      <c r="A406" s="3" t="s">
        <v>0</v>
      </c>
      <c r="B406" s="3" t="s">
        <v>10675</v>
      </c>
      <c r="C406" s="3" t="s">
        <v>10659</v>
      </c>
      <c r="D406" s="3" t="str">
        <f t="shared" si="121"/>
        <v>SWHC049-03 SEER Rated AC/HP_DMo</v>
      </c>
      <c r="F406" s="3" t="s">
        <v>222</v>
      </c>
      <c r="G406" s="3" t="str">
        <f t="shared" si="123"/>
        <v>RE-HV-AC-Pkg-18to65kBtuh-S19p0</v>
      </c>
      <c r="H406" s="3" t="s">
        <v>207</v>
      </c>
      <c r="I406" s="3" t="s">
        <v>208</v>
      </c>
      <c r="J406" s="3" t="s">
        <v>223</v>
      </c>
      <c r="K406" s="32" t="s">
        <v>210</v>
      </c>
      <c r="L406" s="32" t="s">
        <v>211</v>
      </c>
      <c r="M406" s="32" t="s">
        <v>224</v>
      </c>
      <c r="N406" s="3" t="str">
        <f t="shared" si="114"/>
        <v>DMo&amp;0&amp;rDXGF&amp;New&amp;dxAC_equip</v>
      </c>
      <c r="O406" s="3" t="s">
        <v>62</v>
      </c>
      <c r="P406" s="3">
        <v>0</v>
      </c>
      <c r="Q406" s="3" t="s">
        <v>51</v>
      </c>
      <c r="R406" s="3" t="s">
        <v>107</v>
      </c>
      <c r="S406" s="3" t="str">
        <f t="shared" si="107"/>
        <v>No</v>
      </c>
      <c r="T406" s="3" t="str">
        <f t="shared" si="117"/>
        <v>dxAC_equip</v>
      </c>
      <c r="U406" s="3" t="str">
        <f t="shared" si="118"/>
        <v>dxAC_equip</v>
      </c>
      <c r="V406" s="3" t="s">
        <v>111</v>
      </c>
      <c r="W406" s="3" t="s">
        <v>213</v>
      </c>
      <c r="X406" s="3" t="s">
        <v>111</v>
      </c>
      <c r="Y406" s="3" t="s">
        <v>213</v>
      </c>
      <c r="Z406" s="3" t="s">
        <v>214</v>
      </c>
      <c r="AA406" s="3" t="s">
        <v>55</v>
      </c>
      <c r="AB406" s="3" t="s">
        <v>56</v>
      </c>
      <c r="AC406" s="3" t="s">
        <v>215</v>
      </c>
    </row>
    <row r="407" spans="1:29" s="3" customFormat="1" x14ac:dyDescent="0.25">
      <c r="A407" s="3" t="s">
        <v>0</v>
      </c>
      <c r="B407" s="3" t="s">
        <v>10675</v>
      </c>
      <c r="C407" s="3" t="s">
        <v>10659</v>
      </c>
      <c r="D407" s="3" t="str">
        <f t="shared" si="121"/>
        <v>SWHC049-03 SEER Rated AC/HP_MFm</v>
      </c>
      <c r="F407" s="3" t="s">
        <v>222</v>
      </c>
      <c r="G407" s="3" t="str">
        <f t="shared" si="123"/>
        <v>RE-HV-AC-Pkg-18to65kBtuh-S19p0</v>
      </c>
      <c r="H407" s="3" t="s">
        <v>207</v>
      </c>
      <c r="I407" s="3" t="s">
        <v>208</v>
      </c>
      <c r="J407" s="3" t="s">
        <v>223</v>
      </c>
      <c r="K407" s="32" t="s">
        <v>210</v>
      </c>
      <c r="L407" s="32" t="s">
        <v>211</v>
      </c>
      <c r="M407" s="32" t="s">
        <v>224</v>
      </c>
      <c r="N407" s="3" t="str">
        <f t="shared" si="114"/>
        <v>MFm&amp;0&amp;rDXGF&amp;New&amp;dxAC_equip</v>
      </c>
      <c r="O407" s="3" t="s">
        <v>63</v>
      </c>
      <c r="P407" s="3">
        <v>0</v>
      </c>
      <c r="Q407" s="3" t="s">
        <v>51</v>
      </c>
      <c r="R407" s="3" t="s">
        <v>107</v>
      </c>
      <c r="S407" s="3" t="str">
        <f t="shared" si="107"/>
        <v>No</v>
      </c>
      <c r="T407" s="3" t="str">
        <f t="shared" si="117"/>
        <v>dxAC_equip</v>
      </c>
      <c r="U407" s="3" t="str">
        <f t="shared" si="118"/>
        <v>dxAC_equip</v>
      </c>
      <c r="V407" s="3" t="s">
        <v>111</v>
      </c>
      <c r="W407" s="3" t="s">
        <v>213</v>
      </c>
      <c r="X407" s="3" t="s">
        <v>111</v>
      </c>
      <c r="Y407" s="3" t="s">
        <v>213</v>
      </c>
      <c r="Z407" s="3" t="s">
        <v>214</v>
      </c>
      <c r="AA407" s="3" t="s">
        <v>55</v>
      </c>
      <c r="AB407" s="3" t="s">
        <v>56</v>
      </c>
      <c r="AC407" s="3" t="s">
        <v>215</v>
      </c>
    </row>
    <row r="408" spans="1:29" s="3" customFormat="1" x14ac:dyDescent="0.25">
      <c r="A408" s="3" t="s">
        <v>0</v>
      </c>
      <c r="B408" s="3" t="s">
        <v>10675</v>
      </c>
      <c r="C408" s="3" t="s">
        <v>10659</v>
      </c>
      <c r="D408" s="3" t="str">
        <f t="shared" si="121"/>
        <v>SWHC049-03 SEER Rated AC/HP_SFm</v>
      </c>
      <c r="F408" s="3" t="s">
        <v>225</v>
      </c>
      <c r="G408" s="3" t="str">
        <f t="shared" si="123"/>
        <v>RE-HV-AC-Pkg-18to65kBtuh-S20p0</v>
      </c>
      <c r="H408" s="3" t="s">
        <v>207</v>
      </c>
      <c r="I408" s="3" t="s">
        <v>208</v>
      </c>
      <c r="J408" s="3" t="s">
        <v>5</v>
      </c>
      <c r="K408" s="32" t="s">
        <v>210</v>
      </c>
      <c r="L408" s="32" t="s">
        <v>211</v>
      </c>
      <c r="M408" s="32" t="s">
        <v>226</v>
      </c>
      <c r="N408" s="3" t="str">
        <f t="shared" si="114"/>
        <v>SFm&amp;1&amp;rDXGF&amp;Ex&amp;dxAC_equip</v>
      </c>
      <c r="O408" s="3" t="s">
        <v>50</v>
      </c>
      <c r="P408" s="3">
        <v>1</v>
      </c>
      <c r="Q408" s="3" t="s">
        <v>51</v>
      </c>
      <c r="R408" s="3" t="s">
        <v>52</v>
      </c>
      <c r="S408" s="3" t="str">
        <f t="shared" si="107"/>
        <v>No</v>
      </c>
      <c r="T408" s="3" t="str">
        <f t="shared" si="117"/>
        <v>dxAC_equip</v>
      </c>
      <c r="U408" s="3" t="str">
        <f t="shared" si="118"/>
        <v>dxAC_equip</v>
      </c>
      <c r="V408" s="3" t="s">
        <v>111</v>
      </c>
      <c r="W408" s="3" t="s">
        <v>213</v>
      </c>
      <c r="X408" s="3" t="s">
        <v>111</v>
      </c>
      <c r="Y408" s="3" t="s">
        <v>213</v>
      </c>
      <c r="Z408" s="3" t="s">
        <v>214</v>
      </c>
      <c r="AA408" s="3" t="s">
        <v>55</v>
      </c>
      <c r="AB408" s="3" t="s">
        <v>56</v>
      </c>
      <c r="AC408" s="3" t="s">
        <v>215</v>
      </c>
    </row>
    <row r="409" spans="1:29" s="3" customFormat="1" x14ac:dyDescent="0.25">
      <c r="A409" s="3" t="s">
        <v>0</v>
      </c>
      <c r="B409" s="3" t="s">
        <v>10675</v>
      </c>
      <c r="C409" s="3" t="s">
        <v>10659</v>
      </c>
      <c r="D409" s="3" t="str">
        <f t="shared" si="121"/>
        <v>SWHC049-03 SEER Rated AC/HP_SFm</v>
      </c>
      <c r="F409" s="3" t="s">
        <v>225</v>
      </c>
      <c r="G409" s="3" t="str">
        <f t="shared" si="123"/>
        <v>RE-HV-AC-Pkg-18to65kBtuh-S20p0</v>
      </c>
      <c r="H409" s="3" t="s">
        <v>207</v>
      </c>
      <c r="I409" s="3" t="s">
        <v>208</v>
      </c>
      <c r="J409" s="3" t="s">
        <v>5</v>
      </c>
      <c r="K409" s="32" t="s">
        <v>210</v>
      </c>
      <c r="L409" s="32" t="s">
        <v>211</v>
      </c>
      <c r="M409" s="32" t="s">
        <v>226</v>
      </c>
      <c r="N409" s="3" t="str">
        <f t="shared" si="114"/>
        <v>SFm&amp;2&amp;rDXGF&amp;Ex&amp;dxAC_equip</v>
      </c>
      <c r="O409" s="3" t="s">
        <v>50</v>
      </c>
      <c r="P409" s="3">
        <v>2</v>
      </c>
      <c r="Q409" s="3" t="s">
        <v>51</v>
      </c>
      <c r="R409" s="3" t="s">
        <v>52</v>
      </c>
      <c r="S409" s="3" t="str">
        <f t="shared" si="107"/>
        <v>No</v>
      </c>
      <c r="T409" s="3" t="str">
        <f t="shared" si="117"/>
        <v>dxAC_equip</v>
      </c>
      <c r="U409" s="3" t="str">
        <f t="shared" si="118"/>
        <v>dxAC_equip</v>
      </c>
      <c r="V409" s="3" t="s">
        <v>111</v>
      </c>
      <c r="W409" s="3" t="s">
        <v>213</v>
      </c>
      <c r="X409" s="3" t="s">
        <v>111</v>
      </c>
      <c r="Y409" s="3" t="s">
        <v>213</v>
      </c>
      <c r="Z409" s="3" t="s">
        <v>214</v>
      </c>
      <c r="AA409" s="3" t="s">
        <v>55</v>
      </c>
      <c r="AB409" s="3" t="s">
        <v>56</v>
      </c>
      <c r="AC409" s="3" t="s">
        <v>215</v>
      </c>
    </row>
    <row r="410" spans="1:29" s="3" customFormat="1" x14ac:dyDescent="0.25">
      <c r="A410" s="3" t="s">
        <v>0</v>
      </c>
      <c r="B410" s="3" t="s">
        <v>10675</v>
      </c>
      <c r="C410" s="3" t="s">
        <v>10659</v>
      </c>
      <c r="D410" s="3" t="str">
        <f t="shared" si="121"/>
        <v>SWHC049-03 SEER Rated AC/HP_DMo</v>
      </c>
      <c r="F410" s="3" t="s">
        <v>225</v>
      </c>
      <c r="G410" s="3" t="str">
        <f t="shared" si="123"/>
        <v>RE-HV-AC-Pkg-18to65kBtuh-S20p0</v>
      </c>
      <c r="H410" s="3" t="s">
        <v>207</v>
      </c>
      <c r="I410" s="3" t="s">
        <v>208</v>
      </c>
      <c r="J410" s="3" t="s">
        <v>5</v>
      </c>
      <c r="K410" s="32" t="s">
        <v>210</v>
      </c>
      <c r="L410" s="32" t="s">
        <v>211</v>
      </c>
      <c r="M410" s="32" t="s">
        <v>226</v>
      </c>
      <c r="N410" s="3" t="str">
        <f t="shared" si="114"/>
        <v>DMo&amp;0&amp;rDXGF&amp;Ex&amp;dxAC_equip</v>
      </c>
      <c r="O410" s="3" t="s">
        <v>62</v>
      </c>
      <c r="P410" s="3">
        <v>0</v>
      </c>
      <c r="Q410" s="3" t="s">
        <v>51</v>
      </c>
      <c r="R410" s="3" t="s">
        <v>52</v>
      </c>
      <c r="S410" s="3" t="str">
        <f t="shared" si="107"/>
        <v>No</v>
      </c>
      <c r="T410" s="3" t="str">
        <f t="shared" si="117"/>
        <v>dxAC_equip</v>
      </c>
      <c r="U410" s="3" t="str">
        <f t="shared" si="118"/>
        <v>dxAC_equip</v>
      </c>
      <c r="V410" s="3" t="s">
        <v>111</v>
      </c>
      <c r="W410" s="3" t="s">
        <v>213</v>
      </c>
      <c r="X410" s="3" t="s">
        <v>111</v>
      </c>
      <c r="Y410" s="3" t="s">
        <v>213</v>
      </c>
      <c r="Z410" s="3" t="s">
        <v>214</v>
      </c>
      <c r="AA410" s="3" t="s">
        <v>55</v>
      </c>
      <c r="AB410" s="3" t="s">
        <v>56</v>
      </c>
      <c r="AC410" s="3" t="s">
        <v>215</v>
      </c>
    </row>
    <row r="411" spans="1:29" s="3" customFormat="1" x14ac:dyDescent="0.25">
      <c r="A411" s="3" t="s">
        <v>0</v>
      </c>
      <c r="B411" s="3" t="s">
        <v>10675</v>
      </c>
      <c r="C411" s="3" t="s">
        <v>10659</v>
      </c>
      <c r="D411" s="3" t="str">
        <f t="shared" si="121"/>
        <v>SWHC049-03 SEER Rated AC/HP_MFm</v>
      </c>
      <c r="F411" s="3" t="s">
        <v>225</v>
      </c>
      <c r="G411" s="3" t="str">
        <f t="shared" si="123"/>
        <v>RE-HV-AC-Pkg-18to65kBtuh-S20p0</v>
      </c>
      <c r="H411" s="3" t="s">
        <v>207</v>
      </c>
      <c r="I411" s="3" t="s">
        <v>208</v>
      </c>
      <c r="J411" s="3" t="s">
        <v>5</v>
      </c>
      <c r="K411" s="32" t="s">
        <v>210</v>
      </c>
      <c r="L411" s="32" t="s">
        <v>211</v>
      </c>
      <c r="M411" s="32" t="s">
        <v>226</v>
      </c>
      <c r="N411" s="3" t="str">
        <f t="shared" si="114"/>
        <v>MFm&amp;0&amp;rDXGF&amp;Ex&amp;dxAC_equip</v>
      </c>
      <c r="O411" s="3" t="s">
        <v>63</v>
      </c>
      <c r="P411" s="3">
        <v>0</v>
      </c>
      <c r="Q411" s="3" t="s">
        <v>51</v>
      </c>
      <c r="R411" s="3" t="s">
        <v>52</v>
      </c>
      <c r="S411" s="3" t="str">
        <f t="shared" si="107"/>
        <v>No</v>
      </c>
      <c r="T411" s="3" t="str">
        <f t="shared" si="117"/>
        <v>dxAC_equip</v>
      </c>
      <c r="U411" s="3" t="str">
        <f t="shared" si="118"/>
        <v>dxAC_equip</v>
      </c>
      <c r="V411" s="3" t="s">
        <v>111</v>
      </c>
      <c r="W411" s="3" t="s">
        <v>213</v>
      </c>
      <c r="X411" s="3" t="s">
        <v>111</v>
      </c>
      <c r="Y411" s="3" t="s">
        <v>213</v>
      </c>
      <c r="Z411" s="3" t="s">
        <v>214</v>
      </c>
      <c r="AA411" s="3" t="s">
        <v>55</v>
      </c>
      <c r="AB411" s="3" t="s">
        <v>56</v>
      </c>
      <c r="AC411" s="3" t="s">
        <v>215</v>
      </c>
    </row>
    <row r="412" spans="1:29" s="3" customFormat="1" x14ac:dyDescent="0.25">
      <c r="A412" s="3" t="s">
        <v>0</v>
      </c>
      <c r="B412" s="3" t="s">
        <v>10675</v>
      </c>
      <c r="C412" s="3" t="s">
        <v>10659</v>
      </c>
      <c r="D412" s="3" t="str">
        <f t="shared" si="121"/>
        <v>SWHC049-03 SEER Rated AC/HP_SFm</v>
      </c>
      <c r="F412" s="3" t="s">
        <v>225</v>
      </c>
      <c r="G412" s="3" t="str">
        <f t="shared" ref="G412:G419" si="124">F412</f>
        <v>RE-HV-AC-Pkg-18to65kBtuh-S20p0</v>
      </c>
      <c r="H412" s="3" t="s">
        <v>207</v>
      </c>
      <c r="I412" s="3" t="s">
        <v>208</v>
      </c>
      <c r="J412" s="3" t="s">
        <v>5</v>
      </c>
      <c r="K412" s="32" t="s">
        <v>210</v>
      </c>
      <c r="L412" s="32" t="s">
        <v>211</v>
      </c>
      <c r="M412" s="32" t="s">
        <v>226</v>
      </c>
      <c r="N412" s="3" t="str">
        <f t="shared" si="114"/>
        <v>SFm&amp;1&amp;rDXGF&amp;New&amp;dxAC_equip</v>
      </c>
      <c r="O412" s="3" t="s">
        <v>50</v>
      </c>
      <c r="P412" s="3">
        <v>1</v>
      </c>
      <c r="Q412" s="3" t="s">
        <v>51</v>
      </c>
      <c r="R412" s="3" t="s">
        <v>107</v>
      </c>
      <c r="S412" s="3" t="str">
        <f t="shared" si="107"/>
        <v>No</v>
      </c>
      <c r="T412" s="3" t="str">
        <f t="shared" si="117"/>
        <v>dxAC_equip</v>
      </c>
      <c r="U412" s="3" t="str">
        <f t="shared" si="118"/>
        <v>dxAC_equip</v>
      </c>
      <c r="V412" s="3" t="s">
        <v>111</v>
      </c>
      <c r="W412" s="3" t="s">
        <v>213</v>
      </c>
      <c r="X412" s="3" t="s">
        <v>111</v>
      </c>
      <c r="Y412" s="3" t="s">
        <v>213</v>
      </c>
      <c r="Z412" s="3" t="s">
        <v>214</v>
      </c>
      <c r="AA412" s="3" t="s">
        <v>55</v>
      </c>
      <c r="AB412" s="3" t="s">
        <v>56</v>
      </c>
      <c r="AC412" s="3" t="s">
        <v>215</v>
      </c>
    </row>
    <row r="413" spans="1:29" s="3" customFormat="1" x14ac:dyDescent="0.25">
      <c r="A413" s="3" t="s">
        <v>0</v>
      </c>
      <c r="B413" s="3" t="s">
        <v>10675</v>
      </c>
      <c r="C413" s="3" t="s">
        <v>10659</v>
      </c>
      <c r="D413" s="3" t="str">
        <f t="shared" si="121"/>
        <v>SWHC049-03 SEER Rated AC/HP_SFm</v>
      </c>
      <c r="F413" s="3" t="s">
        <v>225</v>
      </c>
      <c r="G413" s="3" t="str">
        <f t="shared" si="124"/>
        <v>RE-HV-AC-Pkg-18to65kBtuh-S20p0</v>
      </c>
      <c r="H413" s="3" t="s">
        <v>207</v>
      </c>
      <c r="I413" s="3" t="s">
        <v>208</v>
      </c>
      <c r="J413" s="3" t="s">
        <v>5</v>
      </c>
      <c r="K413" s="32" t="s">
        <v>210</v>
      </c>
      <c r="L413" s="32" t="s">
        <v>211</v>
      </c>
      <c r="M413" s="32" t="s">
        <v>226</v>
      </c>
      <c r="N413" s="3" t="str">
        <f t="shared" si="114"/>
        <v>SFm&amp;2&amp;rDXGF&amp;New&amp;dxAC_equip</v>
      </c>
      <c r="O413" s="3" t="s">
        <v>50</v>
      </c>
      <c r="P413" s="3">
        <v>2</v>
      </c>
      <c r="Q413" s="3" t="s">
        <v>51</v>
      </c>
      <c r="R413" s="3" t="s">
        <v>107</v>
      </c>
      <c r="S413" s="3" t="str">
        <f t="shared" si="107"/>
        <v>No</v>
      </c>
      <c r="T413" s="3" t="str">
        <f t="shared" si="117"/>
        <v>dxAC_equip</v>
      </c>
      <c r="U413" s="3" t="str">
        <f t="shared" si="118"/>
        <v>dxAC_equip</v>
      </c>
      <c r="V413" s="3" t="s">
        <v>111</v>
      </c>
      <c r="W413" s="3" t="s">
        <v>213</v>
      </c>
      <c r="X413" s="3" t="s">
        <v>111</v>
      </c>
      <c r="Y413" s="3" t="s">
        <v>213</v>
      </c>
      <c r="Z413" s="3" t="s">
        <v>214</v>
      </c>
      <c r="AA413" s="3" t="s">
        <v>55</v>
      </c>
      <c r="AB413" s="3" t="s">
        <v>56</v>
      </c>
      <c r="AC413" s="3" t="s">
        <v>215</v>
      </c>
    </row>
    <row r="414" spans="1:29" s="3" customFormat="1" x14ac:dyDescent="0.25">
      <c r="A414" s="3" t="s">
        <v>0</v>
      </c>
      <c r="B414" s="3" t="s">
        <v>10675</v>
      </c>
      <c r="C414" s="3" t="s">
        <v>10659</v>
      </c>
      <c r="D414" s="3" t="str">
        <f t="shared" si="121"/>
        <v>SWHC049-03 SEER Rated AC/HP_DMo</v>
      </c>
      <c r="F414" s="3" t="s">
        <v>225</v>
      </c>
      <c r="G414" s="3" t="str">
        <f t="shared" si="124"/>
        <v>RE-HV-AC-Pkg-18to65kBtuh-S20p0</v>
      </c>
      <c r="H414" s="3" t="s">
        <v>207</v>
      </c>
      <c r="I414" s="3" t="s">
        <v>208</v>
      </c>
      <c r="J414" s="3" t="s">
        <v>5</v>
      </c>
      <c r="K414" s="32" t="s">
        <v>210</v>
      </c>
      <c r="L414" s="32" t="s">
        <v>211</v>
      </c>
      <c r="M414" s="32" t="s">
        <v>226</v>
      </c>
      <c r="N414" s="3" t="str">
        <f t="shared" si="114"/>
        <v>DMo&amp;0&amp;rDXGF&amp;New&amp;dxAC_equip</v>
      </c>
      <c r="O414" s="3" t="s">
        <v>62</v>
      </c>
      <c r="P414" s="3">
        <v>0</v>
      </c>
      <c r="Q414" s="3" t="s">
        <v>51</v>
      </c>
      <c r="R414" s="3" t="s">
        <v>107</v>
      </c>
      <c r="S414" s="3" t="str">
        <f t="shared" si="107"/>
        <v>No</v>
      </c>
      <c r="T414" s="3" t="str">
        <f t="shared" si="117"/>
        <v>dxAC_equip</v>
      </c>
      <c r="U414" s="3" t="str">
        <f t="shared" si="118"/>
        <v>dxAC_equip</v>
      </c>
      <c r="V414" s="3" t="s">
        <v>111</v>
      </c>
      <c r="W414" s="3" t="s">
        <v>213</v>
      </c>
      <c r="X414" s="3" t="s">
        <v>111</v>
      </c>
      <c r="Y414" s="3" t="s">
        <v>213</v>
      </c>
      <c r="Z414" s="3" t="s">
        <v>214</v>
      </c>
      <c r="AA414" s="3" t="s">
        <v>55</v>
      </c>
      <c r="AB414" s="3" t="s">
        <v>56</v>
      </c>
      <c r="AC414" s="3" t="s">
        <v>215</v>
      </c>
    </row>
    <row r="415" spans="1:29" s="3" customFormat="1" x14ac:dyDescent="0.25">
      <c r="A415" s="3" t="s">
        <v>0</v>
      </c>
      <c r="B415" s="3" t="s">
        <v>10675</v>
      </c>
      <c r="C415" s="3" t="s">
        <v>10659</v>
      </c>
      <c r="D415" s="3" t="str">
        <f t="shared" si="121"/>
        <v>SWHC049-03 SEER Rated AC/HP_MFm</v>
      </c>
      <c r="F415" s="3" t="s">
        <v>225</v>
      </c>
      <c r="G415" s="3" t="str">
        <f t="shared" si="124"/>
        <v>RE-HV-AC-Pkg-18to65kBtuh-S20p0</v>
      </c>
      <c r="H415" s="3" t="s">
        <v>207</v>
      </c>
      <c r="I415" s="3" t="s">
        <v>208</v>
      </c>
      <c r="J415" s="3" t="s">
        <v>5</v>
      </c>
      <c r="K415" s="32" t="s">
        <v>210</v>
      </c>
      <c r="L415" s="32" t="s">
        <v>211</v>
      </c>
      <c r="M415" s="32" t="s">
        <v>226</v>
      </c>
      <c r="N415" s="3" t="str">
        <f t="shared" si="114"/>
        <v>MFm&amp;0&amp;rDXGF&amp;New&amp;dxAC_equip</v>
      </c>
      <c r="O415" s="3" t="s">
        <v>63</v>
      </c>
      <c r="P415" s="3">
        <v>0</v>
      </c>
      <c r="Q415" s="3" t="s">
        <v>51</v>
      </c>
      <c r="R415" s="3" t="s">
        <v>107</v>
      </c>
      <c r="S415" s="3" t="str">
        <f t="shared" si="107"/>
        <v>No</v>
      </c>
      <c r="T415" s="3" t="str">
        <f t="shared" si="117"/>
        <v>dxAC_equip</v>
      </c>
      <c r="U415" s="3" t="str">
        <f t="shared" si="118"/>
        <v>dxAC_equip</v>
      </c>
      <c r="V415" s="3" t="s">
        <v>111</v>
      </c>
      <c r="W415" s="3" t="s">
        <v>213</v>
      </c>
      <c r="X415" s="3" t="s">
        <v>111</v>
      </c>
      <c r="Y415" s="3" t="s">
        <v>213</v>
      </c>
      <c r="Z415" s="3" t="s">
        <v>214</v>
      </c>
      <c r="AA415" s="3" t="s">
        <v>55</v>
      </c>
      <c r="AB415" s="3" t="s">
        <v>56</v>
      </c>
      <c r="AC415" s="3" t="s">
        <v>215</v>
      </c>
    </row>
    <row r="416" spans="1:29" s="3" customFormat="1" x14ac:dyDescent="0.25">
      <c r="A416" s="3" t="s">
        <v>0</v>
      </c>
      <c r="B416" s="3" t="s">
        <v>10675</v>
      </c>
      <c r="C416" s="3" t="s">
        <v>10659</v>
      </c>
      <c r="D416" s="3" t="str">
        <f t="shared" si="121"/>
        <v>SWHC049-03 SEER Rated AC/HP_SFm</v>
      </c>
      <c r="F416" s="3" t="s">
        <v>227</v>
      </c>
      <c r="G416" s="3" t="str">
        <f t="shared" si="124"/>
        <v>RE-HV-AC-Pkg-18to65kBtuh-S21p0</v>
      </c>
      <c r="H416" s="3" t="s">
        <v>207</v>
      </c>
      <c r="I416" s="3" t="s">
        <v>208</v>
      </c>
      <c r="J416" s="3" t="s">
        <v>228</v>
      </c>
      <c r="K416" s="32" t="s">
        <v>210</v>
      </c>
      <c r="L416" s="32" t="s">
        <v>211</v>
      </c>
      <c r="M416" s="32" t="s">
        <v>229</v>
      </c>
      <c r="N416" s="3" t="str">
        <f t="shared" si="114"/>
        <v>SFm&amp;1&amp;rDXGF&amp;Ex&amp;dxAC_equip</v>
      </c>
      <c r="O416" s="3" t="s">
        <v>50</v>
      </c>
      <c r="P416" s="3">
        <v>1</v>
      </c>
      <c r="Q416" s="3" t="s">
        <v>51</v>
      </c>
      <c r="R416" s="3" t="s">
        <v>52</v>
      </c>
      <c r="S416" s="3" t="str">
        <f t="shared" si="107"/>
        <v>No</v>
      </c>
      <c r="T416" s="3" t="str">
        <f t="shared" si="117"/>
        <v>dxAC_equip</v>
      </c>
      <c r="U416" s="3" t="str">
        <f t="shared" si="118"/>
        <v>dxAC_equip</v>
      </c>
      <c r="V416" s="3" t="s">
        <v>111</v>
      </c>
      <c r="W416" s="3" t="s">
        <v>213</v>
      </c>
      <c r="X416" s="3" t="s">
        <v>111</v>
      </c>
      <c r="Y416" s="3" t="s">
        <v>213</v>
      </c>
      <c r="Z416" s="3" t="s">
        <v>214</v>
      </c>
      <c r="AA416" s="3" t="s">
        <v>55</v>
      </c>
      <c r="AB416" s="3" t="s">
        <v>56</v>
      </c>
      <c r="AC416" s="3" t="s">
        <v>215</v>
      </c>
    </row>
    <row r="417" spans="1:29" s="3" customFormat="1" x14ac:dyDescent="0.25">
      <c r="A417" s="3" t="s">
        <v>0</v>
      </c>
      <c r="B417" s="3" t="s">
        <v>10675</v>
      </c>
      <c r="C417" s="3" t="s">
        <v>10659</v>
      </c>
      <c r="D417" s="3" t="str">
        <f t="shared" si="121"/>
        <v>SWHC049-03 SEER Rated AC/HP_SFm</v>
      </c>
      <c r="F417" s="3" t="s">
        <v>227</v>
      </c>
      <c r="G417" s="3" t="str">
        <f t="shared" si="124"/>
        <v>RE-HV-AC-Pkg-18to65kBtuh-S21p0</v>
      </c>
      <c r="H417" s="3" t="s">
        <v>207</v>
      </c>
      <c r="I417" s="3" t="s">
        <v>208</v>
      </c>
      <c r="J417" s="3" t="s">
        <v>228</v>
      </c>
      <c r="K417" s="32" t="s">
        <v>210</v>
      </c>
      <c r="L417" s="32" t="s">
        <v>211</v>
      </c>
      <c r="M417" s="32" t="s">
        <v>229</v>
      </c>
      <c r="N417" s="3" t="str">
        <f t="shared" si="114"/>
        <v>SFm&amp;2&amp;rDXGF&amp;Ex&amp;dxAC_equip</v>
      </c>
      <c r="O417" s="3" t="s">
        <v>50</v>
      </c>
      <c r="P417" s="3">
        <v>2</v>
      </c>
      <c r="Q417" s="3" t="s">
        <v>51</v>
      </c>
      <c r="R417" s="3" t="s">
        <v>52</v>
      </c>
      <c r="S417" s="3" t="str">
        <f t="shared" si="107"/>
        <v>No</v>
      </c>
      <c r="T417" s="3" t="str">
        <f t="shared" si="117"/>
        <v>dxAC_equip</v>
      </c>
      <c r="U417" s="3" t="str">
        <f t="shared" si="118"/>
        <v>dxAC_equip</v>
      </c>
      <c r="V417" s="3" t="s">
        <v>111</v>
      </c>
      <c r="W417" s="3" t="s">
        <v>213</v>
      </c>
      <c r="X417" s="3" t="s">
        <v>111</v>
      </c>
      <c r="Y417" s="3" t="s">
        <v>213</v>
      </c>
      <c r="Z417" s="3" t="s">
        <v>214</v>
      </c>
      <c r="AA417" s="3" t="s">
        <v>55</v>
      </c>
      <c r="AB417" s="3" t="s">
        <v>56</v>
      </c>
      <c r="AC417" s="3" t="s">
        <v>215</v>
      </c>
    </row>
    <row r="418" spans="1:29" s="3" customFormat="1" x14ac:dyDescent="0.25">
      <c r="A418" s="3" t="s">
        <v>0</v>
      </c>
      <c r="B418" s="3" t="s">
        <v>10675</v>
      </c>
      <c r="C418" s="3" t="s">
        <v>10659</v>
      </c>
      <c r="D418" s="3" t="str">
        <f t="shared" si="121"/>
        <v>SWHC049-03 SEER Rated AC/HP_DMo</v>
      </c>
      <c r="F418" s="3" t="s">
        <v>227</v>
      </c>
      <c r="G418" s="3" t="str">
        <f t="shared" si="124"/>
        <v>RE-HV-AC-Pkg-18to65kBtuh-S21p0</v>
      </c>
      <c r="H418" s="3" t="s">
        <v>207</v>
      </c>
      <c r="I418" s="3" t="s">
        <v>208</v>
      </c>
      <c r="J418" s="3" t="s">
        <v>228</v>
      </c>
      <c r="K418" s="32" t="s">
        <v>210</v>
      </c>
      <c r="L418" s="32" t="s">
        <v>211</v>
      </c>
      <c r="M418" s="32" t="s">
        <v>229</v>
      </c>
      <c r="N418" s="3" t="str">
        <f t="shared" si="114"/>
        <v>DMo&amp;0&amp;rDXGF&amp;Ex&amp;dxAC_equip</v>
      </c>
      <c r="O418" s="3" t="s">
        <v>62</v>
      </c>
      <c r="P418" s="3">
        <v>0</v>
      </c>
      <c r="Q418" s="3" t="s">
        <v>51</v>
      </c>
      <c r="R418" s="3" t="s">
        <v>52</v>
      </c>
      <c r="S418" s="3" t="str">
        <f t="shared" si="107"/>
        <v>No</v>
      </c>
      <c r="T418" s="3" t="str">
        <f t="shared" si="117"/>
        <v>dxAC_equip</v>
      </c>
      <c r="U418" s="3" t="str">
        <f t="shared" si="118"/>
        <v>dxAC_equip</v>
      </c>
      <c r="V418" s="3" t="s">
        <v>111</v>
      </c>
      <c r="W418" s="3" t="s">
        <v>213</v>
      </c>
      <c r="X418" s="3" t="s">
        <v>111</v>
      </c>
      <c r="Y418" s="3" t="s">
        <v>213</v>
      </c>
      <c r="Z418" s="3" t="s">
        <v>214</v>
      </c>
      <c r="AA418" s="3" t="s">
        <v>55</v>
      </c>
      <c r="AB418" s="3" t="s">
        <v>56</v>
      </c>
      <c r="AC418" s="3" t="s">
        <v>215</v>
      </c>
    </row>
    <row r="419" spans="1:29" s="3" customFormat="1" x14ac:dyDescent="0.25">
      <c r="A419" s="3" t="s">
        <v>0</v>
      </c>
      <c r="B419" s="3" t="s">
        <v>10675</v>
      </c>
      <c r="C419" s="3" t="s">
        <v>10659</v>
      </c>
      <c r="D419" s="3" t="str">
        <f t="shared" si="121"/>
        <v>SWHC049-03 SEER Rated AC/HP_MFm</v>
      </c>
      <c r="F419" s="3" t="s">
        <v>227</v>
      </c>
      <c r="G419" s="3" t="str">
        <f t="shared" si="124"/>
        <v>RE-HV-AC-Pkg-18to65kBtuh-S21p0</v>
      </c>
      <c r="H419" s="3" t="s">
        <v>207</v>
      </c>
      <c r="I419" s="3" t="s">
        <v>208</v>
      </c>
      <c r="J419" s="3" t="s">
        <v>228</v>
      </c>
      <c r="K419" s="32" t="s">
        <v>210</v>
      </c>
      <c r="L419" s="32" t="s">
        <v>211</v>
      </c>
      <c r="M419" s="32" t="s">
        <v>229</v>
      </c>
      <c r="N419" s="3" t="str">
        <f t="shared" si="114"/>
        <v>MFm&amp;0&amp;rDXGF&amp;Ex&amp;dxAC_equip</v>
      </c>
      <c r="O419" s="3" t="s">
        <v>63</v>
      </c>
      <c r="P419" s="3">
        <v>0</v>
      </c>
      <c r="Q419" s="3" t="s">
        <v>51</v>
      </c>
      <c r="R419" s="3" t="s">
        <v>52</v>
      </c>
      <c r="S419" s="3" t="str">
        <f t="shared" si="107"/>
        <v>No</v>
      </c>
      <c r="T419" s="3" t="str">
        <f t="shared" si="117"/>
        <v>dxAC_equip</v>
      </c>
      <c r="U419" s="3" t="str">
        <f t="shared" si="118"/>
        <v>dxAC_equip</v>
      </c>
      <c r="V419" s="3" t="s">
        <v>111</v>
      </c>
      <c r="W419" s="3" t="s">
        <v>213</v>
      </c>
      <c r="X419" s="3" t="s">
        <v>111</v>
      </c>
      <c r="Y419" s="3" t="s">
        <v>213</v>
      </c>
      <c r="Z419" s="3" t="s">
        <v>214</v>
      </c>
      <c r="AA419" s="3" t="s">
        <v>55</v>
      </c>
      <c r="AB419" s="3" t="s">
        <v>56</v>
      </c>
      <c r="AC419" s="3" t="s">
        <v>215</v>
      </c>
    </row>
    <row r="420" spans="1:29" s="3" customFormat="1" x14ac:dyDescent="0.25">
      <c r="A420" s="3" t="s">
        <v>0</v>
      </c>
      <c r="B420" s="3" t="s">
        <v>10675</v>
      </c>
      <c r="C420" s="3" t="s">
        <v>10659</v>
      </c>
      <c r="D420" s="3" t="str">
        <f t="shared" si="121"/>
        <v>SWHC049-03 SEER Rated AC/HP_SFm</v>
      </c>
      <c r="F420" s="3" t="s">
        <v>227</v>
      </c>
      <c r="G420" s="3" t="str">
        <f t="shared" ref="G420:G439" si="125">F420</f>
        <v>RE-HV-AC-Pkg-18to65kBtuh-S21p0</v>
      </c>
      <c r="H420" s="3" t="s">
        <v>207</v>
      </c>
      <c r="I420" s="3" t="s">
        <v>208</v>
      </c>
      <c r="J420" s="3" t="s">
        <v>228</v>
      </c>
      <c r="K420" s="32" t="s">
        <v>210</v>
      </c>
      <c r="L420" s="32" t="s">
        <v>211</v>
      </c>
      <c r="M420" s="32" t="s">
        <v>229</v>
      </c>
      <c r="N420" s="3" t="str">
        <f t="shared" si="114"/>
        <v>SFm&amp;1&amp;rDXGF&amp;New&amp;dxAC_equip</v>
      </c>
      <c r="O420" s="3" t="s">
        <v>50</v>
      </c>
      <c r="P420" s="3">
        <v>1</v>
      </c>
      <c r="Q420" s="3" t="s">
        <v>51</v>
      </c>
      <c r="R420" s="3" t="s">
        <v>107</v>
      </c>
      <c r="S420" s="3" t="str">
        <f t="shared" si="107"/>
        <v>No</v>
      </c>
      <c r="T420" s="3" t="str">
        <f t="shared" si="117"/>
        <v>dxAC_equip</v>
      </c>
      <c r="U420" s="3" t="str">
        <f t="shared" si="118"/>
        <v>dxAC_equip</v>
      </c>
      <c r="V420" s="3" t="s">
        <v>111</v>
      </c>
      <c r="W420" s="3" t="s">
        <v>213</v>
      </c>
      <c r="X420" s="3" t="s">
        <v>111</v>
      </c>
      <c r="Y420" s="3" t="s">
        <v>213</v>
      </c>
      <c r="Z420" s="3" t="s">
        <v>214</v>
      </c>
      <c r="AA420" s="3" t="s">
        <v>55</v>
      </c>
      <c r="AB420" s="3" t="s">
        <v>56</v>
      </c>
      <c r="AC420" s="3" t="s">
        <v>215</v>
      </c>
    </row>
    <row r="421" spans="1:29" s="3" customFormat="1" x14ac:dyDescent="0.25">
      <c r="A421" s="3" t="s">
        <v>0</v>
      </c>
      <c r="B421" s="3" t="s">
        <v>10675</v>
      </c>
      <c r="C421" s="3" t="s">
        <v>10659</v>
      </c>
      <c r="D421" s="3" t="str">
        <f t="shared" si="121"/>
        <v>SWHC049-03 SEER Rated AC/HP_SFm</v>
      </c>
      <c r="F421" s="3" t="s">
        <v>227</v>
      </c>
      <c r="G421" s="3" t="str">
        <f t="shared" si="125"/>
        <v>RE-HV-AC-Pkg-18to65kBtuh-S21p0</v>
      </c>
      <c r="H421" s="3" t="s">
        <v>207</v>
      </c>
      <c r="I421" s="3" t="s">
        <v>208</v>
      </c>
      <c r="J421" s="3" t="s">
        <v>228</v>
      </c>
      <c r="K421" s="32" t="s">
        <v>210</v>
      </c>
      <c r="L421" s="32" t="s">
        <v>211</v>
      </c>
      <c r="M421" s="32" t="s">
        <v>229</v>
      </c>
      <c r="N421" s="3" t="str">
        <f t="shared" si="114"/>
        <v>SFm&amp;2&amp;rDXGF&amp;New&amp;dxAC_equip</v>
      </c>
      <c r="O421" s="3" t="s">
        <v>50</v>
      </c>
      <c r="P421" s="3">
        <v>2</v>
      </c>
      <c r="Q421" s="3" t="s">
        <v>51</v>
      </c>
      <c r="R421" s="3" t="s">
        <v>107</v>
      </c>
      <c r="S421" s="3" t="str">
        <f t="shared" si="107"/>
        <v>No</v>
      </c>
      <c r="T421" s="3" t="str">
        <f t="shared" si="117"/>
        <v>dxAC_equip</v>
      </c>
      <c r="U421" s="3" t="str">
        <f t="shared" si="118"/>
        <v>dxAC_equip</v>
      </c>
      <c r="V421" s="3" t="s">
        <v>111</v>
      </c>
      <c r="W421" s="3" t="s">
        <v>213</v>
      </c>
      <c r="X421" s="3" t="s">
        <v>111</v>
      </c>
      <c r="Y421" s="3" t="s">
        <v>213</v>
      </c>
      <c r="Z421" s="3" t="s">
        <v>214</v>
      </c>
      <c r="AA421" s="3" t="s">
        <v>55</v>
      </c>
      <c r="AB421" s="3" t="s">
        <v>56</v>
      </c>
      <c r="AC421" s="3" t="s">
        <v>215</v>
      </c>
    </row>
    <row r="422" spans="1:29" s="3" customFormat="1" x14ac:dyDescent="0.25">
      <c r="A422" s="3" t="s">
        <v>0</v>
      </c>
      <c r="B422" s="3" t="s">
        <v>10675</v>
      </c>
      <c r="C422" s="3" t="s">
        <v>10659</v>
      </c>
      <c r="D422" s="3" t="str">
        <f t="shared" si="121"/>
        <v>SWHC049-03 SEER Rated AC/HP_DMo</v>
      </c>
      <c r="F422" s="3" t="s">
        <v>227</v>
      </c>
      <c r="G422" s="3" t="str">
        <f t="shared" si="125"/>
        <v>RE-HV-AC-Pkg-18to65kBtuh-S21p0</v>
      </c>
      <c r="H422" s="3" t="s">
        <v>207</v>
      </c>
      <c r="I422" s="3" t="s">
        <v>208</v>
      </c>
      <c r="J422" s="3" t="s">
        <v>228</v>
      </c>
      <c r="K422" s="32" t="s">
        <v>210</v>
      </c>
      <c r="L422" s="32" t="s">
        <v>211</v>
      </c>
      <c r="M422" s="32" t="s">
        <v>229</v>
      </c>
      <c r="N422" s="3" t="str">
        <f t="shared" si="114"/>
        <v>DMo&amp;0&amp;rDXGF&amp;New&amp;dxAC_equip</v>
      </c>
      <c r="O422" s="3" t="s">
        <v>62</v>
      </c>
      <c r="P422" s="3">
        <v>0</v>
      </c>
      <c r="Q422" s="3" t="s">
        <v>51</v>
      </c>
      <c r="R422" s="3" t="s">
        <v>107</v>
      </c>
      <c r="S422" s="3" t="str">
        <f t="shared" si="107"/>
        <v>No</v>
      </c>
      <c r="T422" s="3" t="str">
        <f t="shared" si="117"/>
        <v>dxAC_equip</v>
      </c>
      <c r="U422" s="3" t="str">
        <f t="shared" si="118"/>
        <v>dxAC_equip</v>
      </c>
      <c r="V422" s="3" t="s">
        <v>111</v>
      </c>
      <c r="W422" s="3" t="s">
        <v>213</v>
      </c>
      <c r="X422" s="3" t="s">
        <v>111</v>
      </c>
      <c r="Y422" s="3" t="s">
        <v>213</v>
      </c>
      <c r="Z422" s="3" t="s">
        <v>214</v>
      </c>
      <c r="AA422" s="3" t="s">
        <v>55</v>
      </c>
      <c r="AB422" s="3" t="s">
        <v>56</v>
      </c>
      <c r="AC422" s="3" t="s">
        <v>215</v>
      </c>
    </row>
    <row r="423" spans="1:29" s="3" customFormat="1" x14ac:dyDescent="0.25">
      <c r="A423" s="3" t="s">
        <v>0</v>
      </c>
      <c r="B423" s="3" t="s">
        <v>10675</v>
      </c>
      <c r="C423" s="3" t="s">
        <v>10659</v>
      </c>
      <c r="D423" s="3" t="str">
        <f t="shared" si="121"/>
        <v>SWHC049-03 SEER Rated AC/HP_MFm</v>
      </c>
      <c r="F423" s="3" t="s">
        <v>227</v>
      </c>
      <c r="G423" s="3" t="str">
        <f t="shared" si="125"/>
        <v>RE-HV-AC-Pkg-18to65kBtuh-S21p0</v>
      </c>
      <c r="H423" s="3" t="s">
        <v>207</v>
      </c>
      <c r="I423" s="3" t="s">
        <v>208</v>
      </c>
      <c r="J423" s="3" t="s">
        <v>228</v>
      </c>
      <c r="K423" s="32" t="s">
        <v>210</v>
      </c>
      <c r="L423" s="32" t="s">
        <v>211</v>
      </c>
      <c r="M423" s="32" t="s">
        <v>229</v>
      </c>
      <c r="N423" s="3" t="str">
        <f t="shared" si="114"/>
        <v>MFm&amp;0&amp;rDXGF&amp;New&amp;dxAC_equip</v>
      </c>
      <c r="O423" s="3" t="s">
        <v>63</v>
      </c>
      <c r="P423" s="3">
        <v>0</v>
      </c>
      <c r="Q423" s="3" t="s">
        <v>51</v>
      </c>
      <c r="R423" s="3" t="s">
        <v>107</v>
      </c>
      <c r="S423" s="3" t="str">
        <f t="shared" si="107"/>
        <v>No</v>
      </c>
      <c r="T423" s="3" t="str">
        <f t="shared" si="117"/>
        <v>dxAC_equip</v>
      </c>
      <c r="U423" s="3" t="str">
        <f t="shared" si="118"/>
        <v>dxAC_equip</v>
      </c>
      <c r="V423" s="3" t="s">
        <v>111</v>
      </c>
      <c r="W423" s="3" t="s">
        <v>213</v>
      </c>
      <c r="X423" s="3" t="s">
        <v>111</v>
      </c>
      <c r="Y423" s="3" t="s">
        <v>213</v>
      </c>
      <c r="Z423" s="3" t="s">
        <v>214</v>
      </c>
      <c r="AA423" s="3" t="s">
        <v>55</v>
      </c>
      <c r="AB423" s="3" t="s">
        <v>56</v>
      </c>
      <c r="AC423" s="3" t="s">
        <v>215</v>
      </c>
    </row>
    <row r="424" spans="1:29" s="3" customFormat="1" x14ac:dyDescent="0.25">
      <c r="A424" s="3" t="s">
        <v>0</v>
      </c>
      <c r="B424" s="3" t="s">
        <v>10675</v>
      </c>
      <c r="C424" s="3" t="s">
        <v>10659</v>
      </c>
      <c r="D424" s="3" t="str">
        <f t="shared" si="121"/>
        <v>SWHC049-03 SEER Rated AC/HP_SFm</v>
      </c>
      <c r="F424" s="3" t="s">
        <v>230</v>
      </c>
      <c r="G424" s="3" t="str">
        <f t="shared" si="125"/>
        <v>RE-HV-AC-Splt-18to45kBtuh-S16p0</v>
      </c>
      <c r="H424" s="3" t="s">
        <v>231</v>
      </c>
      <c r="I424" s="3" t="s">
        <v>232</v>
      </c>
      <c r="J424" s="3" t="s">
        <v>233</v>
      </c>
      <c r="K424" s="32" t="s">
        <v>210</v>
      </c>
      <c r="L424" s="32" t="s">
        <v>234</v>
      </c>
      <c r="M424" s="32" t="s">
        <v>212</v>
      </c>
      <c r="N424" s="3" t="str">
        <f t="shared" si="114"/>
        <v>SFm&amp;1&amp;rDXGF&amp;Ex&amp;dxAC_equip</v>
      </c>
      <c r="O424" s="3" t="s">
        <v>50</v>
      </c>
      <c r="P424" s="3">
        <v>1</v>
      </c>
      <c r="Q424" s="3" t="s">
        <v>51</v>
      </c>
      <c r="R424" s="3" t="s">
        <v>52</v>
      </c>
      <c r="S424" s="3" t="str">
        <f t="shared" si="107"/>
        <v>No</v>
      </c>
      <c r="T424" s="3" t="str">
        <f t="shared" si="117"/>
        <v>dxAC_equip</v>
      </c>
      <c r="U424" s="3" t="str">
        <f t="shared" si="118"/>
        <v>dxAC_equip</v>
      </c>
      <c r="V424" s="3" t="s">
        <v>111</v>
      </c>
      <c r="W424" s="3" t="s">
        <v>235</v>
      </c>
      <c r="X424" s="3" t="s">
        <v>111</v>
      </c>
      <c r="Y424" s="3" t="s">
        <v>235</v>
      </c>
      <c r="Z424" s="3" t="s">
        <v>236</v>
      </c>
      <c r="AA424" s="3" t="s">
        <v>55</v>
      </c>
      <c r="AB424" s="3" t="s">
        <v>56</v>
      </c>
      <c r="AC424" s="3" t="s">
        <v>215</v>
      </c>
    </row>
    <row r="425" spans="1:29" s="3" customFormat="1" x14ac:dyDescent="0.25">
      <c r="A425" s="3" t="s">
        <v>0</v>
      </c>
      <c r="B425" s="3" t="s">
        <v>10675</v>
      </c>
      <c r="C425" s="3" t="s">
        <v>10659</v>
      </c>
      <c r="D425" s="3" t="str">
        <f t="shared" si="121"/>
        <v>SWHC049-03 SEER Rated AC/HP_SFm</v>
      </c>
      <c r="F425" s="3" t="s">
        <v>230</v>
      </c>
      <c r="G425" s="3" t="str">
        <f t="shared" si="125"/>
        <v>RE-HV-AC-Splt-18to45kBtuh-S16p0</v>
      </c>
      <c r="H425" s="3" t="s">
        <v>231</v>
      </c>
      <c r="I425" s="3" t="s">
        <v>232</v>
      </c>
      <c r="J425" s="3" t="s">
        <v>233</v>
      </c>
      <c r="K425" s="32" t="s">
        <v>210</v>
      </c>
      <c r="L425" s="32" t="s">
        <v>234</v>
      </c>
      <c r="M425" s="32" t="s">
        <v>212</v>
      </c>
      <c r="N425" s="3" t="str">
        <f t="shared" si="114"/>
        <v>SFm&amp;2&amp;rDXGF&amp;Ex&amp;dxAC_equip</v>
      </c>
      <c r="O425" s="3" t="s">
        <v>50</v>
      </c>
      <c r="P425" s="3">
        <v>2</v>
      </c>
      <c r="Q425" s="3" t="s">
        <v>51</v>
      </c>
      <c r="R425" s="3" t="s">
        <v>52</v>
      </c>
      <c r="S425" s="3" t="str">
        <f t="shared" si="107"/>
        <v>No</v>
      </c>
      <c r="T425" s="3" t="str">
        <f t="shared" si="117"/>
        <v>dxAC_equip</v>
      </c>
      <c r="U425" s="3" t="str">
        <f t="shared" si="118"/>
        <v>dxAC_equip</v>
      </c>
      <c r="V425" s="3" t="s">
        <v>111</v>
      </c>
      <c r="W425" s="3" t="s">
        <v>235</v>
      </c>
      <c r="X425" s="3" t="s">
        <v>111</v>
      </c>
      <c r="Y425" s="3" t="s">
        <v>235</v>
      </c>
      <c r="Z425" s="3" t="s">
        <v>236</v>
      </c>
      <c r="AA425" s="3" t="s">
        <v>55</v>
      </c>
      <c r="AB425" s="3" t="s">
        <v>56</v>
      </c>
      <c r="AC425" s="3" t="s">
        <v>215</v>
      </c>
    </row>
    <row r="426" spans="1:29" s="3" customFormat="1" x14ac:dyDescent="0.25">
      <c r="A426" s="3" t="s">
        <v>0</v>
      </c>
      <c r="B426" s="3" t="s">
        <v>10675</v>
      </c>
      <c r="C426" s="3" t="s">
        <v>10659</v>
      </c>
      <c r="D426" s="3" t="str">
        <f t="shared" si="121"/>
        <v>SWHC049-03 SEER Rated AC/HP_DMo</v>
      </c>
      <c r="F426" s="3" t="s">
        <v>230</v>
      </c>
      <c r="G426" s="3" t="str">
        <f t="shared" si="125"/>
        <v>RE-HV-AC-Splt-18to45kBtuh-S16p0</v>
      </c>
      <c r="H426" s="3" t="s">
        <v>231</v>
      </c>
      <c r="I426" s="3" t="s">
        <v>232</v>
      </c>
      <c r="J426" s="3" t="s">
        <v>233</v>
      </c>
      <c r="K426" s="32" t="s">
        <v>210</v>
      </c>
      <c r="L426" s="32" t="s">
        <v>234</v>
      </c>
      <c r="M426" s="32" t="s">
        <v>212</v>
      </c>
      <c r="N426" s="3" t="str">
        <f t="shared" si="114"/>
        <v>DMo&amp;0&amp;rDXGF&amp;Ex&amp;dxAC_equip</v>
      </c>
      <c r="O426" s="3" t="s">
        <v>62</v>
      </c>
      <c r="P426" s="3">
        <v>0</v>
      </c>
      <c r="Q426" s="3" t="s">
        <v>51</v>
      </c>
      <c r="R426" s="3" t="s">
        <v>52</v>
      </c>
      <c r="S426" s="3" t="str">
        <f t="shared" si="107"/>
        <v>No</v>
      </c>
      <c r="T426" s="3" t="str">
        <f t="shared" si="117"/>
        <v>dxAC_equip</v>
      </c>
      <c r="U426" s="3" t="str">
        <f t="shared" si="118"/>
        <v>dxAC_equip</v>
      </c>
      <c r="V426" s="3" t="s">
        <v>111</v>
      </c>
      <c r="W426" s="3" t="s">
        <v>235</v>
      </c>
      <c r="X426" s="3" t="s">
        <v>111</v>
      </c>
      <c r="Y426" s="3" t="s">
        <v>235</v>
      </c>
      <c r="Z426" s="3" t="s">
        <v>236</v>
      </c>
      <c r="AA426" s="3" t="s">
        <v>55</v>
      </c>
      <c r="AB426" s="3" t="s">
        <v>56</v>
      </c>
      <c r="AC426" s="3" t="s">
        <v>215</v>
      </c>
    </row>
    <row r="427" spans="1:29" s="3" customFormat="1" x14ac:dyDescent="0.25">
      <c r="A427" s="3" t="s">
        <v>0</v>
      </c>
      <c r="B427" s="3" t="s">
        <v>10675</v>
      </c>
      <c r="C427" s="3" t="s">
        <v>10659</v>
      </c>
      <c r="D427" s="3" t="str">
        <f t="shared" si="121"/>
        <v>SWHC049-03 SEER Rated AC/HP_MFm</v>
      </c>
      <c r="F427" s="3" t="s">
        <v>230</v>
      </c>
      <c r="G427" s="3" t="str">
        <f t="shared" si="125"/>
        <v>RE-HV-AC-Splt-18to45kBtuh-S16p0</v>
      </c>
      <c r="H427" s="3" t="s">
        <v>231</v>
      </c>
      <c r="I427" s="3" t="s">
        <v>232</v>
      </c>
      <c r="J427" s="3" t="s">
        <v>233</v>
      </c>
      <c r="K427" s="32" t="s">
        <v>210</v>
      </c>
      <c r="L427" s="32" t="s">
        <v>234</v>
      </c>
      <c r="M427" s="32" t="s">
        <v>212</v>
      </c>
      <c r="N427" s="3" t="str">
        <f t="shared" si="114"/>
        <v>MFm&amp;0&amp;rDXGF&amp;Ex&amp;dxAC_equip</v>
      </c>
      <c r="O427" s="3" t="s">
        <v>63</v>
      </c>
      <c r="P427" s="3">
        <v>0</v>
      </c>
      <c r="Q427" s="3" t="s">
        <v>51</v>
      </c>
      <c r="R427" s="3" t="s">
        <v>52</v>
      </c>
      <c r="S427" s="3" t="str">
        <f t="shared" si="107"/>
        <v>No</v>
      </c>
      <c r="T427" s="3" t="str">
        <f t="shared" si="117"/>
        <v>dxAC_equip</v>
      </c>
      <c r="U427" s="3" t="str">
        <f t="shared" si="118"/>
        <v>dxAC_equip</v>
      </c>
      <c r="V427" s="3" t="s">
        <v>111</v>
      </c>
      <c r="W427" s="3" t="s">
        <v>235</v>
      </c>
      <c r="X427" s="3" t="s">
        <v>111</v>
      </c>
      <c r="Y427" s="3" t="s">
        <v>235</v>
      </c>
      <c r="Z427" s="3" t="s">
        <v>236</v>
      </c>
      <c r="AA427" s="3" t="s">
        <v>55</v>
      </c>
      <c r="AB427" s="3" t="s">
        <v>56</v>
      </c>
      <c r="AC427" s="3" t="s">
        <v>215</v>
      </c>
    </row>
    <row r="428" spans="1:29" s="3" customFormat="1" x14ac:dyDescent="0.25">
      <c r="A428" s="3" t="s">
        <v>0</v>
      </c>
      <c r="B428" s="3" t="s">
        <v>10675</v>
      </c>
      <c r="C428" s="3" t="s">
        <v>10659</v>
      </c>
      <c r="D428" s="3" t="str">
        <f t="shared" si="121"/>
        <v>SWHC049-03 SEER Rated AC/HP_SFm</v>
      </c>
      <c r="F428" s="3" t="s">
        <v>230</v>
      </c>
      <c r="G428" s="3" t="str">
        <f t="shared" si="125"/>
        <v>RE-HV-AC-Splt-18to45kBtuh-S16p0</v>
      </c>
      <c r="H428" s="3" t="s">
        <v>231</v>
      </c>
      <c r="I428" s="3" t="s">
        <v>232</v>
      </c>
      <c r="J428" s="3" t="s">
        <v>233</v>
      </c>
      <c r="K428" s="32" t="s">
        <v>210</v>
      </c>
      <c r="L428" s="32" t="s">
        <v>234</v>
      </c>
      <c r="M428" s="32" t="s">
        <v>212</v>
      </c>
      <c r="N428" s="3" t="str">
        <f t="shared" si="114"/>
        <v>SFm&amp;1&amp;rDXGF&amp;New&amp;dxAC_equip</v>
      </c>
      <c r="O428" s="3" t="s">
        <v>50</v>
      </c>
      <c r="P428" s="3">
        <v>1</v>
      </c>
      <c r="Q428" s="3" t="s">
        <v>51</v>
      </c>
      <c r="R428" s="3" t="s">
        <v>107</v>
      </c>
      <c r="S428" s="3" t="str">
        <f t="shared" ref="S428:S491" si="126">IF(T428=U428, "No", "Yes")</f>
        <v>No</v>
      </c>
      <c r="T428" s="3" t="str">
        <f t="shared" si="117"/>
        <v>dxAC_equip</v>
      </c>
      <c r="U428" s="3" t="str">
        <f t="shared" si="118"/>
        <v>dxAC_equip</v>
      </c>
      <c r="V428" s="3" t="s">
        <v>111</v>
      </c>
      <c r="W428" s="3" t="s">
        <v>235</v>
      </c>
      <c r="X428" s="3" t="s">
        <v>111</v>
      </c>
      <c r="Y428" s="3" t="s">
        <v>235</v>
      </c>
      <c r="Z428" s="3" t="s">
        <v>236</v>
      </c>
      <c r="AA428" s="3" t="s">
        <v>55</v>
      </c>
      <c r="AB428" s="3" t="s">
        <v>56</v>
      </c>
      <c r="AC428" s="3" t="s">
        <v>215</v>
      </c>
    </row>
    <row r="429" spans="1:29" s="3" customFormat="1" x14ac:dyDescent="0.25">
      <c r="A429" s="3" t="s">
        <v>0</v>
      </c>
      <c r="B429" s="3" t="s">
        <v>10675</v>
      </c>
      <c r="C429" s="3" t="s">
        <v>10659</v>
      </c>
      <c r="D429" s="3" t="str">
        <f t="shared" si="121"/>
        <v>SWHC049-03 SEER Rated AC/HP_SFm</v>
      </c>
      <c r="F429" s="3" t="s">
        <v>230</v>
      </c>
      <c r="G429" s="3" t="str">
        <f t="shared" si="125"/>
        <v>RE-HV-AC-Splt-18to45kBtuh-S16p0</v>
      </c>
      <c r="H429" s="3" t="s">
        <v>231</v>
      </c>
      <c r="I429" s="3" t="s">
        <v>232</v>
      </c>
      <c r="J429" s="3" t="s">
        <v>233</v>
      </c>
      <c r="K429" s="32" t="s">
        <v>210</v>
      </c>
      <c r="L429" s="32" t="s">
        <v>234</v>
      </c>
      <c r="M429" s="32" t="s">
        <v>212</v>
      </c>
      <c r="N429" s="3" t="str">
        <f t="shared" si="114"/>
        <v>SFm&amp;2&amp;rDXGF&amp;New&amp;dxAC_equip</v>
      </c>
      <c r="O429" s="3" t="s">
        <v>50</v>
      </c>
      <c r="P429" s="3">
        <v>2</v>
      </c>
      <c r="Q429" s="3" t="s">
        <v>51</v>
      </c>
      <c r="R429" s="3" t="s">
        <v>107</v>
      </c>
      <c r="S429" s="3" t="str">
        <f t="shared" si="126"/>
        <v>No</v>
      </c>
      <c r="T429" s="3" t="str">
        <f t="shared" si="117"/>
        <v>dxAC_equip</v>
      </c>
      <c r="U429" s="3" t="str">
        <f t="shared" si="118"/>
        <v>dxAC_equip</v>
      </c>
      <c r="V429" s="3" t="s">
        <v>111</v>
      </c>
      <c r="W429" s="3" t="s">
        <v>235</v>
      </c>
      <c r="X429" s="3" t="s">
        <v>111</v>
      </c>
      <c r="Y429" s="3" t="s">
        <v>235</v>
      </c>
      <c r="Z429" s="3" t="s">
        <v>236</v>
      </c>
      <c r="AA429" s="3" t="s">
        <v>55</v>
      </c>
      <c r="AB429" s="3" t="s">
        <v>56</v>
      </c>
      <c r="AC429" s="3" t="s">
        <v>215</v>
      </c>
    </row>
    <row r="430" spans="1:29" s="3" customFormat="1" x14ac:dyDescent="0.25">
      <c r="A430" s="3" t="s">
        <v>0</v>
      </c>
      <c r="B430" s="3" t="s">
        <v>10675</v>
      </c>
      <c r="C430" s="3" t="s">
        <v>10659</v>
      </c>
      <c r="D430" s="3" t="str">
        <f t="shared" si="121"/>
        <v>SWHC049-03 SEER Rated AC/HP_DMo</v>
      </c>
      <c r="F430" s="3" t="s">
        <v>230</v>
      </c>
      <c r="G430" s="3" t="str">
        <f t="shared" si="125"/>
        <v>RE-HV-AC-Splt-18to45kBtuh-S16p0</v>
      </c>
      <c r="H430" s="3" t="s">
        <v>231</v>
      </c>
      <c r="I430" s="3" t="s">
        <v>232</v>
      </c>
      <c r="J430" s="3" t="s">
        <v>233</v>
      </c>
      <c r="K430" s="32" t="s">
        <v>210</v>
      </c>
      <c r="L430" s="32" t="s">
        <v>234</v>
      </c>
      <c r="M430" s="32" t="s">
        <v>212</v>
      </c>
      <c r="N430" s="3" t="str">
        <f t="shared" si="114"/>
        <v>DMo&amp;0&amp;rDXGF&amp;New&amp;dxAC_equip</v>
      </c>
      <c r="O430" s="3" t="s">
        <v>62</v>
      </c>
      <c r="P430" s="3">
        <v>0</v>
      </c>
      <c r="Q430" s="3" t="s">
        <v>51</v>
      </c>
      <c r="R430" s="3" t="s">
        <v>107</v>
      </c>
      <c r="S430" s="3" t="str">
        <f t="shared" si="126"/>
        <v>No</v>
      </c>
      <c r="T430" s="3" t="str">
        <f t="shared" si="117"/>
        <v>dxAC_equip</v>
      </c>
      <c r="U430" s="3" t="str">
        <f t="shared" si="118"/>
        <v>dxAC_equip</v>
      </c>
      <c r="V430" s="3" t="s">
        <v>111</v>
      </c>
      <c r="W430" s="3" t="s">
        <v>235</v>
      </c>
      <c r="X430" s="3" t="s">
        <v>111</v>
      </c>
      <c r="Y430" s="3" t="s">
        <v>235</v>
      </c>
      <c r="Z430" s="3" t="s">
        <v>236</v>
      </c>
      <c r="AA430" s="3" t="s">
        <v>55</v>
      </c>
      <c r="AB430" s="3" t="s">
        <v>56</v>
      </c>
      <c r="AC430" s="3" t="s">
        <v>215</v>
      </c>
    </row>
    <row r="431" spans="1:29" s="3" customFormat="1" x14ac:dyDescent="0.25">
      <c r="A431" s="3" t="s">
        <v>0</v>
      </c>
      <c r="B431" s="3" t="s">
        <v>10675</v>
      </c>
      <c r="C431" s="3" t="s">
        <v>10659</v>
      </c>
      <c r="D431" s="3" t="str">
        <f t="shared" si="121"/>
        <v>SWHC049-03 SEER Rated AC/HP_MFm</v>
      </c>
      <c r="F431" s="3" t="s">
        <v>230</v>
      </c>
      <c r="G431" s="3" t="str">
        <f t="shared" si="125"/>
        <v>RE-HV-AC-Splt-18to45kBtuh-S16p0</v>
      </c>
      <c r="H431" s="3" t="s">
        <v>231</v>
      </c>
      <c r="I431" s="3" t="s">
        <v>232</v>
      </c>
      <c r="J431" s="3" t="s">
        <v>233</v>
      </c>
      <c r="K431" s="32" t="s">
        <v>210</v>
      </c>
      <c r="L431" s="32" t="s">
        <v>234</v>
      </c>
      <c r="M431" s="32" t="s">
        <v>212</v>
      </c>
      <c r="N431" s="3" t="str">
        <f t="shared" si="114"/>
        <v>MFm&amp;0&amp;rDXGF&amp;New&amp;dxAC_equip</v>
      </c>
      <c r="O431" s="3" t="s">
        <v>63</v>
      </c>
      <c r="P431" s="3">
        <v>0</v>
      </c>
      <c r="Q431" s="3" t="s">
        <v>51</v>
      </c>
      <c r="R431" s="3" t="s">
        <v>107</v>
      </c>
      <c r="S431" s="3" t="str">
        <f t="shared" si="126"/>
        <v>No</v>
      </c>
      <c r="T431" s="3" t="str">
        <f t="shared" si="117"/>
        <v>dxAC_equip</v>
      </c>
      <c r="U431" s="3" t="str">
        <f t="shared" si="118"/>
        <v>dxAC_equip</v>
      </c>
      <c r="V431" s="3" t="s">
        <v>111</v>
      </c>
      <c r="W431" s="3" t="s">
        <v>235</v>
      </c>
      <c r="X431" s="3" t="s">
        <v>111</v>
      </c>
      <c r="Y431" s="3" t="s">
        <v>235</v>
      </c>
      <c r="Z431" s="3" t="s">
        <v>236</v>
      </c>
      <c r="AA431" s="3" t="s">
        <v>55</v>
      </c>
      <c r="AB431" s="3" t="s">
        <v>56</v>
      </c>
      <c r="AC431" s="3" t="s">
        <v>215</v>
      </c>
    </row>
    <row r="432" spans="1:29" s="3" customFormat="1" x14ac:dyDescent="0.25">
      <c r="A432" s="3" t="s">
        <v>0</v>
      </c>
      <c r="B432" s="3" t="s">
        <v>10675</v>
      </c>
      <c r="C432" s="3" t="s">
        <v>10659</v>
      </c>
      <c r="D432" s="3" t="str">
        <f t="shared" si="121"/>
        <v>SWHC049-03 SEER Rated AC/HP_SFm</v>
      </c>
      <c r="F432" s="3" t="s">
        <v>237</v>
      </c>
      <c r="G432" s="3" t="str">
        <f t="shared" si="125"/>
        <v>RE-HV-AC-Splt-18to45kBtuh-S17p0</v>
      </c>
      <c r="H432" s="3" t="s">
        <v>231</v>
      </c>
      <c r="I432" s="3" t="s">
        <v>232</v>
      </c>
      <c r="J432" s="3" t="s">
        <v>238</v>
      </c>
      <c r="K432" s="32" t="s">
        <v>210</v>
      </c>
      <c r="L432" s="32" t="s">
        <v>234</v>
      </c>
      <c r="M432" s="32" t="s">
        <v>218</v>
      </c>
      <c r="N432" s="3" t="str">
        <f t="shared" si="114"/>
        <v>SFm&amp;1&amp;rDXGF&amp;Ex&amp;dxAC_equip</v>
      </c>
      <c r="O432" s="3" t="s">
        <v>50</v>
      </c>
      <c r="P432" s="3">
        <v>1</v>
      </c>
      <c r="Q432" s="3" t="s">
        <v>51</v>
      </c>
      <c r="R432" s="3" t="s">
        <v>52</v>
      </c>
      <c r="S432" s="3" t="str">
        <f t="shared" si="126"/>
        <v>No</v>
      </c>
      <c r="T432" s="3" t="str">
        <f t="shared" si="117"/>
        <v>dxAC_equip</v>
      </c>
      <c r="U432" s="3" t="str">
        <f t="shared" si="118"/>
        <v>dxAC_equip</v>
      </c>
      <c r="V432" s="3" t="s">
        <v>111</v>
      </c>
      <c r="W432" s="3" t="s">
        <v>235</v>
      </c>
      <c r="X432" s="3" t="s">
        <v>111</v>
      </c>
      <c r="Y432" s="3" t="s">
        <v>235</v>
      </c>
      <c r="Z432" s="3" t="s">
        <v>236</v>
      </c>
      <c r="AA432" s="3" t="s">
        <v>55</v>
      </c>
      <c r="AB432" s="3" t="s">
        <v>56</v>
      </c>
      <c r="AC432" s="3" t="s">
        <v>215</v>
      </c>
    </row>
    <row r="433" spans="1:29" s="3" customFormat="1" x14ac:dyDescent="0.25">
      <c r="A433" s="3" t="s">
        <v>0</v>
      </c>
      <c r="B433" s="3" t="s">
        <v>10675</v>
      </c>
      <c r="C433" s="3" t="s">
        <v>10659</v>
      </c>
      <c r="D433" s="3" t="str">
        <f t="shared" si="121"/>
        <v>SWHC049-03 SEER Rated AC/HP_SFm</v>
      </c>
      <c r="F433" s="3" t="s">
        <v>237</v>
      </c>
      <c r="G433" s="3" t="str">
        <f t="shared" si="125"/>
        <v>RE-HV-AC-Splt-18to45kBtuh-S17p0</v>
      </c>
      <c r="H433" s="3" t="s">
        <v>231</v>
      </c>
      <c r="I433" s="3" t="s">
        <v>232</v>
      </c>
      <c r="J433" s="3" t="s">
        <v>238</v>
      </c>
      <c r="K433" s="32" t="s">
        <v>210</v>
      </c>
      <c r="L433" s="32" t="s">
        <v>234</v>
      </c>
      <c r="M433" s="32" t="s">
        <v>218</v>
      </c>
      <c r="N433" s="3" t="str">
        <f t="shared" si="114"/>
        <v>SFm&amp;2&amp;rDXGF&amp;Ex&amp;dxAC_equip</v>
      </c>
      <c r="O433" s="3" t="s">
        <v>50</v>
      </c>
      <c r="P433" s="3">
        <v>2</v>
      </c>
      <c r="Q433" s="3" t="s">
        <v>51</v>
      </c>
      <c r="R433" s="3" t="s">
        <v>52</v>
      </c>
      <c r="S433" s="3" t="str">
        <f t="shared" si="126"/>
        <v>No</v>
      </c>
      <c r="T433" s="3" t="str">
        <f t="shared" si="117"/>
        <v>dxAC_equip</v>
      </c>
      <c r="U433" s="3" t="str">
        <f t="shared" si="118"/>
        <v>dxAC_equip</v>
      </c>
      <c r="V433" s="3" t="s">
        <v>111</v>
      </c>
      <c r="W433" s="3" t="s">
        <v>235</v>
      </c>
      <c r="X433" s="3" t="s">
        <v>111</v>
      </c>
      <c r="Y433" s="3" t="s">
        <v>235</v>
      </c>
      <c r="Z433" s="3" t="s">
        <v>236</v>
      </c>
      <c r="AA433" s="3" t="s">
        <v>55</v>
      </c>
      <c r="AB433" s="3" t="s">
        <v>56</v>
      </c>
      <c r="AC433" s="3" t="s">
        <v>215</v>
      </c>
    </row>
    <row r="434" spans="1:29" s="3" customFormat="1" x14ac:dyDescent="0.25">
      <c r="A434" s="3" t="s">
        <v>0</v>
      </c>
      <c r="B434" s="3" t="s">
        <v>10675</v>
      </c>
      <c r="C434" s="3" t="s">
        <v>10659</v>
      </c>
      <c r="D434" s="3" t="str">
        <f t="shared" si="121"/>
        <v>SWHC049-03 SEER Rated AC/HP_DMo</v>
      </c>
      <c r="F434" s="3" t="s">
        <v>237</v>
      </c>
      <c r="G434" s="3" t="str">
        <f t="shared" si="125"/>
        <v>RE-HV-AC-Splt-18to45kBtuh-S17p0</v>
      </c>
      <c r="H434" s="3" t="s">
        <v>231</v>
      </c>
      <c r="I434" s="3" t="s">
        <v>232</v>
      </c>
      <c r="J434" s="3" t="s">
        <v>238</v>
      </c>
      <c r="K434" s="32" t="s">
        <v>210</v>
      </c>
      <c r="L434" s="32" t="s">
        <v>234</v>
      </c>
      <c r="M434" s="32" t="s">
        <v>218</v>
      </c>
      <c r="N434" s="3" t="str">
        <f t="shared" ref="N434:N497" si="127">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26"/>
        <v>No</v>
      </c>
      <c r="T434" s="3" t="str">
        <f t="shared" si="117"/>
        <v>dxAC_equip</v>
      </c>
      <c r="U434" s="3" t="str">
        <f t="shared" si="118"/>
        <v>dxAC_equip</v>
      </c>
      <c r="V434" s="3" t="s">
        <v>111</v>
      </c>
      <c r="W434" s="3" t="s">
        <v>235</v>
      </c>
      <c r="X434" s="3" t="s">
        <v>111</v>
      </c>
      <c r="Y434" s="3" t="s">
        <v>235</v>
      </c>
      <c r="Z434" s="3" t="s">
        <v>236</v>
      </c>
      <c r="AA434" s="3" t="s">
        <v>55</v>
      </c>
      <c r="AB434" s="3" t="s">
        <v>56</v>
      </c>
      <c r="AC434" s="3" t="s">
        <v>215</v>
      </c>
    </row>
    <row r="435" spans="1:29" s="3" customFormat="1" x14ac:dyDescent="0.25">
      <c r="A435" s="3" t="s">
        <v>0</v>
      </c>
      <c r="B435" s="3" t="s">
        <v>10675</v>
      </c>
      <c r="C435" s="3" t="s">
        <v>10659</v>
      </c>
      <c r="D435" s="3" t="str">
        <f t="shared" si="121"/>
        <v>SWHC049-03 SEER Rated AC/HP_MFm</v>
      </c>
      <c r="F435" s="3" t="s">
        <v>237</v>
      </c>
      <c r="G435" s="3" t="str">
        <f t="shared" si="125"/>
        <v>RE-HV-AC-Splt-18to45kBtuh-S17p0</v>
      </c>
      <c r="H435" s="3" t="s">
        <v>231</v>
      </c>
      <c r="I435" s="3" t="s">
        <v>232</v>
      </c>
      <c r="J435" s="3" t="s">
        <v>238</v>
      </c>
      <c r="K435" s="32" t="s">
        <v>210</v>
      </c>
      <c r="L435" s="32" t="s">
        <v>234</v>
      </c>
      <c r="M435" s="32" t="s">
        <v>218</v>
      </c>
      <c r="N435" s="3" t="str">
        <f t="shared" si="127"/>
        <v>MFm&amp;0&amp;rDXGF&amp;Ex&amp;dxAC_equip</v>
      </c>
      <c r="O435" s="3" t="s">
        <v>63</v>
      </c>
      <c r="P435" s="3">
        <v>0</v>
      </c>
      <c r="Q435" s="3" t="s">
        <v>51</v>
      </c>
      <c r="R435" s="3" t="s">
        <v>52</v>
      </c>
      <c r="S435" s="3" t="str">
        <f t="shared" si="126"/>
        <v>No</v>
      </c>
      <c r="T435" s="3" t="str">
        <f t="shared" si="117"/>
        <v>dxAC_equip</v>
      </c>
      <c r="U435" s="3" t="str">
        <f t="shared" si="118"/>
        <v>dxAC_equip</v>
      </c>
      <c r="V435" s="3" t="s">
        <v>111</v>
      </c>
      <c r="W435" s="3" t="s">
        <v>235</v>
      </c>
      <c r="X435" s="3" t="s">
        <v>111</v>
      </c>
      <c r="Y435" s="3" t="s">
        <v>235</v>
      </c>
      <c r="Z435" s="3" t="s">
        <v>236</v>
      </c>
      <c r="AA435" s="3" t="s">
        <v>55</v>
      </c>
      <c r="AB435" s="3" t="s">
        <v>56</v>
      </c>
      <c r="AC435" s="3" t="s">
        <v>215</v>
      </c>
    </row>
    <row r="436" spans="1:29" s="3" customFormat="1" x14ac:dyDescent="0.25">
      <c r="A436" s="3" t="s">
        <v>0</v>
      </c>
      <c r="B436" s="3" t="s">
        <v>10675</v>
      </c>
      <c r="C436" s="3" t="s">
        <v>10659</v>
      </c>
      <c r="D436" s="3" t="str">
        <f t="shared" si="121"/>
        <v>SWHC049-03 SEER Rated AC/HP_SFm</v>
      </c>
      <c r="F436" s="3" t="s">
        <v>237</v>
      </c>
      <c r="G436" s="3" t="str">
        <f t="shared" si="125"/>
        <v>RE-HV-AC-Splt-18to45kBtuh-S17p0</v>
      </c>
      <c r="H436" s="3" t="s">
        <v>231</v>
      </c>
      <c r="I436" s="3" t="s">
        <v>232</v>
      </c>
      <c r="J436" s="3" t="s">
        <v>238</v>
      </c>
      <c r="K436" s="32" t="s">
        <v>210</v>
      </c>
      <c r="L436" s="32" t="s">
        <v>234</v>
      </c>
      <c r="M436" s="32" t="s">
        <v>218</v>
      </c>
      <c r="N436" s="3" t="str">
        <f t="shared" si="127"/>
        <v>SFm&amp;1&amp;rDXGF&amp;New&amp;dxAC_equip</v>
      </c>
      <c r="O436" s="3" t="s">
        <v>50</v>
      </c>
      <c r="P436" s="3">
        <v>1</v>
      </c>
      <c r="Q436" s="3" t="s">
        <v>51</v>
      </c>
      <c r="R436" s="3" t="s">
        <v>107</v>
      </c>
      <c r="S436" s="3" t="str">
        <f t="shared" si="126"/>
        <v>No</v>
      </c>
      <c r="T436" s="3" t="str">
        <f t="shared" si="117"/>
        <v>dxAC_equip</v>
      </c>
      <c r="U436" s="3" t="str">
        <f t="shared" si="118"/>
        <v>dxAC_equip</v>
      </c>
      <c r="V436" s="3" t="s">
        <v>111</v>
      </c>
      <c r="W436" s="3" t="s">
        <v>235</v>
      </c>
      <c r="X436" s="3" t="s">
        <v>111</v>
      </c>
      <c r="Y436" s="3" t="s">
        <v>235</v>
      </c>
      <c r="Z436" s="3" t="s">
        <v>236</v>
      </c>
      <c r="AA436" s="3" t="s">
        <v>55</v>
      </c>
      <c r="AB436" s="3" t="s">
        <v>56</v>
      </c>
      <c r="AC436" s="3" t="s">
        <v>215</v>
      </c>
    </row>
    <row r="437" spans="1:29" s="3" customFormat="1" x14ac:dyDescent="0.25">
      <c r="A437" s="3" t="s">
        <v>0</v>
      </c>
      <c r="B437" s="3" t="s">
        <v>10675</v>
      </c>
      <c r="C437" s="3" t="s">
        <v>10659</v>
      </c>
      <c r="D437" s="3" t="str">
        <f t="shared" si="121"/>
        <v>SWHC049-03 SEER Rated AC/HP_SFm</v>
      </c>
      <c r="F437" s="3" t="s">
        <v>237</v>
      </c>
      <c r="G437" s="3" t="str">
        <f t="shared" si="125"/>
        <v>RE-HV-AC-Splt-18to45kBtuh-S17p0</v>
      </c>
      <c r="H437" s="3" t="s">
        <v>231</v>
      </c>
      <c r="I437" s="3" t="s">
        <v>232</v>
      </c>
      <c r="J437" s="3" t="s">
        <v>238</v>
      </c>
      <c r="K437" s="32" t="s">
        <v>210</v>
      </c>
      <c r="L437" s="32" t="s">
        <v>234</v>
      </c>
      <c r="M437" s="32" t="s">
        <v>218</v>
      </c>
      <c r="N437" s="3" t="str">
        <f t="shared" si="127"/>
        <v>SFm&amp;2&amp;rDXGF&amp;New&amp;dxAC_equip</v>
      </c>
      <c r="O437" s="3" t="s">
        <v>50</v>
      </c>
      <c r="P437" s="3">
        <v>2</v>
      </c>
      <c r="Q437" s="3" t="s">
        <v>51</v>
      </c>
      <c r="R437" s="3" t="s">
        <v>107</v>
      </c>
      <c r="S437" s="3" t="str">
        <f t="shared" si="126"/>
        <v>No</v>
      </c>
      <c r="T437" s="3" t="str">
        <f t="shared" si="117"/>
        <v>dxAC_equip</v>
      </c>
      <c r="U437" s="3" t="str">
        <f t="shared" si="118"/>
        <v>dxAC_equip</v>
      </c>
      <c r="V437" s="3" t="s">
        <v>111</v>
      </c>
      <c r="W437" s="3" t="s">
        <v>235</v>
      </c>
      <c r="X437" s="3" t="s">
        <v>111</v>
      </c>
      <c r="Y437" s="3" t="s">
        <v>235</v>
      </c>
      <c r="Z437" s="3" t="s">
        <v>236</v>
      </c>
      <c r="AA437" s="3" t="s">
        <v>55</v>
      </c>
      <c r="AB437" s="3" t="s">
        <v>56</v>
      </c>
      <c r="AC437" s="3" t="s">
        <v>215</v>
      </c>
    </row>
    <row r="438" spans="1:29" s="3" customFormat="1" x14ac:dyDescent="0.25">
      <c r="A438" s="3" t="s">
        <v>0</v>
      </c>
      <c r="B438" s="3" t="s">
        <v>10675</v>
      </c>
      <c r="C438" s="3" t="s">
        <v>10659</v>
      </c>
      <c r="D438" s="3" t="str">
        <f t="shared" si="121"/>
        <v>SWHC049-03 SEER Rated AC/HP_DMo</v>
      </c>
      <c r="F438" s="3" t="s">
        <v>237</v>
      </c>
      <c r="G438" s="3" t="str">
        <f t="shared" si="125"/>
        <v>RE-HV-AC-Splt-18to45kBtuh-S17p0</v>
      </c>
      <c r="H438" s="3" t="s">
        <v>231</v>
      </c>
      <c r="I438" s="3" t="s">
        <v>232</v>
      </c>
      <c r="J438" s="3" t="s">
        <v>238</v>
      </c>
      <c r="K438" s="32" t="s">
        <v>210</v>
      </c>
      <c r="L438" s="32" t="s">
        <v>234</v>
      </c>
      <c r="M438" s="32" t="s">
        <v>218</v>
      </c>
      <c r="N438" s="3" t="str">
        <f t="shared" si="127"/>
        <v>DMo&amp;0&amp;rDXGF&amp;New&amp;dxAC_equip</v>
      </c>
      <c r="O438" s="3" t="s">
        <v>62</v>
      </c>
      <c r="P438" s="3">
        <v>0</v>
      </c>
      <c r="Q438" s="3" t="s">
        <v>51</v>
      </c>
      <c r="R438" s="3" t="s">
        <v>107</v>
      </c>
      <c r="S438" s="3" t="str">
        <f t="shared" si="126"/>
        <v>No</v>
      </c>
      <c r="T438" s="3" t="str">
        <f t="shared" si="117"/>
        <v>dxAC_equip</v>
      </c>
      <c r="U438" s="3" t="str">
        <f t="shared" si="118"/>
        <v>dxAC_equip</v>
      </c>
      <c r="V438" s="3" t="s">
        <v>111</v>
      </c>
      <c r="W438" s="3" t="s">
        <v>235</v>
      </c>
      <c r="X438" s="3" t="s">
        <v>111</v>
      </c>
      <c r="Y438" s="3" t="s">
        <v>235</v>
      </c>
      <c r="Z438" s="3" t="s">
        <v>236</v>
      </c>
      <c r="AA438" s="3" t="s">
        <v>55</v>
      </c>
      <c r="AB438" s="3" t="s">
        <v>56</v>
      </c>
      <c r="AC438" s="3" t="s">
        <v>215</v>
      </c>
    </row>
    <row r="439" spans="1:29" s="3" customFormat="1" x14ac:dyDescent="0.25">
      <c r="A439" s="3" t="s">
        <v>0</v>
      </c>
      <c r="B439" s="3" t="s">
        <v>10675</v>
      </c>
      <c r="C439" s="3" t="s">
        <v>10659</v>
      </c>
      <c r="D439" s="3" t="str">
        <f t="shared" si="121"/>
        <v>SWHC049-03 SEER Rated AC/HP_MFm</v>
      </c>
      <c r="F439" s="3" t="s">
        <v>237</v>
      </c>
      <c r="G439" s="3" t="str">
        <f t="shared" si="125"/>
        <v>RE-HV-AC-Splt-18to45kBtuh-S17p0</v>
      </c>
      <c r="H439" s="3" t="s">
        <v>231</v>
      </c>
      <c r="I439" s="3" t="s">
        <v>232</v>
      </c>
      <c r="J439" s="3" t="s">
        <v>238</v>
      </c>
      <c r="K439" s="32" t="s">
        <v>210</v>
      </c>
      <c r="L439" s="32" t="s">
        <v>234</v>
      </c>
      <c r="M439" s="32" t="s">
        <v>218</v>
      </c>
      <c r="N439" s="3" t="str">
        <f t="shared" si="127"/>
        <v>MFm&amp;0&amp;rDXGF&amp;New&amp;dxAC_equip</v>
      </c>
      <c r="O439" s="3" t="s">
        <v>63</v>
      </c>
      <c r="P439" s="3">
        <v>0</v>
      </c>
      <c r="Q439" s="3" t="s">
        <v>51</v>
      </c>
      <c r="R439" s="3" t="s">
        <v>107</v>
      </c>
      <c r="S439" s="3" t="str">
        <f t="shared" si="126"/>
        <v>No</v>
      </c>
      <c r="T439" s="3" t="str">
        <f t="shared" si="117"/>
        <v>dxAC_equip</v>
      </c>
      <c r="U439" s="3" t="str">
        <f t="shared" si="118"/>
        <v>dxAC_equip</v>
      </c>
      <c r="V439" s="3" t="s">
        <v>111</v>
      </c>
      <c r="W439" s="3" t="s">
        <v>235</v>
      </c>
      <c r="X439" s="3" t="s">
        <v>111</v>
      </c>
      <c r="Y439" s="3" t="s">
        <v>235</v>
      </c>
      <c r="Z439" s="3" t="s">
        <v>236</v>
      </c>
      <c r="AA439" s="3" t="s">
        <v>55</v>
      </c>
      <c r="AB439" s="3" t="s">
        <v>56</v>
      </c>
      <c r="AC439" s="3" t="s">
        <v>215</v>
      </c>
    </row>
    <row r="440" spans="1:29" s="3" customFormat="1" x14ac:dyDescent="0.25">
      <c r="A440" s="3" t="s">
        <v>0</v>
      </c>
      <c r="B440" s="3" t="s">
        <v>10675</v>
      </c>
      <c r="C440" s="3" t="s">
        <v>10659</v>
      </c>
      <c r="D440" s="3" t="str">
        <f t="shared" si="121"/>
        <v>SWHC049-03 SEER Rated AC/HP_SFm</v>
      </c>
      <c r="F440" s="3" t="s">
        <v>239</v>
      </c>
      <c r="G440" s="3" t="str">
        <f t="shared" ref="G440:G447" si="128">F440</f>
        <v>RE-HV-AC-Splt-18to45kBtuh-S18p0</v>
      </c>
      <c r="H440" s="3" t="s">
        <v>231</v>
      </c>
      <c r="I440" s="3" t="s">
        <v>232</v>
      </c>
      <c r="J440" s="3" t="s">
        <v>240</v>
      </c>
      <c r="K440" s="32" t="s">
        <v>210</v>
      </c>
      <c r="L440" s="32" t="s">
        <v>234</v>
      </c>
      <c r="M440" s="32" t="s">
        <v>221</v>
      </c>
      <c r="N440" s="3" t="str">
        <f t="shared" si="127"/>
        <v>SFm&amp;1&amp;rDXGF&amp;Ex&amp;dxAC_equip</v>
      </c>
      <c r="O440" s="3" t="s">
        <v>50</v>
      </c>
      <c r="P440" s="3">
        <v>1</v>
      </c>
      <c r="Q440" s="3" t="s">
        <v>51</v>
      </c>
      <c r="R440" s="3" t="s">
        <v>52</v>
      </c>
      <c r="S440" s="3" t="str">
        <f t="shared" si="126"/>
        <v>No</v>
      </c>
      <c r="T440" s="3" t="str">
        <f t="shared" si="117"/>
        <v>dxAC_equip</v>
      </c>
      <c r="U440" s="3" t="str">
        <f t="shared" si="118"/>
        <v>dxAC_equip</v>
      </c>
      <c r="V440" s="3" t="s">
        <v>111</v>
      </c>
      <c r="W440" s="3" t="s">
        <v>235</v>
      </c>
      <c r="X440" s="3" t="s">
        <v>111</v>
      </c>
      <c r="Y440" s="3" t="s">
        <v>235</v>
      </c>
      <c r="Z440" s="3" t="s">
        <v>236</v>
      </c>
      <c r="AA440" s="3" t="s">
        <v>55</v>
      </c>
      <c r="AB440" s="3" t="s">
        <v>56</v>
      </c>
      <c r="AC440" s="3" t="s">
        <v>215</v>
      </c>
    </row>
    <row r="441" spans="1:29" s="3" customFormat="1" x14ac:dyDescent="0.25">
      <c r="A441" s="3" t="s">
        <v>0</v>
      </c>
      <c r="B441" s="3" t="s">
        <v>10675</v>
      </c>
      <c r="C441" s="3" t="s">
        <v>10659</v>
      </c>
      <c r="D441" s="3" t="str">
        <f t="shared" si="121"/>
        <v>SWHC049-03 SEER Rated AC/HP_SFm</v>
      </c>
      <c r="F441" s="3" t="s">
        <v>239</v>
      </c>
      <c r="G441" s="3" t="str">
        <f t="shared" si="128"/>
        <v>RE-HV-AC-Splt-18to45kBtuh-S18p0</v>
      </c>
      <c r="H441" s="3" t="s">
        <v>231</v>
      </c>
      <c r="I441" s="3" t="s">
        <v>232</v>
      </c>
      <c r="J441" s="3" t="s">
        <v>240</v>
      </c>
      <c r="K441" s="32" t="s">
        <v>210</v>
      </c>
      <c r="L441" s="32" t="s">
        <v>234</v>
      </c>
      <c r="M441" s="32" t="s">
        <v>221</v>
      </c>
      <c r="N441" s="3" t="str">
        <f t="shared" si="127"/>
        <v>SFm&amp;2&amp;rDXGF&amp;Ex&amp;dxAC_equip</v>
      </c>
      <c r="O441" s="3" t="s">
        <v>50</v>
      </c>
      <c r="P441" s="3">
        <v>2</v>
      </c>
      <c r="Q441" s="3" t="s">
        <v>51</v>
      </c>
      <c r="R441" s="3" t="s">
        <v>52</v>
      </c>
      <c r="S441" s="3" t="str">
        <f t="shared" si="126"/>
        <v>No</v>
      </c>
      <c r="T441" s="3" t="str">
        <f t="shared" ref="T441:T504" si="129">V441</f>
        <v>dxAC_equip</v>
      </c>
      <c r="U441" s="3" t="str">
        <f t="shared" ref="U441:U486" si="130">X441</f>
        <v>dxAC_equip</v>
      </c>
      <c r="V441" s="3" t="s">
        <v>111</v>
      </c>
      <c r="W441" s="3" t="s">
        <v>235</v>
      </c>
      <c r="X441" s="3" t="s">
        <v>111</v>
      </c>
      <c r="Y441" s="3" t="s">
        <v>235</v>
      </c>
      <c r="Z441" s="3" t="s">
        <v>236</v>
      </c>
      <c r="AA441" s="3" t="s">
        <v>55</v>
      </c>
      <c r="AB441" s="3" t="s">
        <v>56</v>
      </c>
      <c r="AC441" s="3" t="s">
        <v>215</v>
      </c>
    </row>
    <row r="442" spans="1:29" s="3" customFormat="1" x14ac:dyDescent="0.25">
      <c r="A442" s="3" t="s">
        <v>0</v>
      </c>
      <c r="B442" s="3" t="s">
        <v>10675</v>
      </c>
      <c r="C442" s="3" t="s">
        <v>10659</v>
      </c>
      <c r="D442" s="3" t="str">
        <f t="shared" si="121"/>
        <v>SWHC049-03 SEER Rated AC/HP_DMo</v>
      </c>
      <c r="F442" s="3" t="s">
        <v>239</v>
      </c>
      <c r="G442" s="3" t="str">
        <f t="shared" si="128"/>
        <v>RE-HV-AC-Splt-18to45kBtuh-S18p0</v>
      </c>
      <c r="H442" s="3" t="s">
        <v>231</v>
      </c>
      <c r="I442" s="3" t="s">
        <v>232</v>
      </c>
      <c r="J442" s="3" t="s">
        <v>240</v>
      </c>
      <c r="K442" s="32" t="s">
        <v>210</v>
      </c>
      <c r="L442" s="32" t="s">
        <v>234</v>
      </c>
      <c r="M442" s="32" t="s">
        <v>221</v>
      </c>
      <c r="N442" s="3" t="str">
        <f t="shared" si="127"/>
        <v>DMo&amp;0&amp;rDXGF&amp;Ex&amp;dxAC_equip</v>
      </c>
      <c r="O442" s="3" t="s">
        <v>62</v>
      </c>
      <c r="P442" s="3">
        <v>0</v>
      </c>
      <c r="Q442" s="3" t="s">
        <v>51</v>
      </c>
      <c r="R442" s="3" t="s">
        <v>52</v>
      </c>
      <c r="S442" s="3" t="str">
        <f t="shared" si="126"/>
        <v>No</v>
      </c>
      <c r="T442" s="3" t="str">
        <f t="shared" si="129"/>
        <v>dxAC_equip</v>
      </c>
      <c r="U442" s="3" t="str">
        <f t="shared" si="130"/>
        <v>dxAC_equip</v>
      </c>
      <c r="V442" s="3" t="s">
        <v>111</v>
      </c>
      <c r="W442" s="3" t="s">
        <v>235</v>
      </c>
      <c r="X442" s="3" t="s">
        <v>111</v>
      </c>
      <c r="Y442" s="3" t="s">
        <v>235</v>
      </c>
      <c r="Z442" s="3" t="s">
        <v>236</v>
      </c>
      <c r="AA442" s="3" t="s">
        <v>55</v>
      </c>
      <c r="AB442" s="3" t="s">
        <v>56</v>
      </c>
      <c r="AC442" s="3" t="s">
        <v>215</v>
      </c>
    </row>
    <row r="443" spans="1:29" s="3" customFormat="1" x14ac:dyDescent="0.25">
      <c r="A443" s="3" t="s">
        <v>0</v>
      </c>
      <c r="B443" s="3" t="s">
        <v>10675</v>
      </c>
      <c r="C443" s="3" t="s">
        <v>10659</v>
      </c>
      <c r="D443" s="3" t="str">
        <f t="shared" si="121"/>
        <v>SWHC049-03 SEER Rated AC/HP_MFm</v>
      </c>
      <c r="F443" s="3" t="s">
        <v>239</v>
      </c>
      <c r="G443" s="3" t="str">
        <f t="shared" si="128"/>
        <v>RE-HV-AC-Splt-18to45kBtuh-S18p0</v>
      </c>
      <c r="H443" s="3" t="s">
        <v>231</v>
      </c>
      <c r="I443" s="3" t="s">
        <v>232</v>
      </c>
      <c r="J443" s="3" t="s">
        <v>240</v>
      </c>
      <c r="K443" s="32" t="s">
        <v>210</v>
      </c>
      <c r="L443" s="32" t="s">
        <v>234</v>
      </c>
      <c r="M443" s="32" t="s">
        <v>221</v>
      </c>
      <c r="N443" s="3" t="str">
        <f t="shared" si="127"/>
        <v>MFm&amp;0&amp;rDXGF&amp;Ex&amp;dxAC_equip</v>
      </c>
      <c r="O443" s="3" t="s">
        <v>63</v>
      </c>
      <c r="P443" s="3">
        <v>0</v>
      </c>
      <c r="Q443" s="3" t="s">
        <v>51</v>
      </c>
      <c r="R443" s="3" t="s">
        <v>52</v>
      </c>
      <c r="S443" s="3" t="str">
        <f t="shared" si="126"/>
        <v>No</v>
      </c>
      <c r="T443" s="3" t="str">
        <f t="shared" si="129"/>
        <v>dxAC_equip</v>
      </c>
      <c r="U443" s="3" t="str">
        <f t="shared" si="130"/>
        <v>dxAC_equip</v>
      </c>
      <c r="V443" s="3" t="s">
        <v>111</v>
      </c>
      <c r="W443" s="3" t="s">
        <v>235</v>
      </c>
      <c r="X443" s="3" t="s">
        <v>111</v>
      </c>
      <c r="Y443" s="3" t="s">
        <v>235</v>
      </c>
      <c r="Z443" s="3" t="s">
        <v>236</v>
      </c>
      <c r="AA443" s="3" t="s">
        <v>55</v>
      </c>
      <c r="AB443" s="3" t="s">
        <v>56</v>
      </c>
      <c r="AC443" s="3" t="s">
        <v>215</v>
      </c>
    </row>
    <row r="444" spans="1:29" s="3" customFormat="1" x14ac:dyDescent="0.25">
      <c r="A444" s="3" t="s">
        <v>0</v>
      </c>
      <c r="B444" s="3" t="s">
        <v>10675</v>
      </c>
      <c r="C444" s="3" t="s">
        <v>10659</v>
      </c>
      <c r="D444" s="3" t="str">
        <f t="shared" si="121"/>
        <v>SWHC049-03 SEER Rated AC/HP_SFm</v>
      </c>
      <c r="F444" s="3" t="s">
        <v>239</v>
      </c>
      <c r="G444" s="3" t="str">
        <f t="shared" si="128"/>
        <v>RE-HV-AC-Splt-18to45kBtuh-S18p0</v>
      </c>
      <c r="H444" s="3" t="s">
        <v>231</v>
      </c>
      <c r="I444" s="3" t="s">
        <v>232</v>
      </c>
      <c r="J444" s="3" t="s">
        <v>240</v>
      </c>
      <c r="K444" s="32" t="s">
        <v>210</v>
      </c>
      <c r="L444" s="32" t="s">
        <v>234</v>
      </c>
      <c r="M444" s="32" t="s">
        <v>221</v>
      </c>
      <c r="N444" s="3" t="str">
        <f t="shared" si="127"/>
        <v>SFm&amp;1&amp;rDXGF&amp;New&amp;dxAC_equip</v>
      </c>
      <c r="O444" s="3" t="s">
        <v>50</v>
      </c>
      <c r="P444" s="3">
        <v>1</v>
      </c>
      <c r="Q444" s="3" t="s">
        <v>51</v>
      </c>
      <c r="R444" s="3" t="s">
        <v>107</v>
      </c>
      <c r="S444" s="3" t="str">
        <f t="shared" si="126"/>
        <v>No</v>
      </c>
      <c r="T444" s="3" t="str">
        <f t="shared" si="129"/>
        <v>dxAC_equip</v>
      </c>
      <c r="U444" s="3" t="str">
        <f t="shared" si="130"/>
        <v>dxAC_equip</v>
      </c>
      <c r="V444" s="3" t="s">
        <v>111</v>
      </c>
      <c r="W444" s="3" t="s">
        <v>235</v>
      </c>
      <c r="X444" s="3" t="s">
        <v>111</v>
      </c>
      <c r="Y444" s="3" t="s">
        <v>235</v>
      </c>
      <c r="Z444" s="3" t="s">
        <v>236</v>
      </c>
      <c r="AA444" s="3" t="s">
        <v>55</v>
      </c>
      <c r="AB444" s="3" t="s">
        <v>56</v>
      </c>
      <c r="AC444" s="3" t="s">
        <v>215</v>
      </c>
    </row>
    <row r="445" spans="1:29" s="3" customFormat="1" x14ac:dyDescent="0.25">
      <c r="A445" s="3" t="s">
        <v>0</v>
      </c>
      <c r="B445" s="3" t="s">
        <v>10675</v>
      </c>
      <c r="C445" s="3" t="s">
        <v>10659</v>
      </c>
      <c r="D445" s="3" t="str">
        <f t="shared" si="121"/>
        <v>SWHC049-03 SEER Rated AC/HP_SFm</v>
      </c>
      <c r="F445" s="3" t="s">
        <v>239</v>
      </c>
      <c r="G445" s="3" t="str">
        <f t="shared" si="128"/>
        <v>RE-HV-AC-Splt-18to45kBtuh-S18p0</v>
      </c>
      <c r="H445" s="3" t="s">
        <v>231</v>
      </c>
      <c r="I445" s="3" t="s">
        <v>232</v>
      </c>
      <c r="J445" s="3" t="s">
        <v>240</v>
      </c>
      <c r="K445" s="32" t="s">
        <v>210</v>
      </c>
      <c r="L445" s="32" t="s">
        <v>234</v>
      </c>
      <c r="M445" s="32" t="s">
        <v>221</v>
      </c>
      <c r="N445" s="3" t="str">
        <f t="shared" si="127"/>
        <v>SFm&amp;2&amp;rDXGF&amp;New&amp;dxAC_equip</v>
      </c>
      <c r="O445" s="3" t="s">
        <v>50</v>
      </c>
      <c r="P445" s="3">
        <v>2</v>
      </c>
      <c r="Q445" s="3" t="s">
        <v>51</v>
      </c>
      <c r="R445" s="3" t="s">
        <v>107</v>
      </c>
      <c r="S445" s="3" t="str">
        <f t="shared" si="126"/>
        <v>No</v>
      </c>
      <c r="T445" s="3" t="str">
        <f t="shared" si="129"/>
        <v>dxAC_equip</v>
      </c>
      <c r="U445" s="3" t="str">
        <f t="shared" si="130"/>
        <v>dxAC_equip</v>
      </c>
      <c r="V445" s="3" t="s">
        <v>111</v>
      </c>
      <c r="W445" s="3" t="s">
        <v>235</v>
      </c>
      <c r="X445" s="3" t="s">
        <v>111</v>
      </c>
      <c r="Y445" s="3" t="s">
        <v>235</v>
      </c>
      <c r="Z445" s="3" t="s">
        <v>236</v>
      </c>
      <c r="AA445" s="3" t="s">
        <v>55</v>
      </c>
      <c r="AB445" s="3" t="s">
        <v>56</v>
      </c>
      <c r="AC445" s="3" t="s">
        <v>215</v>
      </c>
    </row>
    <row r="446" spans="1:29" s="3" customFormat="1" x14ac:dyDescent="0.25">
      <c r="A446" s="3" t="s">
        <v>0</v>
      </c>
      <c r="B446" s="3" t="s">
        <v>10675</v>
      </c>
      <c r="C446" s="3" t="s">
        <v>10659</v>
      </c>
      <c r="D446" s="3" t="str">
        <f t="shared" si="121"/>
        <v>SWHC049-03 SEER Rated AC/HP_DMo</v>
      </c>
      <c r="F446" s="3" t="s">
        <v>239</v>
      </c>
      <c r="G446" s="3" t="str">
        <f t="shared" si="128"/>
        <v>RE-HV-AC-Splt-18to45kBtuh-S18p0</v>
      </c>
      <c r="H446" s="3" t="s">
        <v>231</v>
      </c>
      <c r="I446" s="3" t="s">
        <v>232</v>
      </c>
      <c r="J446" s="3" t="s">
        <v>240</v>
      </c>
      <c r="K446" s="32" t="s">
        <v>210</v>
      </c>
      <c r="L446" s="32" t="s">
        <v>234</v>
      </c>
      <c r="M446" s="32" t="s">
        <v>221</v>
      </c>
      <c r="N446" s="3" t="str">
        <f t="shared" si="127"/>
        <v>DMo&amp;0&amp;rDXGF&amp;New&amp;dxAC_equip</v>
      </c>
      <c r="O446" s="3" t="s">
        <v>62</v>
      </c>
      <c r="P446" s="3">
        <v>0</v>
      </c>
      <c r="Q446" s="3" t="s">
        <v>51</v>
      </c>
      <c r="R446" s="3" t="s">
        <v>107</v>
      </c>
      <c r="S446" s="3" t="str">
        <f t="shared" si="126"/>
        <v>No</v>
      </c>
      <c r="T446" s="3" t="str">
        <f t="shared" si="129"/>
        <v>dxAC_equip</v>
      </c>
      <c r="U446" s="3" t="str">
        <f t="shared" si="130"/>
        <v>dxAC_equip</v>
      </c>
      <c r="V446" s="3" t="s">
        <v>111</v>
      </c>
      <c r="W446" s="3" t="s">
        <v>235</v>
      </c>
      <c r="X446" s="3" t="s">
        <v>111</v>
      </c>
      <c r="Y446" s="3" t="s">
        <v>235</v>
      </c>
      <c r="Z446" s="3" t="s">
        <v>236</v>
      </c>
      <c r="AA446" s="3" t="s">
        <v>55</v>
      </c>
      <c r="AB446" s="3" t="s">
        <v>56</v>
      </c>
      <c r="AC446" s="3" t="s">
        <v>215</v>
      </c>
    </row>
    <row r="447" spans="1:29" s="3" customFormat="1" x14ac:dyDescent="0.25">
      <c r="A447" s="3" t="s">
        <v>0</v>
      </c>
      <c r="B447" s="3" t="s">
        <v>10675</v>
      </c>
      <c r="C447" s="3" t="s">
        <v>10659</v>
      </c>
      <c r="D447" s="3" t="str">
        <f t="shared" si="121"/>
        <v>SWHC049-03 SEER Rated AC/HP_MFm</v>
      </c>
      <c r="F447" s="3" t="s">
        <v>239</v>
      </c>
      <c r="G447" s="3" t="str">
        <f t="shared" si="128"/>
        <v>RE-HV-AC-Splt-18to45kBtuh-S18p0</v>
      </c>
      <c r="H447" s="3" t="s">
        <v>231</v>
      </c>
      <c r="I447" s="3" t="s">
        <v>232</v>
      </c>
      <c r="J447" s="3" t="s">
        <v>240</v>
      </c>
      <c r="K447" s="32" t="s">
        <v>210</v>
      </c>
      <c r="L447" s="32" t="s">
        <v>234</v>
      </c>
      <c r="M447" s="32" t="s">
        <v>221</v>
      </c>
      <c r="N447" s="3" t="str">
        <f t="shared" si="127"/>
        <v>MFm&amp;0&amp;rDXGF&amp;New&amp;dxAC_equip</v>
      </c>
      <c r="O447" s="3" t="s">
        <v>63</v>
      </c>
      <c r="P447" s="3">
        <v>0</v>
      </c>
      <c r="Q447" s="3" t="s">
        <v>51</v>
      </c>
      <c r="R447" s="3" t="s">
        <v>107</v>
      </c>
      <c r="S447" s="3" t="str">
        <f t="shared" si="126"/>
        <v>No</v>
      </c>
      <c r="T447" s="3" t="str">
        <f t="shared" si="129"/>
        <v>dxAC_equip</v>
      </c>
      <c r="U447" s="3" t="str">
        <f t="shared" si="130"/>
        <v>dxAC_equip</v>
      </c>
      <c r="V447" s="3" t="s">
        <v>111</v>
      </c>
      <c r="W447" s="3" t="s">
        <v>235</v>
      </c>
      <c r="X447" s="3" t="s">
        <v>111</v>
      </c>
      <c r="Y447" s="3" t="s">
        <v>235</v>
      </c>
      <c r="Z447" s="3" t="s">
        <v>236</v>
      </c>
      <c r="AA447" s="3" t="s">
        <v>55</v>
      </c>
      <c r="AB447" s="3" t="s">
        <v>56</v>
      </c>
      <c r="AC447" s="3" t="s">
        <v>215</v>
      </c>
    </row>
    <row r="448" spans="1:29" s="3" customFormat="1" x14ac:dyDescent="0.25">
      <c r="A448" s="3" t="s">
        <v>0</v>
      </c>
      <c r="B448" s="3" t="s">
        <v>10675</v>
      </c>
      <c r="C448" s="3" t="s">
        <v>10659</v>
      </c>
      <c r="D448" s="3" t="str">
        <f t="shared" si="121"/>
        <v>SWHC049-03 SEER Rated AC/HP_SFm</v>
      </c>
      <c r="F448" s="3" t="s">
        <v>241</v>
      </c>
      <c r="G448" s="3" t="str">
        <f t="shared" ref="G448:G455" si="131">F448</f>
        <v>RE-HV-AC-Splt-18to45kBtuh-S19p0</v>
      </c>
      <c r="H448" s="3" t="s">
        <v>231</v>
      </c>
      <c r="I448" s="3" t="s">
        <v>232</v>
      </c>
      <c r="J448" s="3" t="s">
        <v>242</v>
      </c>
      <c r="K448" s="32" t="s">
        <v>210</v>
      </c>
      <c r="L448" s="32" t="s">
        <v>234</v>
      </c>
      <c r="M448" s="32" t="s">
        <v>224</v>
      </c>
      <c r="N448" s="3" t="str">
        <f t="shared" si="127"/>
        <v>SFm&amp;1&amp;rDXGF&amp;Ex&amp;dxAC_equip</v>
      </c>
      <c r="O448" s="3" t="s">
        <v>50</v>
      </c>
      <c r="P448" s="3">
        <v>1</v>
      </c>
      <c r="Q448" s="3" t="s">
        <v>51</v>
      </c>
      <c r="R448" s="3" t="s">
        <v>52</v>
      </c>
      <c r="S448" s="3" t="str">
        <f t="shared" si="126"/>
        <v>No</v>
      </c>
      <c r="T448" s="3" t="str">
        <f t="shared" si="129"/>
        <v>dxAC_equip</v>
      </c>
      <c r="U448" s="3" t="str">
        <f t="shared" si="130"/>
        <v>dxAC_equip</v>
      </c>
      <c r="V448" s="3" t="s">
        <v>111</v>
      </c>
      <c r="W448" s="3" t="s">
        <v>235</v>
      </c>
      <c r="X448" s="3" t="s">
        <v>111</v>
      </c>
      <c r="Y448" s="3" t="s">
        <v>235</v>
      </c>
      <c r="Z448" s="3" t="s">
        <v>236</v>
      </c>
      <c r="AA448" s="3" t="s">
        <v>55</v>
      </c>
      <c r="AB448" s="3" t="s">
        <v>56</v>
      </c>
      <c r="AC448" s="3" t="s">
        <v>215</v>
      </c>
    </row>
    <row r="449" spans="1:29" s="3" customFormat="1" x14ac:dyDescent="0.25">
      <c r="A449" s="3" t="s">
        <v>0</v>
      </c>
      <c r="B449" s="3" t="s">
        <v>10675</v>
      </c>
      <c r="C449" s="3" t="s">
        <v>10659</v>
      </c>
      <c r="D449" s="3" t="str">
        <f t="shared" si="121"/>
        <v>SWHC049-03 SEER Rated AC/HP_SFm</v>
      </c>
      <c r="F449" s="3" t="s">
        <v>241</v>
      </c>
      <c r="G449" s="3" t="str">
        <f t="shared" si="131"/>
        <v>RE-HV-AC-Splt-18to45kBtuh-S19p0</v>
      </c>
      <c r="H449" s="3" t="s">
        <v>231</v>
      </c>
      <c r="I449" s="3" t="s">
        <v>232</v>
      </c>
      <c r="J449" s="3" t="s">
        <v>242</v>
      </c>
      <c r="K449" s="32" t="s">
        <v>210</v>
      </c>
      <c r="L449" s="32" t="s">
        <v>234</v>
      </c>
      <c r="M449" s="32" t="s">
        <v>224</v>
      </c>
      <c r="N449" s="3" t="str">
        <f t="shared" si="127"/>
        <v>SFm&amp;2&amp;rDXGF&amp;Ex&amp;dxAC_equip</v>
      </c>
      <c r="O449" s="3" t="s">
        <v>50</v>
      </c>
      <c r="P449" s="3">
        <v>2</v>
      </c>
      <c r="Q449" s="3" t="s">
        <v>51</v>
      </c>
      <c r="R449" s="3" t="s">
        <v>52</v>
      </c>
      <c r="S449" s="3" t="str">
        <f t="shared" si="126"/>
        <v>No</v>
      </c>
      <c r="T449" s="3" t="str">
        <f t="shared" si="129"/>
        <v>dxAC_equip</v>
      </c>
      <c r="U449" s="3" t="str">
        <f t="shared" si="130"/>
        <v>dxAC_equip</v>
      </c>
      <c r="V449" s="3" t="s">
        <v>111</v>
      </c>
      <c r="W449" s="3" t="s">
        <v>235</v>
      </c>
      <c r="X449" s="3" t="s">
        <v>111</v>
      </c>
      <c r="Y449" s="3" t="s">
        <v>235</v>
      </c>
      <c r="Z449" s="3" t="s">
        <v>236</v>
      </c>
      <c r="AA449" s="3" t="s">
        <v>55</v>
      </c>
      <c r="AB449" s="3" t="s">
        <v>56</v>
      </c>
      <c r="AC449" s="3" t="s">
        <v>215</v>
      </c>
    </row>
    <row r="450" spans="1:29" s="3" customFormat="1" x14ac:dyDescent="0.25">
      <c r="A450" s="3" t="s">
        <v>0</v>
      </c>
      <c r="B450" s="3" t="s">
        <v>10675</v>
      </c>
      <c r="C450" s="3" t="s">
        <v>10659</v>
      </c>
      <c r="D450" s="3" t="str">
        <f t="shared" si="121"/>
        <v>SWHC049-03 SEER Rated AC/HP_DMo</v>
      </c>
      <c r="F450" s="3" t="s">
        <v>241</v>
      </c>
      <c r="G450" s="3" t="str">
        <f t="shared" si="131"/>
        <v>RE-HV-AC-Splt-18to45kBtuh-S19p0</v>
      </c>
      <c r="H450" s="3" t="s">
        <v>231</v>
      </c>
      <c r="I450" s="3" t="s">
        <v>232</v>
      </c>
      <c r="J450" s="3" t="s">
        <v>242</v>
      </c>
      <c r="K450" s="32" t="s">
        <v>210</v>
      </c>
      <c r="L450" s="32" t="s">
        <v>234</v>
      </c>
      <c r="M450" s="32" t="s">
        <v>224</v>
      </c>
      <c r="N450" s="3" t="str">
        <f t="shared" si="127"/>
        <v>DMo&amp;0&amp;rDXGF&amp;Ex&amp;dxAC_equip</v>
      </c>
      <c r="O450" s="3" t="s">
        <v>62</v>
      </c>
      <c r="P450" s="3">
        <v>0</v>
      </c>
      <c r="Q450" s="3" t="s">
        <v>51</v>
      </c>
      <c r="R450" s="3" t="s">
        <v>52</v>
      </c>
      <c r="S450" s="3" t="str">
        <f t="shared" si="126"/>
        <v>No</v>
      </c>
      <c r="T450" s="3" t="str">
        <f t="shared" si="129"/>
        <v>dxAC_equip</v>
      </c>
      <c r="U450" s="3" t="str">
        <f t="shared" si="130"/>
        <v>dxAC_equip</v>
      </c>
      <c r="V450" s="3" t="s">
        <v>111</v>
      </c>
      <c r="W450" s="3" t="s">
        <v>235</v>
      </c>
      <c r="X450" s="3" t="s">
        <v>111</v>
      </c>
      <c r="Y450" s="3" t="s">
        <v>235</v>
      </c>
      <c r="Z450" s="3" t="s">
        <v>236</v>
      </c>
      <c r="AA450" s="3" t="s">
        <v>55</v>
      </c>
      <c r="AB450" s="3" t="s">
        <v>56</v>
      </c>
      <c r="AC450" s="3" t="s">
        <v>215</v>
      </c>
    </row>
    <row r="451" spans="1:29" s="3" customFormat="1" x14ac:dyDescent="0.25">
      <c r="A451" s="3" t="s">
        <v>0</v>
      </c>
      <c r="B451" s="3" t="s">
        <v>10675</v>
      </c>
      <c r="C451" s="3" t="s">
        <v>10659</v>
      </c>
      <c r="D451" s="3" t="str">
        <f t="shared" si="121"/>
        <v>SWHC049-03 SEER Rated AC/HP_MFm</v>
      </c>
      <c r="F451" s="3" t="s">
        <v>241</v>
      </c>
      <c r="G451" s="3" t="str">
        <f t="shared" si="131"/>
        <v>RE-HV-AC-Splt-18to45kBtuh-S19p0</v>
      </c>
      <c r="H451" s="3" t="s">
        <v>231</v>
      </c>
      <c r="I451" s="3" t="s">
        <v>232</v>
      </c>
      <c r="J451" s="3" t="s">
        <v>242</v>
      </c>
      <c r="K451" s="32" t="s">
        <v>210</v>
      </c>
      <c r="L451" s="32" t="s">
        <v>234</v>
      </c>
      <c r="M451" s="32" t="s">
        <v>224</v>
      </c>
      <c r="N451" s="3" t="str">
        <f t="shared" si="127"/>
        <v>MFm&amp;0&amp;rDXGF&amp;Ex&amp;dxAC_equip</v>
      </c>
      <c r="O451" s="3" t="s">
        <v>63</v>
      </c>
      <c r="P451" s="3">
        <v>0</v>
      </c>
      <c r="Q451" s="3" t="s">
        <v>51</v>
      </c>
      <c r="R451" s="3" t="s">
        <v>52</v>
      </c>
      <c r="S451" s="3" t="str">
        <f t="shared" si="126"/>
        <v>No</v>
      </c>
      <c r="T451" s="3" t="str">
        <f t="shared" si="129"/>
        <v>dxAC_equip</v>
      </c>
      <c r="U451" s="3" t="str">
        <f t="shared" si="130"/>
        <v>dxAC_equip</v>
      </c>
      <c r="V451" s="3" t="s">
        <v>111</v>
      </c>
      <c r="W451" s="3" t="s">
        <v>235</v>
      </c>
      <c r="X451" s="3" t="s">
        <v>111</v>
      </c>
      <c r="Y451" s="3" t="s">
        <v>235</v>
      </c>
      <c r="Z451" s="3" t="s">
        <v>236</v>
      </c>
      <c r="AA451" s="3" t="s">
        <v>55</v>
      </c>
      <c r="AB451" s="3" t="s">
        <v>56</v>
      </c>
      <c r="AC451" s="3" t="s">
        <v>215</v>
      </c>
    </row>
    <row r="452" spans="1:29" s="3" customFormat="1" x14ac:dyDescent="0.25">
      <c r="A452" s="3" t="s">
        <v>0</v>
      </c>
      <c r="B452" s="3" t="s">
        <v>10675</v>
      </c>
      <c r="C452" s="3" t="s">
        <v>10659</v>
      </c>
      <c r="D452" s="3" t="str">
        <f t="shared" si="121"/>
        <v>SWHC049-03 SEER Rated AC/HP_SFm</v>
      </c>
      <c r="F452" s="3" t="s">
        <v>241</v>
      </c>
      <c r="G452" s="3" t="str">
        <f t="shared" si="131"/>
        <v>RE-HV-AC-Splt-18to45kBtuh-S19p0</v>
      </c>
      <c r="H452" s="3" t="s">
        <v>231</v>
      </c>
      <c r="I452" s="3" t="s">
        <v>232</v>
      </c>
      <c r="J452" s="3" t="s">
        <v>242</v>
      </c>
      <c r="K452" s="32" t="s">
        <v>210</v>
      </c>
      <c r="L452" s="32" t="s">
        <v>234</v>
      </c>
      <c r="M452" s="32" t="s">
        <v>224</v>
      </c>
      <c r="N452" s="3" t="str">
        <f t="shared" si="127"/>
        <v>SFm&amp;1&amp;rDXGF&amp;New&amp;dxAC_equip</v>
      </c>
      <c r="O452" s="3" t="s">
        <v>50</v>
      </c>
      <c r="P452" s="3">
        <v>1</v>
      </c>
      <c r="Q452" s="3" t="s">
        <v>51</v>
      </c>
      <c r="R452" s="3" t="s">
        <v>107</v>
      </c>
      <c r="S452" s="3" t="str">
        <f t="shared" si="126"/>
        <v>No</v>
      </c>
      <c r="T452" s="3" t="str">
        <f t="shared" si="129"/>
        <v>dxAC_equip</v>
      </c>
      <c r="U452" s="3" t="str">
        <f t="shared" si="130"/>
        <v>dxAC_equip</v>
      </c>
      <c r="V452" s="3" t="s">
        <v>111</v>
      </c>
      <c r="W452" s="3" t="s">
        <v>235</v>
      </c>
      <c r="X452" s="3" t="s">
        <v>111</v>
      </c>
      <c r="Y452" s="3" t="s">
        <v>235</v>
      </c>
      <c r="Z452" s="3" t="s">
        <v>236</v>
      </c>
      <c r="AA452" s="3" t="s">
        <v>55</v>
      </c>
      <c r="AB452" s="3" t="s">
        <v>56</v>
      </c>
      <c r="AC452" s="3" t="s">
        <v>215</v>
      </c>
    </row>
    <row r="453" spans="1:29" s="3" customFormat="1" x14ac:dyDescent="0.25">
      <c r="A453" s="3" t="s">
        <v>0</v>
      </c>
      <c r="B453" s="3" t="s">
        <v>10675</v>
      </c>
      <c r="C453" s="3" t="s">
        <v>10659</v>
      </c>
      <c r="D453" s="3" t="str">
        <f t="shared" si="121"/>
        <v>SWHC049-03 SEER Rated AC/HP_SFm</v>
      </c>
      <c r="F453" s="3" t="s">
        <v>241</v>
      </c>
      <c r="G453" s="3" t="str">
        <f t="shared" si="131"/>
        <v>RE-HV-AC-Splt-18to45kBtuh-S19p0</v>
      </c>
      <c r="H453" s="3" t="s">
        <v>231</v>
      </c>
      <c r="I453" s="3" t="s">
        <v>232</v>
      </c>
      <c r="J453" s="3" t="s">
        <v>242</v>
      </c>
      <c r="K453" s="32" t="s">
        <v>210</v>
      </c>
      <c r="L453" s="32" t="s">
        <v>234</v>
      </c>
      <c r="M453" s="32" t="s">
        <v>224</v>
      </c>
      <c r="N453" s="3" t="str">
        <f t="shared" si="127"/>
        <v>SFm&amp;2&amp;rDXGF&amp;New&amp;dxAC_equip</v>
      </c>
      <c r="O453" s="3" t="s">
        <v>50</v>
      </c>
      <c r="P453" s="3">
        <v>2</v>
      </c>
      <c r="Q453" s="3" t="s">
        <v>51</v>
      </c>
      <c r="R453" s="3" t="s">
        <v>107</v>
      </c>
      <c r="S453" s="3" t="str">
        <f t="shared" si="126"/>
        <v>No</v>
      </c>
      <c r="T453" s="3" t="str">
        <f t="shared" si="129"/>
        <v>dxAC_equip</v>
      </c>
      <c r="U453" s="3" t="str">
        <f t="shared" si="130"/>
        <v>dxAC_equip</v>
      </c>
      <c r="V453" s="3" t="s">
        <v>111</v>
      </c>
      <c r="W453" s="3" t="s">
        <v>235</v>
      </c>
      <c r="X453" s="3" t="s">
        <v>111</v>
      </c>
      <c r="Y453" s="3" t="s">
        <v>235</v>
      </c>
      <c r="Z453" s="3" t="s">
        <v>236</v>
      </c>
      <c r="AA453" s="3" t="s">
        <v>55</v>
      </c>
      <c r="AB453" s="3" t="s">
        <v>56</v>
      </c>
      <c r="AC453" s="3" t="s">
        <v>215</v>
      </c>
    </row>
    <row r="454" spans="1:29" s="3" customFormat="1" x14ac:dyDescent="0.25">
      <c r="A454" s="3" t="s">
        <v>0</v>
      </c>
      <c r="B454" s="3" t="s">
        <v>10675</v>
      </c>
      <c r="C454" s="3" t="s">
        <v>10659</v>
      </c>
      <c r="D454" s="3" t="str">
        <f t="shared" si="121"/>
        <v>SWHC049-03 SEER Rated AC/HP_DMo</v>
      </c>
      <c r="F454" s="3" t="s">
        <v>241</v>
      </c>
      <c r="G454" s="3" t="str">
        <f t="shared" si="131"/>
        <v>RE-HV-AC-Splt-18to45kBtuh-S19p0</v>
      </c>
      <c r="H454" s="3" t="s">
        <v>231</v>
      </c>
      <c r="I454" s="3" t="s">
        <v>232</v>
      </c>
      <c r="J454" s="3" t="s">
        <v>242</v>
      </c>
      <c r="K454" s="32" t="s">
        <v>210</v>
      </c>
      <c r="L454" s="32" t="s">
        <v>234</v>
      </c>
      <c r="M454" s="32" t="s">
        <v>224</v>
      </c>
      <c r="N454" s="3" t="str">
        <f t="shared" si="127"/>
        <v>DMo&amp;0&amp;rDXGF&amp;New&amp;dxAC_equip</v>
      </c>
      <c r="O454" s="3" t="s">
        <v>62</v>
      </c>
      <c r="P454" s="3">
        <v>0</v>
      </c>
      <c r="Q454" s="3" t="s">
        <v>51</v>
      </c>
      <c r="R454" s="3" t="s">
        <v>107</v>
      </c>
      <c r="S454" s="3" t="str">
        <f t="shared" si="126"/>
        <v>No</v>
      </c>
      <c r="T454" s="3" t="str">
        <f t="shared" si="129"/>
        <v>dxAC_equip</v>
      </c>
      <c r="U454" s="3" t="str">
        <f t="shared" si="130"/>
        <v>dxAC_equip</v>
      </c>
      <c r="V454" s="3" t="s">
        <v>111</v>
      </c>
      <c r="W454" s="3" t="s">
        <v>235</v>
      </c>
      <c r="X454" s="3" t="s">
        <v>111</v>
      </c>
      <c r="Y454" s="3" t="s">
        <v>235</v>
      </c>
      <c r="Z454" s="3" t="s">
        <v>236</v>
      </c>
      <c r="AA454" s="3" t="s">
        <v>55</v>
      </c>
      <c r="AB454" s="3" t="s">
        <v>56</v>
      </c>
      <c r="AC454" s="3" t="s">
        <v>215</v>
      </c>
    </row>
    <row r="455" spans="1:29" s="3" customFormat="1" x14ac:dyDescent="0.25">
      <c r="A455" s="3" t="s">
        <v>0</v>
      </c>
      <c r="B455" s="3" t="s">
        <v>10675</v>
      </c>
      <c r="C455" s="3" t="s">
        <v>10659</v>
      </c>
      <c r="D455" s="3" t="str">
        <f t="shared" ref="D455:D518" si="132">_xlfn.CONCAT(C455, " ", A455,"_",O455)</f>
        <v>SWHC049-03 SEER Rated AC/HP_MFm</v>
      </c>
      <c r="F455" s="3" t="s">
        <v>241</v>
      </c>
      <c r="G455" s="3" t="str">
        <f t="shared" si="131"/>
        <v>RE-HV-AC-Splt-18to45kBtuh-S19p0</v>
      </c>
      <c r="H455" s="3" t="s">
        <v>231</v>
      </c>
      <c r="I455" s="3" t="s">
        <v>232</v>
      </c>
      <c r="J455" s="3" t="s">
        <v>242</v>
      </c>
      <c r="K455" s="32" t="s">
        <v>210</v>
      </c>
      <c r="L455" s="32" t="s">
        <v>234</v>
      </c>
      <c r="M455" s="32" t="s">
        <v>224</v>
      </c>
      <c r="N455" s="3" t="str">
        <f t="shared" si="127"/>
        <v>MFm&amp;0&amp;rDXGF&amp;New&amp;dxAC_equip</v>
      </c>
      <c r="O455" s="3" t="s">
        <v>63</v>
      </c>
      <c r="P455" s="3">
        <v>0</v>
      </c>
      <c r="Q455" s="3" t="s">
        <v>51</v>
      </c>
      <c r="R455" s="3" t="s">
        <v>107</v>
      </c>
      <c r="S455" s="3" t="str">
        <f t="shared" si="126"/>
        <v>No</v>
      </c>
      <c r="T455" s="3" t="str">
        <f t="shared" si="129"/>
        <v>dxAC_equip</v>
      </c>
      <c r="U455" s="3" t="str">
        <f t="shared" si="130"/>
        <v>dxAC_equip</v>
      </c>
      <c r="V455" s="3" t="s">
        <v>111</v>
      </c>
      <c r="W455" s="3" t="s">
        <v>235</v>
      </c>
      <c r="X455" s="3" t="s">
        <v>111</v>
      </c>
      <c r="Y455" s="3" t="s">
        <v>235</v>
      </c>
      <c r="Z455" s="3" t="s">
        <v>236</v>
      </c>
      <c r="AA455" s="3" t="s">
        <v>55</v>
      </c>
      <c r="AB455" s="3" t="s">
        <v>56</v>
      </c>
      <c r="AC455" s="3" t="s">
        <v>215</v>
      </c>
    </row>
    <row r="456" spans="1:29" s="3" customFormat="1" x14ac:dyDescent="0.25">
      <c r="A456" s="3" t="s">
        <v>0</v>
      </c>
      <c r="B456" s="3" t="s">
        <v>10675</v>
      </c>
      <c r="C456" s="3" t="s">
        <v>10659</v>
      </c>
      <c r="D456" s="3" t="str">
        <f t="shared" si="132"/>
        <v>SWHC049-03 SEER Rated AC/HP_SFm</v>
      </c>
      <c r="F456" s="3" t="s">
        <v>243</v>
      </c>
      <c r="G456" s="3" t="str">
        <f t="shared" ref="G456:G463" si="133">F456</f>
        <v>RE-HV-AC-Splt-18to45kBtuh-S20p0</v>
      </c>
      <c r="H456" s="3" t="s">
        <v>231</v>
      </c>
      <c r="I456" s="3" t="s">
        <v>232</v>
      </c>
      <c r="J456" s="3" t="s">
        <v>6</v>
      </c>
      <c r="K456" s="32" t="s">
        <v>210</v>
      </c>
      <c r="L456" s="32" t="s">
        <v>234</v>
      </c>
      <c r="M456" s="32" t="s">
        <v>226</v>
      </c>
      <c r="N456" s="3" t="str">
        <f t="shared" si="127"/>
        <v>SFm&amp;1&amp;rDXGF&amp;Ex&amp;dxAC_equip</v>
      </c>
      <c r="O456" s="3" t="s">
        <v>50</v>
      </c>
      <c r="P456" s="3">
        <v>1</v>
      </c>
      <c r="Q456" s="3" t="s">
        <v>51</v>
      </c>
      <c r="R456" s="3" t="s">
        <v>52</v>
      </c>
      <c r="S456" s="3" t="str">
        <f t="shared" si="126"/>
        <v>No</v>
      </c>
      <c r="T456" s="3" t="str">
        <f t="shared" si="129"/>
        <v>dxAC_equip</v>
      </c>
      <c r="U456" s="3" t="str">
        <f t="shared" si="130"/>
        <v>dxAC_equip</v>
      </c>
      <c r="V456" s="3" t="s">
        <v>111</v>
      </c>
      <c r="W456" s="3" t="s">
        <v>235</v>
      </c>
      <c r="X456" s="3" t="s">
        <v>111</v>
      </c>
      <c r="Y456" s="3" t="s">
        <v>235</v>
      </c>
      <c r="Z456" s="3" t="s">
        <v>236</v>
      </c>
      <c r="AA456" s="3" t="s">
        <v>55</v>
      </c>
      <c r="AB456" s="3" t="s">
        <v>56</v>
      </c>
      <c r="AC456" s="3" t="s">
        <v>215</v>
      </c>
    </row>
    <row r="457" spans="1:29" s="3" customFormat="1" x14ac:dyDescent="0.25">
      <c r="A457" s="3" t="s">
        <v>0</v>
      </c>
      <c r="B457" s="3" t="s">
        <v>10675</v>
      </c>
      <c r="C457" s="3" t="s">
        <v>10659</v>
      </c>
      <c r="D457" s="3" t="str">
        <f t="shared" si="132"/>
        <v>SWHC049-03 SEER Rated AC/HP_SFm</v>
      </c>
      <c r="F457" s="3" t="s">
        <v>243</v>
      </c>
      <c r="G457" s="3" t="str">
        <f t="shared" si="133"/>
        <v>RE-HV-AC-Splt-18to45kBtuh-S20p0</v>
      </c>
      <c r="H457" s="3" t="s">
        <v>231</v>
      </c>
      <c r="I457" s="3" t="s">
        <v>232</v>
      </c>
      <c r="J457" s="3" t="s">
        <v>6</v>
      </c>
      <c r="K457" s="32" t="s">
        <v>210</v>
      </c>
      <c r="L457" s="32" t="s">
        <v>234</v>
      </c>
      <c r="M457" s="32" t="s">
        <v>226</v>
      </c>
      <c r="N457" s="3" t="str">
        <f t="shared" si="127"/>
        <v>SFm&amp;2&amp;rDXGF&amp;Ex&amp;dxAC_equip</v>
      </c>
      <c r="O457" s="3" t="s">
        <v>50</v>
      </c>
      <c r="P457" s="3">
        <v>2</v>
      </c>
      <c r="Q457" s="3" t="s">
        <v>51</v>
      </c>
      <c r="R457" s="3" t="s">
        <v>52</v>
      </c>
      <c r="S457" s="3" t="str">
        <f t="shared" si="126"/>
        <v>No</v>
      </c>
      <c r="T457" s="3" t="str">
        <f t="shared" si="129"/>
        <v>dxAC_equip</v>
      </c>
      <c r="U457" s="3" t="str">
        <f t="shared" si="130"/>
        <v>dxAC_equip</v>
      </c>
      <c r="V457" s="3" t="s">
        <v>111</v>
      </c>
      <c r="W457" s="3" t="s">
        <v>235</v>
      </c>
      <c r="X457" s="3" t="s">
        <v>111</v>
      </c>
      <c r="Y457" s="3" t="s">
        <v>235</v>
      </c>
      <c r="Z457" s="3" t="s">
        <v>236</v>
      </c>
      <c r="AA457" s="3" t="s">
        <v>55</v>
      </c>
      <c r="AB457" s="3" t="s">
        <v>56</v>
      </c>
      <c r="AC457" s="3" t="s">
        <v>215</v>
      </c>
    </row>
    <row r="458" spans="1:29" s="3" customFormat="1" x14ac:dyDescent="0.25">
      <c r="A458" s="3" t="s">
        <v>0</v>
      </c>
      <c r="B458" s="3" t="s">
        <v>10675</v>
      </c>
      <c r="C458" s="3" t="s">
        <v>10659</v>
      </c>
      <c r="D458" s="3" t="str">
        <f t="shared" si="132"/>
        <v>SWHC049-03 SEER Rated AC/HP_DMo</v>
      </c>
      <c r="F458" s="3" t="s">
        <v>243</v>
      </c>
      <c r="G458" s="3" t="str">
        <f t="shared" si="133"/>
        <v>RE-HV-AC-Splt-18to45kBtuh-S20p0</v>
      </c>
      <c r="H458" s="3" t="s">
        <v>231</v>
      </c>
      <c r="I458" s="3" t="s">
        <v>232</v>
      </c>
      <c r="J458" s="3" t="s">
        <v>6</v>
      </c>
      <c r="K458" s="32" t="s">
        <v>210</v>
      </c>
      <c r="L458" s="32" t="s">
        <v>234</v>
      </c>
      <c r="M458" s="32" t="s">
        <v>226</v>
      </c>
      <c r="N458" s="3" t="str">
        <f t="shared" si="127"/>
        <v>DMo&amp;0&amp;rDXGF&amp;Ex&amp;dxAC_equip</v>
      </c>
      <c r="O458" s="3" t="s">
        <v>62</v>
      </c>
      <c r="P458" s="3">
        <v>0</v>
      </c>
      <c r="Q458" s="3" t="s">
        <v>51</v>
      </c>
      <c r="R458" s="3" t="s">
        <v>52</v>
      </c>
      <c r="S458" s="3" t="str">
        <f t="shared" si="126"/>
        <v>No</v>
      </c>
      <c r="T458" s="3" t="str">
        <f t="shared" si="129"/>
        <v>dxAC_equip</v>
      </c>
      <c r="U458" s="3" t="str">
        <f t="shared" si="130"/>
        <v>dxAC_equip</v>
      </c>
      <c r="V458" s="3" t="s">
        <v>111</v>
      </c>
      <c r="W458" s="3" t="s">
        <v>235</v>
      </c>
      <c r="X458" s="3" t="s">
        <v>111</v>
      </c>
      <c r="Y458" s="3" t="s">
        <v>235</v>
      </c>
      <c r="Z458" s="3" t="s">
        <v>236</v>
      </c>
      <c r="AA458" s="3" t="s">
        <v>55</v>
      </c>
      <c r="AB458" s="3" t="s">
        <v>56</v>
      </c>
      <c r="AC458" s="3" t="s">
        <v>215</v>
      </c>
    </row>
    <row r="459" spans="1:29" s="3" customFormat="1" x14ac:dyDescent="0.25">
      <c r="A459" s="3" t="s">
        <v>0</v>
      </c>
      <c r="B459" s="3" t="s">
        <v>10675</v>
      </c>
      <c r="C459" s="3" t="s">
        <v>10659</v>
      </c>
      <c r="D459" s="3" t="str">
        <f t="shared" si="132"/>
        <v>SWHC049-03 SEER Rated AC/HP_MFm</v>
      </c>
      <c r="F459" s="3" t="s">
        <v>243</v>
      </c>
      <c r="G459" s="3" t="str">
        <f t="shared" si="133"/>
        <v>RE-HV-AC-Splt-18to45kBtuh-S20p0</v>
      </c>
      <c r="H459" s="3" t="s">
        <v>231</v>
      </c>
      <c r="I459" s="3" t="s">
        <v>232</v>
      </c>
      <c r="J459" s="3" t="s">
        <v>6</v>
      </c>
      <c r="K459" s="32" t="s">
        <v>210</v>
      </c>
      <c r="L459" s="32" t="s">
        <v>234</v>
      </c>
      <c r="M459" s="32" t="s">
        <v>226</v>
      </c>
      <c r="N459" s="3" t="str">
        <f t="shared" si="127"/>
        <v>MFm&amp;0&amp;rDXGF&amp;Ex&amp;dxAC_equip</v>
      </c>
      <c r="O459" s="3" t="s">
        <v>63</v>
      </c>
      <c r="P459" s="3">
        <v>0</v>
      </c>
      <c r="Q459" s="3" t="s">
        <v>51</v>
      </c>
      <c r="R459" s="3" t="s">
        <v>52</v>
      </c>
      <c r="S459" s="3" t="str">
        <f t="shared" si="126"/>
        <v>No</v>
      </c>
      <c r="T459" s="3" t="str">
        <f t="shared" si="129"/>
        <v>dxAC_equip</v>
      </c>
      <c r="U459" s="3" t="str">
        <f t="shared" si="130"/>
        <v>dxAC_equip</v>
      </c>
      <c r="V459" s="3" t="s">
        <v>111</v>
      </c>
      <c r="W459" s="3" t="s">
        <v>235</v>
      </c>
      <c r="X459" s="3" t="s">
        <v>111</v>
      </c>
      <c r="Y459" s="3" t="s">
        <v>235</v>
      </c>
      <c r="Z459" s="3" t="s">
        <v>236</v>
      </c>
      <c r="AA459" s="3" t="s">
        <v>55</v>
      </c>
      <c r="AB459" s="3" t="s">
        <v>56</v>
      </c>
      <c r="AC459" s="3" t="s">
        <v>215</v>
      </c>
    </row>
    <row r="460" spans="1:29" s="3" customFormat="1" x14ac:dyDescent="0.25">
      <c r="A460" s="3" t="s">
        <v>0</v>
      </c>
      <c r="B460" s="3" t="s">
        <v>10675</v>
      </c>
      <c r="C460" s="3" t="s">
        <v>10659</v>
      </c>
      <c r="D460" s="3" t="str">
        <f t="shared" si="132"/>
        <v>SWHC049-03 SEER Rated AC/HP_SFm</v>
      </c>
      <c r="F460" s="3" t="s">
        <v>243</v>
      </c>
      <c r="G460" s="3" t="str">
        <f t="shared" si="133"/>
        <v>RE-HV-AC-Splt-18to45kBtuh-S20p0</v>
      </c>
      <c r="H460" s="3" t="s">
        <v>231</v>
      </c>
      <c r="I460" s="3" t="s">
        <v>232</v>
      </c>
      <c r="J460" s="3" t="s">
        <v>6</v>
      </c>
      <c r="K460" s="32" t="s">
        <v>210</v>
      </c>
      <c r="L460" s="32" t="s">
        <v>234</v>
      </c>
      <c r="M460" s="32" t="s">
        <v>226</v>
      </c>
      <c r="N460" s="3" t="str">
        <f t="shared" si="127"/>
        <v>SFm&amp;1&amp;rDXGF&amp;New&amp;dxAC_equip</v>
      </c>
      <c r="O460" s="3" t="s">
        <v>50</v>
      </c>
      <c r="P460" s="3">
        <v>1</v>
      </c>
      <c r="Q460" s="3" t="s">
        <v>51</v>
      </c>
      <c r="R460" s="3" t="s">
        <v>107</v>
      </c>
      <c r="S460" s="3" t="str">
        <f t="shared" si="126"/>
        <v>No</v>
      </c>
      <c r="T460" s="3" t="str">
        <f t="shared" si="129"/>
        <v>dxAC_equip</v>
      </c>
      <c r="U460" s="3" t="str">
        <f t="shared" si="130"/>
        <v>dxAC_equip</v>
      </c>
      <c r="V460" s="3" t="s">
        <v>111</v>
      </c>
      <c r="W460" s="3" t="s">
        <v>235</v>
      </c>
      <c r="X460" s="3" t="s">
        <v>111</v>
      </c>
      <c r="Y460" s="3" t="s">
        <v>235</v>
      </c>
      <c r="Z460" s="3" t="s">
        <v>236</v>
      </c>
      <c r="AA460" s="3" t="s">
        <v>55</v>
      </c>
      <c r="AB460" s="3" t="s">
        <v>56</v>
      </c>
      <c r="AC460" s="3" t="s">
        <v>215</v>
      </c>
    </row>
    <row r="461" spans="1:29" s="3" customFormat="1" x14ac:dyDescent="0.25">
      <c r="A461" s="3" t="s">
        <v>0</v>
      </c>
      <c r="B461" s="3" t="s">
        <v>10675</v>
      </c>
      <c r="C461" s="3" t="s">
        <v>10659</v>
      </c>
      <c r="D461" s="3" t="str">
        <f t="shared" si="132"/>
        <v>SWHC049-03 SEER Rated AC/HP_SFm</v>
      </c>
      <c r="F461" s="3" t="s">
        <v>243</v>
      </c>
      <c r="G461" s="3" t="str">
        <f t="shared" si="133"/>
        <v>RE-HV-AC-Splt-18to45kBtuh-S20p0</v>
      </c>
      <c r="H461" s="3" t="s">
        <v>231</v>
      </c>
      <c r="I461" s="3" t="s">
        <v>232</v>
      </c>
      <c r="J461" s="3" t="s">
        <v>6</v>
      </c>
      <c r="K461" s="32" t="s">
        <v>210</v>
      </c>
      <c r="L461" s="32" t="s">
        <v>234</v>
      </c>
      <c r="M461" s="32" t="s">
        <v>226</v>
      </c>
      <c r="N461" s="3" t="str">
        <f t="shared" si="127"/>
        <v>SFm&amp;2&amp;rDXGF&amp;New&amp;dxAC_equip</v>
      </c>
      <c r="O461" s="3" t="s">
        <v>50</v>
      </c>
      <c r="P461" s="3">
        <v>2</v>
      </c>
      <c r="Q461" s="3" t="s">
        <v>51</v>
      </c>
      <c r="R461" s="3" t="s">
        <v>107</v>
      </c>
      <c r="S461" s="3" t="str">
        <f t="shared" si="126"/>
        <v>No</v>
      </c>
      <c r="T461" s="3" t="str">
        <f t="shared" si="129"/>
        <v>dxAC_equip</v>
      </c>
      <c r="U461" s="3" t="str">
        <f t="shared" si="130"/>
        <v>dxAC_equip</v>
      </c>
      <c r="V461" s="3" t="s">
        <v>111</v>
      </c>
      <c r="W461" s="3" t="s">
        <v>235</v>
      </c>
      <c r="X461" s="3" t="s">
        <v>111</v>
      </c>
      <c r="Y461" s="3" t="s">
        <v>235</v>
      </c>
      <c r="Z461" s="3" t="s">
        <v>236</v>
      </c>
      <c r="AA461" s="3" t="s">
        <v>55</v>
      </c>
      <c r="AB461" s="3" t="s">
        <v>56</v>
      </c>
      <c r="AC461" s="3" t="s">
        <v>215</v>
      </c>
    </row>
    <row r="462" spans="1:29" s="3" customFormat="1" x14ac:dyDescent="0.25">
      <c r="A462" s="3" t="s">
        <v>0</v>
      </c>
      <c r="B462" s="3" t="s">
        <v>10675</v>
      </c>
      <c r="C462" s="3" t="s">
        <v>10659</v>
      </c>
      <c r="D462" s="3" t="str">
        <f t="shared" si="132"/>
        <v>SWHC049-03 SEER Rated AC/HP_DMo</v>
      </c>
      <c r="F462" s="3" t="s">
        <v>243</v>
      </c>
      <c r="G462" s="3" t="str">
        <f t="shared" si="133"/>
        <v>RE-HV-AC-Splt-18to45kBtuh-S20p0</v>
      </c>
      <c r="H462" s="3" t="s">
        <v>231</v>
      </c>
      <c r="I462" s="3" t="s">
        <v>232</v>
      </c>
      <c r="J462" s="3" t="s">
        <v>6</v>
      </c>
      <c r="K462" s="32" t="s">
        <v>210</v>
      </c>
      <c r="L462" s="32" t="s">
        <v>234</v>
      </c>
      <c r="M462" s="32" t="s">
        <v>226</v>
      </c>
      <c r="N462" s="3" t="str">
        <f t="shared" si="127"/>
        <v>DMo&amp;0&amp;rDXGF&amp;New&amp;dxAC_equip</v>
      </c>
      <c r="O462" s="3" t="s">
        <v>62</v>
      </c>
      <c r="P462" s="3">
        <v>0</v>
      </c>
      <c r="Q462" s="3" t="s">
        <v>51</v>
      </c>
      <c r="R462" s="3" t="s">
        <v>107</v>
      </c>
      <c r="S462" s="3" t="str">
        <f t="shared" si="126"/>
        <v>No</v>
      </c>
      <c r="T462" s="3" t="str">
        <f t="shared" si="129"/>
        <v>dxAC_equip</v>
      </c>
      <c r="U462" s="3" t="str">
        <f t="shared" si="130"/>
        <v>dxAC_equip</v>
      </c>
      <c r="V462" s="3" t="s">
        <v>111</v>
      </c>
      <c r="W462" s="3" t="s">
        <v>235</v>
      </c>
      <c r="X462" s="3" t="s">
        <v>111</v>
      </c>
      <c r="Y462" s="3" t="s">
        <v>235</v>
      </c>
      <c r="Z462" s="3" t="s">
        <v>236</v>
      </c>
      <c r="AA462" s="3" t="s">
        <v>55</v>
      </c>
      <c r="AB462" s="3" t="s">
        <v>56</v>
      </c>
      <c r="AC462" s="3" t="s">
        <v>215</v>
      </c>
    </row>
    <row r="463" spans="1:29" s="3" customFormat="1" x14ac:dyDescent="0.25">
      <c r="A463" s="3" t="s">
        <v>0</v>
      </c>
      <c r="B463" s="3" t="s">
        <v>10675</v>
      </c>
      <c r="C463" s="3" t="s">
        <v>10659</v>
      </c>
      <c r="D463" s="3" t="str">
        <f t="shared" si="132"/>
        <v>SWHC049-03 SEER Rated AC/HP_MFm</v>
      </c>
      <c r="F463" s="3" t="s">
        <v>243</v>
      </c>
      <c r="G463" s="3" t="str">
        <f t="shared" si="133"/>
        <v>RE-HV-AC-Splt-18to45kBtuh-S20p0</v>
      </c>
      <c r="H463" s="3" t="s">
        <v>231</v>
      </c>
      <c r="I463" s="3" t="s">
        <v>232</v>
      </c>
      <c r="J463" s="3" t="s">
        <v>6</v>
      </c>
      <c r="K463" s="32" t="s">
        <v>210</v>
      </c>
      <c r="L463" s="32" t="s">
        <v>234</v>
      </c>
      <c r="M463" s="32" t="s">
        <v>226</v>
      </c>
      <c r="N463" s="3" t="str">
        <f t="shared" si="127"/>
        <v>MFm&amp;0&amp;rDXGF&amp;New&amp;dxAC_equip</v>
      </c>
      <c r="O463" s="3" t="s">
        <v>63</v>
      </c>
      <c r="P463" s="3">
        <v>0</v>
      </c>
      <c r="Q463" s="3" t="s">
        <v>51</v>
      </c>
      <c r="R463" s="3" t="s">
        <v>107</v>
      </c>
      <c r="S463" s="3" t="str">
        <f t="shared" si="126"/>
        <v>No</v>
      </c>
      <c r="T463" s="3" t="str">
        <f t="shared" si="129"/>
        <v>dxAC_equip</v>
      </c>
      <c r="U463" s="3" t="str">
        <f t="shared" si="130"/>
        <v>dxAC_equip</v>
      </c>
      <c r="V463" s="3" t="s">
        <v>111</v>
      </c>
      <c r="W463" s="3" t="s">
        <v>235</v>
      </c>
      <c r="X463" s="3" t="s">
        <v>111</v>
      </c>
      <c r="Y463" s="3" t="s">
        <v>235</v>
      </c>
      <c r="Z463" s="3" t="s">
        <v>236</v>
      </c>
      <c r="AA463" s="3" t="s">
        <v>55</v>
      </c>
      <c r="AB463" s="3" t="s">
        <v>56</v>
      </c>
      <c r="AC463" s="3" t="s">
        <v>215</v>
      </c>
    </row>
    <row r="464" spans="1:29" s="3" customFormat="1" x14ac:dyDescent="0.25">
      <c r="A464" s="3" t="s">
        <v>0</v>
      </c>
      <c r="B464" s="3" t="s">
        <v>10675</v>
      </c>
      <c r="C464" s="3" t="s">
        <v>10659</v>
      </c>
      <c r="D464" s="3" t="str">
        <f t="shared" si="132"/>
        <v>SWHC049-03 SEER Rated AC/HP_SFm</v>
      </c>
      <c r="F464" s="3" t="s">
        <v>244</v>
      </c>
      <c r="G464" s="3" t="str">
        <f t="shared" ref="G464:G471" si="134">F464</f>
        <v>RE-HV-AC-Splt-18to45kBtuh-S21p0</v>
      </c>
      <c r="H464" s="3" t="s">
        <v>231</v>
      </c>
      <c r="I464" s="3" t="s">
        <v>232</v>
      </c>
      <c r="J464" s="3" t="s">
        <v>245</v>
      </c>
      <c r="K464" s="32" t="s">
        <v>210</v>
      </c>
      <c r="L464" s="32" t="s">
        <v>234</v>
      </c>
      <c r="M464" s="32" t="s">
        <v>229</v>
      </c>
      <c r="N464" s="3" t="str">
        <f t="shared" si="127"/>
        <v>SFm&amp;1&amp;rDXGF&amp;Ex&amp;dxAC_equip</v>
      </c>
      <c r="O464" s="3" t="s">
        <v>50</v>
      </c>
      <c r="P464" s="3">
        <v>1</v>
      </c>
      <c r="Q464" s="3" t="s">
        <v>51</v>
      </c>
      <c r="R464" s="3" t="s">
        <v>52</v>
      </c>
      <c r="S464" s="3" t="str">
        <f t="shared" si="126"/>
        <v>No</v>
      </c>
      <c r="T464" s="3" t="str">
        <f t="shared" si="129"/>
        <v>dxAC_equip</v>
      </c>
      <c r="U464" s="3" t="str">
        <f t="shared" si="130"/>
        <v>dxAC_equip</v>
      </c>
      <c r="V464" s="3" t="s">
        <v>111</v>
      </c>
      <c r="W464" s="3" t="s">
        <v>235</v>
      </c>
      <c r="X464" s="3" t="s">
        <v>111</v>
      </c>
      <c r="Y464" s="3" t="s">
        <v>235</v>
      </c>
      <c r="Z464" s="3" t="s">
        <v>236</v>
      </c>
      <c r="AA464" s="3" t="s">
        <v>55</v>
      </c>
      <c r="AB464" s="3" t="s">
        <v>56</v>
      </c>
      <c r="AC464" s="3" t="s">
        <v>215</v>
      </c>
    </row>
    <row r="465" spans="1:29" s="3" customFormat="1" x14ac:dyDescent="0.25">
      <c r="A465" s="3" t="s">
        <v>0</v>
      </c>
      <c r="B465" s="3" t="s">
        <v>10675</v>
      </c>
      <c r="C465" s="3" t="s">
        <v>10659</v>
      </c>
      <c r="D465" s="3" t="str">
        <f t="shared" si="132"/>
        <v>SWHC049-03 SEER Rated AC/HP_SFm</v>
      </c>
      <c r="F465" s="3" t="s">
        <v>244</v>
      </c>
      <c r="G465" s="3" t="str">
        <f t="shared" si="134"/>
        <v>RE-HV-AC-Splt-18to45kBtuh-S21p0</v>
      </c>
      <c r="H465" s="3" t="s">
        <v>231</v>
      </c>
      <c r="I465" s="3" t="s">
        <v>232</v>
      </c>
      <c r="J465" s="3" t="s">
        <v>245</v>
      </c>
      <c r="K465" s="32" t="s">
        <v>210</v>
      </c>
      <c r="L465" s="32" t="s">
        <v>234</v>
      </c>
      <c r="M465" s="32" t="s">
        <v>229</v>
      </c>
      <c r="N465" s="3" t="str">
        <f t="shared" si="127"/>
        <v>SFm&amp;2&amp;rDXGF&amp;Ex&amp;dxAC_equip</v>
      </c>
      <c r="O465" s="3" t="s">
        <v>50</v>
      </c>
      <c r="P465" s="3">
        <v>2</v>
      </c>
      <c r="Q465" s="3" t="s">
        <v>51</v>
      </c>
      <c r="R465" s="3" t="s">
        <v>52</v>
      </c>
      <c r="S465" s="3" t="str">
        <f t="shared" si="126"/>
        <v>No</v>
      </c>
      <c r="T465" s="3" t="str">
        <f t="shared" si="129"/>
        <v>dxAC_equip</v>
      </c>
      <c r="U465" s="3" t="str">
        <f t="shared" si="130"/>
        <v>dxAC_equip</v>
      </c>
      <c r="V465" s="3" t="s">
        <v>111</v>
      </c>
      <c r="W465" s="3" t="s">
        <v>235</v>
      </c>
      <c r="X465" s="3" t="s">
        <v>111</v>
      </c>
      <c r="Y465" s="3" t="s">
        <v>235</v>
      </c>
      <c r="Z465" s="3" t="s">
        <v>236</v>
      </c>
      <c r="AA465" s="3" t="s">
        <v>55</v>
      </c>
      <c r="AB465" s="3" t="s">
        <v>56</v>
      </c>
      <c r="AC465" s="3" t="s">
        <v>215</v>
      </c>
    </row>
    <row r="466" spans="1:29" s="3" customFormat="1" x14ac:dyDescent="0.25">
      <c r="A466" s="3" t="s">
        <v>0</v>
      </c>
      <c r="B466" s="3" t="s">
        <v>10675</v>
      </c>
      <c r="C466" s="3" t="s">
        <v>10659</v>
      </c>
      <c r="D466" s="3" t="str">
        <f t="shared" si="132"/>
        <v>SWHC049-03 SEER Rated AC/HP_DMo</v>
      </c>
      <c r="F466" s="3" t="s">
        <v>244</v>
      </c>
      <c r="G466" s="3" t="str">
        <f t="shared" si="134"/>
        <v>RE-HV-AC-Splt-18to45kBtuh-S21p0</v>
      </c>
      <c r="H466" s="3" t="s">
        <v>231</v>
      </c>
      <c r="I466" s="3" t="s">
        <v>232</v>
      </c>
      <c r="J466" s="3" t="s">
        <v>245</v>
      </c>
      <c r="K466" s="32" t="s">
        <v>210</v>
      </c>
      <c r="L466" s="32" t="s">
        <v>234</v>
      </c>
      <c r="M466" s="32" t="s">
        <v>229</v>
      </c>
      <c r="N466" s="3" t="str">
        <f t="shared" si="127"/>
        <v>DMo&amp;0&amp;rDXGF&amp;Ex&amp;dxAC_equip</v>
      </c>
      <c r="O466" s="3" t="s">
        <v>62</v>
      </c>
      <c r="P466" s="3">
        <v>0</v>
      </c>
      <c r="Q466" s="3" t="s">
        <v>51</v>
      </c>
      <c r="R466" s="3" t="s">
        <v>52</v>
      </c>
      <c r="S466" s="3" t="str">
        <f t="shared" si="126"/>
        <v>No</v>
      </c>
      <c r="T466" s="3" t="str">
        <f t="shared" si="129"/>
        <v>dxAC_equip</v>
      </c>
      <c r="U466" s="3" t="str">
        <f t="shared" si="130"/>
        <v>dxAC_equip</v>
      </c>
      <c r="V466" s="3" t="s">
        <v>111</v>
      </c>
      <c r="W466" s="3" t="s">
        <v>235</v>
      </c>
      <c r="X466" s="3" t="s">
        <v>111</v>
      </c>
      <c r="Y466" s="3" t="s">
        <v>235</v>
      </c>
      <c r="Z466" s="3" t="s">
        <v>236</v>
      </c>
      <c r="AA466" s="3" t="s">
        <v>55</v>
      </c>
      <c r="AB466" s="3" t="s">
        <v>56</v>
      </c>
      <c r="AC466" s="3" t="s">
        <v>215</v>
      </c>
    </row>
    <row r="467" spans="1:29" s="3" customFormat="1" x14ac:dyDescent="0.25">
      <c r="A467" s="3" t="s">
        <v>0</v>
      </c>
      <c r="B467" s="3" t="s">
        <v>10675</v>
      </c>
      <c r="C467" s="3" t="s">
        <v>10659</v>
      </c>
      <c r="D467" s="3" t="str">
        <f t="shared" si="132"/>
        <v>SWHC049-03 SEER Rated AC/HP_MFm</v>
      </c>
      <c r="F467" s="3" t="s">
        <v>244</v>
      </c>
      <c r="G467" s="3" t="str">
        <f t="shared" si="134"/>
        <v>RE-HV-AC-Splt-18to45kBtuh-S21p0</v>
      </c>
      <c r="H467" s="3" t="s">
        <v>231</v>
      </c>
      <c r="I467" s="3" t="s">
        <v>232</v>
      </c>
      <c r="J467" s="3" t="s">
        <v>245</v>
      </c>
      <c r="K467" s="32" t="s">
        <v>210</v>
      </c>
      <c r="L467" s="32" t="s">
        <v>234</v>
      </c>
      <c r="M467" s="32" t="s">
        <v>229</v>
      </c>
      <c r="N467" s="3" t="str">
        <f t="shared" si="127"/>
        <v>MFm&amp;0&amp;rDXGF&amp;Ex&amp;dxAC_equip</v>
      </c>
      <c r="O467" s="3" t="s">
        <v>63</v>
      </c>
      <c r="P467" s="3">
        <v>0</v>
      </c>
      <c r="Q467" s="3" t="s">
        <v>51</v>
      </c>
      <c r="R467" s="3" t="s">
        <v>52</v>
      </c>
      <c r="S467" s="3" t="str">
        <f t="shared" si="126"/>
        <v>No</v>
      </c>
      <c r="T467" s="3" t="str">
        <f t="shared" si="129"/>
        <v>dxAC_equip</v>
      </c>
      <c r="U467" s="3" t="str">
        <f t="shared" si="130"/>
        <v>dxAC_equip</v>
      </c>
      <c r="V467" s="3" t="s">
        <v>111</v>
      </c>
      <c r="W467" s="3" t="s">
        <v>235</v>
      </c>
      <c r="X467" s="3" t="s">
        <v>111</v>
      </c>
      <c r="Y467" s="3" t="s">
        <v>235</v>
      </c>
      <c r="Z467" s="3" t="s">
        <v>236</v>
      </c>
      <c r="AA467" s="3" t="s">
        <v>55</v>
      </c>
      <c r="AB467" s="3" t="s">
        <v>56</v>
      </c>
      <c r="AC467" s="3" t="s">
        <v>215</v>
      </c>
    </row>
    <row r="468" spans="1:29" s="3" customFormat="1" x14ac:dyDescent="0.25">
      <c r="A468" s="3" t="s">
        <v>0</v>
      </c>
      <c r="B468" s="3" t="s">
        <v>10675</v>
      </c>
      <c r="C468" s="3" t="s">
        <v>10659</v>
      </c>
      <c r="D468" s="3" t="str">
        <f t="shared" si="132"/>
        <v>SWHC049-03 SEER Rated AC/HP_SFm</v>
      </c>
      <c r="F468" s="3" t="s">
        <v>244</v>
      </c>
      <c r="G468" s="3" t="str">
        <f t="shared" si="134"/>
        <v>RE-HV-AC-Splt-18to45kBtuh-S21p0</v>
      </c>
      <c r="H468" s="3" t="s">
        <v>231</v>
      </c>
      <c r="I468" s="3" t="s">
        <v>232</v>
      </c>
      <c r="J468" s="3" t="s">
        <v>245</v>
      </c>
      <c r="K468" s="32" t="s">
        <v>210</v>
      </c>
      <c r="L468" s="32" t="s">
        <v>234</v>
      </c>
      <c r="M468" s="32" t="s">
        <v>229</v>
      </c>
      <c r="N468" s="3" t="str">
        <f t="shared" si="127"/>
        <v>SFm&amp;1&amp;rDXGF&amp;New&amp;dxAC_equip</v>
      </c>
      <c r="O468" s="3" t="s">
        <v>50</v>
      </c>
      <c r="P468" s="3">
        <v>1</v>
      </c>
      <c r="Q468" s="3" t="s">
        <v>51</v>
      </c>
      <c r="R468" s="3" t="s">
        <v>107</v>
      </c>
      <c r="S468" s="3" t="str">
        <f t="shared" si="126"/>
        <v>No</v>
      </c>
      <c r="T468" s="3" t="str">
        <f t="shared" si="129"/>
        <v>dxAC_equip</v>
      </c>
      <c r="U468" s="3" t="str">
        <f t="shared" si="130"/>
        <v>dxAC_equip</v>
      </c>
      <c r="V468" s="3" t="s">
        <v>111</v>
      </c>
      <c r="W468" s="3" t="s">
        <v>235</v>
      </c>
      <c r="X468" s="3" t="s">
        <v>111</v>
      </c>
      <c r="Y468" s="3" t="s">
        <v>235</v>
      </c>
      <c r="Z468" s="3" t="s">
        <v>236</v>
      </c>
      <c r="AA468" s="3" t="s">
        <v>55</v>
      </c>
      <c r="AB468" s="3" t="s">
        <v>56</v>
      </c>
      <c r="AC468" s="3" t="s">
        <v>215</v>
      </c>
    </row>
    <row r="469" spans="1:29" s="3" customFormat="1" x14ac:dyDescent="0.25">
      <c r="A469" s="3" t="s">
        <v>0</v>
      </c>
      <c r="B469" s="3" t="s">
        <v>10675</v>
      </c>
      <c r="C469" s="3" t="s">
        <v>10659</v>
      </c>
      <c r="D469" s="3" t="str">
        <f t="shared" si="132"/>
        <v>SWHC049-03 SEER Rated AC/HP_SFm</v>
      </c>
      <c r="F469" s="3" t="s">
        <v>244</v>
      </c>
      <c r="G469" s="3" t="str">
        <f t="shared" si="134"/>
        <v>RE-HV-AC-Splt-18to45kBtuh-S21p0</v>
      </c>
      <c r="H469" s="3" t="s">
        <v>231</v>
      </c>
      <c r="I469" s="3" t="s">
        <v>232</v>
      </c>
      <c r="J469" s="3" t="s">
        <v>245</v>
      </c>
      <c r="K469" s="32" t="s">
        <v>210</v>
      </c>
      <c r="L469" s="32" t="s">
        <v>234</v>
      </c>
      <c r="M469" s="32" t="s">
        <v>229</v>
      </c>
      <c r="N469" s="3" t="str">
        <f t="shared" si="127"/>
        <v>SFm&amp;2&amp;rDXGF&amp;New&amp;dxAC_equip</v>
      </c>
      <c r="O469" s="3" t="s">
        <v>50</v>
      </c>
      <c r="P469" s="3">
        <v>2</v>
      </c>
      <c r="Q469" s="3" t="s">
        <v>51</v>
      </c>
      <c r="R469" s="3" t="s">
        <v>107</v>
      </c>
      <c r="S469" s="3" t="str">
        <f t="shared" si="126"/>
        <v>No</v>
      </c>
      <c r="T469" s="3" t="str">
        <f t="shared" si="129"/>
        <v>dxAC_equip</v>
      </c>
      <c r="U469" s="3" t="str">
        <f t="shared" si="130"/>
        <v>dxAC_equip</v>
      </c>
      <c r="V469" s="3" t="s">
        <v>111</v>
      </c>
      <c r="W469" s="3" t="s">
        <v>235</v>
      </c>
      <c r="X469" s="3" t="s">
        <v>111</v>
      </c>
      <c r="Y469" s="3" t="s">
        <v>235</v>
      </c>
      <c r="Z469" s="3" t="s">
        <v>236</v>
      </c>
      <c r="AA469" s="3" t="s">
        <v>55</v>
      </c>
      <c r="AB469" s="3" t="s">
        <v>56</v>
      </c>
      <c r="AC469" s="3" t="s">
        <v>215</v>
      </c>
    </row>
    <row r="470" spans="1:29" s="3" customFormat="1" x14ac:dyDescent="0.25">
      <c r="A470" s="3" t="s">
        <v>0</v>
      </c>
      <c r="B470" s="3" t="s">
        <v>10675</v>
      </c>
      <c r="C470" s="3" t="s">
        <v>10659</v>
      </c>
      <c r="D470" s="3" t="str">
        <f t="shared" si="132"/>
        <v>SWHC049-03 SEER Rated AC/HP_DMo</v>
      </c>
      <c r="F470" s="3" t="s">
        <v>244</v>
      </c>
      <c r="G470" s="3" t="str">
        <f t="shared" si="134"/>
        <v>RE-HV-AC-Splt-18to45kBtuh-S21p0</v>
      </c>
      <c r="H470" s="3" t="s">
        <v>231</v>
      </c>
      <c r="I470" s="3" t="s">
        <v>232</v>
      </c>
      <c r="J470" s="3" t="s">
        <v>245</v>
      </c>
      <c r="K470" s="32" t="s">
        <v>210</v>
      </c>
      <c r="L470" s="32" t="s">
        <v>234</v>
      </c>
      <c r="M470" s="32" t="s">
        <v>229</v>
      </c>
      <c r="N470" s="3" t="str">
        <f t="shared" si="127"/>
        <v>DMo&amp;0&amp;rDXGF&amp;New&amp;dxAC_equip</v>
      </c>
      <c r="O470" s="3" t="s">
        <v>62</v>
      </c>
      <c r="P470" s="3">
        <v>0</v>
      </c>
      <c r="Q470" s="3" t="s">
        <v>51</v>
      </c>
      <c r="R470" s="3" t="s">
        <v>107</v>
      </c>
      <c r="S470" s="3" t="str">
        <f t="shared" si="126"/>
        <v>No</v>
      </c>
      <c r="T470" s="3" t="str">
        <f t="shared" si="129"/>
        <v>dxAC_equip</v>
      </c>
      <c r="U470" s="3" t="str">
        <f t="shared" si="130"/>
        <v>dxAC_equip</v>
      </c>
      <c r="V470" s="3" t="s">
        <v>111</v>
      </c>
      <c r="W470" s="3" t="s">
        <v>235</v>
      </c>
      <c r="X470" s="3" t="s">
        <v>111</v>
      </c>
      <c r="Y470" s="3" t="s">
        <v>235</v>
      </c>
      <c r="Z470" s="3" t="s">
        <v>236</v>
      </c>
      <c r="AA470" s="3" t="s">
        <v>55</v>
      </c>
      <c r="AB470" s="3" t="s">
        <v>56</v>
      </c>
      <c r="AC470" s="3" t="s">
        <v>215</v>
      </c>
    </row>
    <row r="471" spans="1:29" s="3" customFormat="1" x14ac:dyDescent="0.25">
      <c r="A471" s="3" t="s">
        <v>0</v>
      </c>
      <c r="B471" s="3" t="s">
        <v>10675</v>
      </c>
      <c r="C471" s="3" t="s">
        <v>10659</v>
      </c>
      <c r="D471" s="3" t="str">
        <f t="shared" si="132"/>
        <v>SWHC049-03 SEER Rated AC/HP_MFm</v>
      </c>
      <c r="F471" s="3" t="s">
        <v>244</v>
      </c>
      <c r="G471" s="3" t="str">
        <f t="shared" si="134"/>
        <v>RE-HV-AC-Splt-18to45kBtuh-S21p0</v>
      </c>
      <c r="H471" s="3" t="s">
        <v>231</v>
      </c>
      <c r="I471" s="3" t="s">
        <v>232</v>
      </c>
      <c r="J471" s="3" t="s">
        <v>245</v>
      </c>
      <c r="K471" s="32" t="s">
        <v>210</v>
      </c>
      <c r="L471" s="32" t="s">
        <v>234</v>
      </c>
      <c r="M471" s="32" t="s">
        <v>229</v>
      </c>
      <c r="N471" s="3" t="str">
        <f t="shared" si="127"/>
        <v>MFm&amp;0&amp;rDXGF&amp;New&amp;dxAC_equip</v>
      </c>
      <c r="O471" s="3" t="s">
        <v>63</v>
      </c>
      <c r="P471" s="3">
        <v>0</v>
      </c>
      <c r="Q471" s="3" t="s">
        <v>51</v>
      </c>
      <c r="R471" s="3" t="s">
        <v>107</v>
      </c>
      <c r="S471" s="3" t="str">
        <f t="shared" si="126"/>
        <v>No</v>
      </c>
      <c r="T471" s="3" t="str">
        <f t="shared" si="129"/>
        <v>dxAC_equip</v>
      </c>
      <c r="U471" s="3" t="str">
        <f t="shared" si="130"/>
        <v>dxAC_equip</v>
      </c>
      <c r="V471" s="3" t="s">
        <v>111</v>
      </c>
      <c r="W471" s="3" t="s">
        <v>235</v>
      </c>
      <c r="X471" s="3" t="s">
        <v>111</v>
      </c>
      <c r="Y471" s="3" t="s">
        <v>235</v>
      </c>
      <c r="Z471" s="3" t="s">
        <v>236</v>
      </c>
      <c r="AA471" s="3" t="s">
        <v>55</v>
      </c>
      <c r="AB471" s="3" t="s">
        <v>56</v>
      </c>
      <c r="AC471" s="3" t="s">
        <v>215</v>
      </c>
    </row>
    <row r="472" spans="1:29" s="3" customFormat="1" x14ac:dyDescent="0.25">
      <c r="A472" s="3" t="s">
        <v>0</v>
      </c>
      <c r="B472" s="3" t="s">
        <v>10675</v>
      </c>
      <c r="C472" s="3" t="s">
        <v>10659</v>
      </c>
      <c r="D472" s="3" t="str">
        <f t="shared" si="132"/>
        <v>SWHC049-03 SEER Rated AC/HP_SFm</v>
      </c>
      <c r="F472" s="3" t="s">
        <v>246</v>
      </c>
      <c r="G472" s="3" t="str">
        <f t="shared" ref="G472:G511" si="135">F472</f>
        <v>RE-HV-AC-Splt-45to65kBtuh-S16p0</v>
      </c>
      <c r="H472" s="3" t="s">
        <v>247</v>
      </c>
      <c r="I472" s="3" t="s">
        <v>248</v>
      </c>
      <c r="J472" s="3" t="s">
        <v>249</v>
      </c>
      <c r="K472" s="32" t="s">
        <v>210</v>
      </c>
      <c r="L472" s="32" t="s">
        <v>250</v>
      </c>
      <c r="M472" s="32" t="s">
        <v>212</v>
      </c>
      <c r="N472" s="3" t="str">
        <f t="shared" si="127"/>
        <v>SFm&amp;1&amp;rDXGF&amp;Ex&amp;dxAC_equip</v>
      </c>
      <c r="O472" s="3" t="s">
        <v>50</v>
      </c>
      <c r="P472" s="3">
        <v>1</v>
      </c>
      <c r="Q472" s="3" t="s">
        <v>51</v>
      </c>
      <c r="R472" s="3" t="s">
        <v>52</v>
      </c>
      <c r="S472" s="3" t="str">
        <f t="shared" si="126"/>
        <v>No</v>
      </c>
      <c r="T472" s="3" t="str">
        <f t="shared" si="129"/>
        <v>dxAC_equip</v>
      </c>
      <c r="U472" s="3" t="str">
        <f t="shared" si="130"/>
        <v>dxAC_equip</v>
      </c>
      <c r="V472" s="3" t="s">
        <v>111</v>
      </c>
      <c r="W472" s="3" t="s">
        <v>235</v>
      </c>
      <c r="X472" s="3" t="s">
        <v>111</v>
      </c>
      <c r="Y472" s="3" t="s">
        <v>235</v>
      </c>
      <c r="Z472" s="3" t="s">
        <v>251</v>
      </c>
      <c r="AA472" s="3" t="s">
        <v>55</v>
      </c>
      <c r="AB472" s="3" t="s">
        <v>56</v>
      </c>
      <c r="AC472" s="3" t="s">
        <v>215</v>
      </c>
    </row>
    <row r="473" spans="1:29" s="3" customFormat="1" x14ac:dyDescent="0.25">
      <c r="A473" s="3" t="s">
        <v>0</v>
      </c>
      <c r="B473" s="3" t="s">
        <v>10675</v>
      </c>
      <c r="C473" s="3" t="s">
        <v>10659</v>
      </c>
      <c r="D473" s="3" t="str">
        <f t="shared" si="132"/>
        <v>SWHC049-03 SEER Rated AC/HP_SFm</v>
      </c>
      <c r="F473" s="3" t="s">
        <v>246</v>
      </c>
      <c r="G473" s="3" t="str">
        <f t="shared" si="135"/>
        <v>RE-HV-AC-Splt-45to65kBtuh-S16p0</v>
      </c>
      <c r="H473" s="3" t="s">
        <v>247</v>
      </c>
      <c r="I473" s="3" t="s">
        <v>248</v>
      </c>
      <c r="J473" s="3" t="s">
        <v>249</v>
      </c>
      <c r="K473" s="32" t="s">
        <v>210</v>
      </c>
      <c r="L473" s="32" t="s">
        <v>250</v>
      </c>
      <c r="M473" s="32" t="s">
        <v>212</v>
      </c>
      <c r="N473" s="3" t="str">
        <f t="shared" si="127"/>
        <v>SFm&amp;2&amp;rDXGF&amp;Ex&amp;dxAC_equip</v>
      </c>
      <c r="O473" s="3" t="s">
        <v>50</v>
      </c>
      <c r="P473" s="3">
        <v>2</v>
      </c>
      <c r="Q473" s="3" t="s">
        <v>51</v>
      </c>
      <c r="R473" s="3" t="s">
        <v>52</v>
      </c>
      <c r="S473" s="3" t="str">
        <f t="shared" si="126"/>
        <v>No</v>
      </c>
      <c r="T473" s="3" t="str">
        <f t="shared" si="129"/>
        <v>dxAC_equip</v>
      </c>
      <c r="U473" s="3" t="str">
        <f t="shared" si="130"/>
        <v>dxAC_equip</v>
      </c>
      <c r="V473" s="3" t="s">
        <v>111</v>
      </c>
      <c r="W473" s="3" t="s">
        <v>235</v>
      </c>
      <c r="X473" s="3" t="s">
        <v>111</v>
      </c>
      <c r="Y473" s="3" t="s">
        <v>235</v>
      </c>
      <c r="Z473" s="3" t="s">
        <v>251</v>
      </c>
      <c r="AA473" s="3" t="s">
        <v>55</v>
      </c>
      <c r="AB473" s="3" t="s">
        <v>56</v>
      </c>
      <c r="AC473" s="3" t="s">
        <v>215</v>
      </c>
    </row>
    <row r="474" spans="1:29" s="3" customFormat="1" x14ac:dyDescent="0.25">
      <c r="A474" s="3" t="s">
        <v>0</v>
      </c>
      <c r="B474" s="3" t="s">
        <v>10675</v>
      </c>
      <c r="C474" s="3" t="s">
        <v>10659</v>
      </c>
      <c r="D474" s="3" t="str">
        <f t="shared" si="132"/>
        <v>SWHC049-03 SEER Rated AC/HP_DMo</v>
      </c>
      <c r="F474" s="3" t="s">
        <v>246</v>
      </c>
      <c r="G474" s="3" t="str">
        <f t="shared" si="135"/>
        <v>RE-HV-AC-Splt-45to65kBtuh-S16p0</v>
      </c>
      <c r="H474" s="3" t="s">
        <v>247</v>
      </c>
      <c r="I474" s="3" t="s">
        <v>248</v>
      </c>
      <c r="J474" s="3" t="s">
        <v>249</v>
      </c>
      <c r="K474" s="32" t="s">
        <v>210</v>
      </c>
      <c r="L474" s="32" t="s">
        <v>250</v>
      </c>
      <c r="M474" s="32" t="s">
        <v>212</v>
      </c>
      <c r="N474" s="3" t="str">
        <f t="shared" si="127"/>
        <v>DMo&amp;0&amp;rDXGF&amp;Ex&amp;dxAC_equip</v>
      </c>
      <c r="O474" s="3" t="s">
        <v>62</v>
      </c>
      <c r="P474" s="3">
        <v>0</v>
      </c>
      <c r="Q474" s="3" t="s">
        <v>51</v>
      </c>
      <c r="R474" s="3" t="s">
        <v>52</v>
      </c>
      <c r="S474" s="3" t="str">
        <f t="shared" si="126"/>
        <v>No</v>
      </c>
      <c r="T474" s="3" t="str">
        <f t="shared" si="129"/>
        <v>dxAC_equip</v>
      </c>
      <c r="U474" s="3" t="str">
        <f t="shared" si="130"/>
        <v>dxAC_equip</v>
      </c>
      <c r="V474" s="3" t="s">
        <v>111</v>
      </c>
      <c r="W474" s="3" t="s">
        <v>235</v>
      </c>
      <c r="X474" s="3" t="s">
        <v>111</v>
      </c>
      <c r="Y474" s="3" t="s">
        <v>235</v>
      </c>
      <c r="Z474" s="3" t="s">
        <v>251</v>
      </c>
      <c r="AA474" s="3" t="s">
        <v>55</v>
      </c>
      <c r="AB474" s="3" t="s">
        <v>56</v>
      </c>
      <c r="AC474" s="3" t="s">
        <v>215</v>
      </c>
    </row>
    <row r="475" spans="1:29" s="3" customFormat="1" x14ac:dyDescent="0.25">
      <c r="A475" s="3" t="s">
        <v>0</v>
      </c>
      <c r="B475" s="3" t="s">
        <v>10675</v>
      </c>
      <c r="C475" s="3" t="s">
        <v>10659</v>
      </c>
      <c r="D475" s="3" t="str">
        <f t="shared" si="132"/>
        <v>SWHC049-03 SEER Rated AC/HP_MFm</v>
      </c>
      <c r="F475" s="3" t="s">
        <v>246</v>
      </c>
      <c r="G475" s="3" t="str">
        <f t="shared" si="135"/>
        <v>RE-HV-AC-Splt-45to65kBtuh-S16p0</v>
      </c>
      <c r="H475" s="3" t="s">
        <v>247</v>
      </c>
      <c r="I475" s="3" t="s">
        <v>248</v>
      </c>
      <c r="J475" s="3" t="s">
        <v>249</v>
      </c>
      <c r="K475" s="32" t="s">
        <v>210</v>
      </c>
      <c r="L475" s="32" t="s">
        <v>250</v>
      </c>
      <c r="M475" s="32" t="s">
        <v>212</v>
      </c>
      <c r="N475" s="3" t="str">
        <f t="shared" si="127"/>
        <v>MFm&amp;0&amp;rDXGF&amp;Ex&amp;dxAC_equip</v>
      </c>
      <c r="O475" s="3" t="s">
        <v>63</v>
      </c>
      <c r="P475" s="3">
        <v>0</v>
      </c>
      <c r="Q475" s="3" t="s">
        <v>51</v>
      </c>
      <c r="R475" s="3" t="s">
        <v>52</v>
      </c>
      <c r="S475" s="3" t="str">
        <f t="shared" si="126"/>
        <v>No</v>
      </c>
      <c r="T475" s="3" t="str">
        <f t="shared" si="129"/>
        <v>dxAC_equip</v>
      </c>
      <c r="U475" s="3" t="str">
        <f t="shared" si="130"/>
        <v>dxAC_equip</v>
      </c>
      <c r="V475" s="3" t="s">
        <v>111</v>
      </c>
      <c r="W475" s="3" t="s">
        <v>235</v>
      </c>
      <c r="X475" s="3" t="s">
        <v>111</v>
      </c>
      <c r="Y475" s="3" t="s">
        <v>235</v>
      </c>
      <c r="Z475" s="3" t="s">
        <v>251</v>
      </c>
      <c r="AA475" s="3" t="s">
        <v>55</v>
      </c>
      <c r="AB475" s="3" t="s">
        <v>56</v>
      </c>
      <c r="AC475" s="3" t="s">
        <v>215</v>
      </c>
    </row>
    <row r="476" spans="1:29" s="3" customFormat="1" x14ac:dyDescent="0.25">
      <c r="A476" s="3" t="s">
        <v>0</v>
      </c>
      <c r="B476" s="3" t="s">
        <v>10675</v>
      </c>
      <c r="C476" s="3" t="s">
        <v>10659</v>
      </c>
      <c r="D476" s="3" t="str">
        <f t="shared" si="132"/>
        <v>SWHC049-03 SEER Rated AC/HP_SFm</v>
      </c>
      <c r="F476" s="3" t="s">
        <v>246</v>
      </c>
      <c r="G476" s="3" t="str">
        <f t="shared" si="135"/>
        <v>RE-HV-AC-Splt-45to65kBtuh-S16p0</v>
      </c>
      <c r="H476" s="3" t="s">
        <v>247</v>
      </c>
      <c r="I476" s="3" t="s">
        <v>248</v>
      </c>
      <c r="J476" s="3" t="s">
        <v>249</v>
      </c>
      <c r="K476" s="32" t="s">
        <v>210</v>
      </c>
      <c r="L476" s="32" t="s">
        <v>250</v>
      </c>
      <c r="M476" s="32" t="s">
        <v>212</v>
      </c>
      <c r="N476" s="3" t="str">
        <f t="shared" si="127"/>
        <v>SFm&amp;1&amp;rDXGF&amp;New&amp;dxAC_equip</v>
      </c>
      <c r="O476" s="3" t="s">
        <v>50</v>
      </c>
      <c r="P476" s="3">
        <v>1</v>
      </c>
      <c r="Q476" s="3" t="s">
        <v>51</v>
      </c>
      <c r="R476" s="3" t="s">
        <v>107</v>
      </c>
      <c r="S476" s="3" t="str">
        <f t="shared" si="126"/>
        <v>No</v>
      </c>
      <c r="T476" s="3" t="str">
        <f t="shared" si="129"/>
        <v>dxAC_equip</v>
      </c>
      <c r="U476" s="3" t="str">
        <f t="shared" si="130"/>
        <v>dxAC_equip</v>
      </c>
      <c r="V476" s="3" t="s">
        <v>111</v>
      </c>
      <c r="W476" s="3" t="s">
        <v>235</v>
      </c>
      <c r="X476" s="3" t="s">
        <v>111</v>
      </c>
      <c r="Y476" s="3" t="s">
        <v>235</v>
      </c>
      <c r="Z476" s="3" t="s">
        <v>251</v>
      </c>
      <c r="AA476" s="3" t="s">
        <v>55</v>
      </c>
      <c r="AB476" s="3" t="s">
        <v>56</v>
      </c>
      <c r="AC476" s="3" t="s">
        <v>215</v>
      </c>
    </row>
    <row r="477" spans="1:29" s="3" customFormat="1" x14ac:dyDescent="0.25">
      <c r="A477" s="3" t="s">
        <v>0</v>
      </c>
      <c r="B477" s="3" t="s">
        <v>10675</v>
      </c>
      <c r="C477" s="3" t="s">
        <v>10659</v>
      </c>
      <c r="D477" s="3" t="str">
        <f t="shared" si="132"/>
        <v>SWHC049-03 SEER Rated AC/HP_SFm</v>
      </c>
      <c r="F477" s="3" t="s">
        <v>246</v>
      </c>
      <c r="G477" s="3" t="str">
        <f t="shared" si="135"/>
        <v>RE-HV-AC-Splt-45to65kBtuh-S16p0</v>
      </c>
      <c r="H477" s="3" t="s">
        <v>247</v>
      </c>
      <c r="I477" s="3" t="s">
        <v>248</v>
      </c>
      <c r="J477" s="3" t="s">
        <v>249</v>
      </c>
      <c r="K477" s="32" t="s">
        <v>210</v>
      </c>
      <c r="L477" s="32" t="s">
        <v>250</v>
      </c>
      <c r="M477" s="32" t="s">
        <v>212</v>
      </c>
      <c r="N477" s="3" t="str">
        <f t="shared" si="127"/>
        <v>SFm&amp;2&amp;rDXGF&amp;New&amp;dxAC_equip</v>
      </c>
      <c r="O477" s="3" t="s">
        <v>50</v>
      </c>
      <c r="P477" s="3">
        <v>2</v>
      </c>
      <c r="Q477" s="3" t="s">
        <v>51</v>
      </c>
      <c r="R477" s="3" t="s">
        <v>107</v>
      </c>
      <c r="S477" s="3" t="str">
        <f t="shared" si="126"/>
        <v>No</v>
      </c>
      <c r="T477" s="3" t="str">
        <f t="shared" si="129"/>
        <v>dxAC_equip</v>
      </c>
      <c r="U477" s="3" t="str">
        <f t="shared" si="130"/>
        <v>dxAC_equip</v>
      </c>
      <c r="V477" s="3" t="s">
        <v>111</v>
      </c>
      <c r="W477" s="3" t="s">
        <v>235</v>
      </c>
      <c r="X477" s="3" t="s">
        <v>111</v>
      </c>
      <c r="Y477" s="3" t="s">
        <v>235</v>
      </c>
      <c r="Z477" s="3" t="s">
        <v>251</v>
      </c>
      <c r="AA477" s="3" t="s">
        <v>55</v>
      </c>
      <c r="AB477" s="3" t="s">
        <v>56</v>
      </c>
      <c r="AC477" s="3" t="s">
        <v>215</v>
      </c>
    </row>
    <row r="478" spans="1:29" s="3" customFormat="1" x14ac:dyDescent="0.25">
      <c r="A478" s="3" t="s">
        <v>0</v>
      </c>
      <c r="B478" s="3" t="s">
        <v>10675</v>
      </c>
      <c r="C478" s="3" t="s">
        <v>10659</v>
      </c>
      <c r="D478" s="3" t="str">
        <f t="shared" si="132"/>
        <v>SWHC049-03 SEER Rated AC/HP_DMo</v>
      </c>
      <c r="F478" s="3" t="s">
        <v>246</v>
      </c>
      <c r="G478" s="3" t="str">
        <f t="shared" si="135"/>
        <v>RE-HV-AC-Splt-45to65kBtuh-S16p0</v>
      </c>
      <c r="H478" s="3" t="s">
        <v>247</v>
      </c>
      <c r="I478" s="3" t="s">
        <v>248</v>
      </c>
      <c r="J478" s="3" t="s">
        <v>249</v>
      </c>
      <c r="K478" s="32" t="s">
        <v>210</v>
      </c>
      <c r="L478" s="32" t="s">
        <v>250</v>
      </c>
      <c r="M478" s="32" t="s">
        <v>212</v>
      </c>
      <c r="N478" s="3" t="str">
        <f t="shared" si="127"/>
        <v>DMo&amp;0&amp;rDXGF&amp;New&amp;dxAC_equip</v>
      </c>
      <c r="O478" s="3" t="s">
        <v>62</v>
      </c>
      <c r="P478" s="3">
        <v>0</v>
      </c>
      <c r="Q478" s="3" t="s">
        <v>51</v>
      </c>
      <c r="R478" s="3" t="s">
        <v>107</v>
      </c>
      <c r="S478" s="3" t="str">
        <f t="shared" si="126"/>
        <v>No</v>
      </c>
      <c r="T478" s="3" t="str">
        <f t="shared" si="129"/>
        <v>dxAC_equip</v>
      </c>
      <c r="U478" s="3" t="str">
        <f t="shared" si="130"/>
        <v>dxAC_equip</v>
      </c>
      <c r="V478" s="3" t="s">
        <v>111</v>
      </c>
      <c r="W478" s="3" t="s">
        <v>235</v>
      </c>
      <c r="X478" s="3" t="s">
        <v>111</v>
      </c>
      <c r="Y478" s="3" t="s">
        <v>235</v>
      </c>
      <c r="Z478" s="3" t="s">
        <v>251</v>
      </c>
      <c r="AA478" s="3" t="s">
        <v>55</v>
      </c>
      <c r="AB478" s="3" t="s">
        <v>56</v>
      </c>
      <c r="AC478" s="3" t="s">
        <v>215</v>
      </c>
    </row>
    <row r="479" spans="1:29" s="3" customFormat="1" x14ac:dyDescent="0.25">
      <c r="A479" s="3" t="s">
        <v>0</v>
      </c>
      <c r="B479" s="3" t="s">
        <v>10675</v>
      </c>
      <c r="C479" s="3" t="s">
        <v>10659</v>
      </c>
      <c r="D479" s="3" t="str">
        <f t="shared" si="132"/>
        <v>SWHC049-03 SEER Rated AC/HP_MFm</v>
      </c>
      <c r="F479" s="3" t="s">
        <v>246</v>
      </c>
      <c r="G479" s="3" t="str">
        <f t="shared" si="135"/>
        <v>RE-HV-AC-Splt-45to65kBtuh-S16p0</v>
      </c>
      <c r="H479" s="3" t="s">
        <v>247</v>
      </c>
      <c r="I479" s="3" t="s">
        <v>248</v>
      </c>
      <c r="J479" s="3" t="s">
        <v>249</v>
      </c>
      <c r="K479" s="32" t="s">
        <v>210</v>
      </c>
      <c r="L479" s="32" t="s">
        <v>250</v>
      </c>
      <c r="M479" s="32" t="s">
        <v>212</v>
      </c>
      <c r="N479" s="3" t="str">
        <f t="shared" si="127"/>
        <v>MFm&amp;0&amp;rDXGF&amp;New&amp;dxAC_equip</v>
      </c>
      <c r="O479" s="3" t="s">
        <v>63</v>
      </c>
      <c r="P479" s="3">
        <v>0</v>
      </c>
      <c r="Q479" s="3" t="s">
        <v>51</v>
      </c>
      <c r="R479" s="3" t="s">
        <v>107</v>
      </c>
      <c r="S479" s="3" t="str">
        <f t="shared" si="126"/>
        <v>No</v>
      </c>
      <c r="T479" s="3" t="str">
        <f t="shared" si="129"/>
        <v>dxAC_equip</v>
      </c>
      <c r="U479" s="3" t="str">
        <f t="shared" si="130"/>
        <v>dxAC_equip</v>
      </c>
      <c r="V479" s="3" t="s">
        <v>111</v>
      </c>
      <c r="W479" s="3" t="s">
        <v>235</v>
      </c>
      <c r="X479" s="3" t="s">
        <v>111</v>
      </c>
      <c r="Y479" s="3" t="s">
        <v>235</v>
      </c>
      <c r="Z479" s="3" t="s">
        <v>251</v>
      </c>
      <c r="AA479" s="3" t="s">
        <v>55</v>
      </c>
      <c r="AB479" s="3" t="s">
        <v>56</v>
      </c>
      <c r="AC479" s="3" t="s">
        <v>215</v>
      </c>
    </row>
    <row r="480" spans="1:29" s="3" customFormat="1" x14ac:dyDescent="0.25">
      <c r="A480" s="3" t="s">
        <v>0</v>
      </c>
      <c r="B480" s="3" t="s">
        <v>10675</v>
      </c>
      <c r="C480" s="3" t="s">
        <v>10659</v>
      </c>
      <c r="D480" s="3" t="str">
        <f t="shared" si="132"/>
        <v>SWHC049-03 SEER Rated AC/HP_SFm</v>
      </c>
      <c r="F480" s="3" t="s">
        <v>252</v>
      </c>
      <c r="G480" s="3" t="str">
        <f t="shared" si="135"/>
        <v>RE-HV-AC-Splt-45to65kBtuh-S17p0</v>
      </c>
      <c r="H480" s="3" t="s">
        <v>247</v>
      </c>
      <c r="I480" s="3" t="s">
        <v>248</v>
      </c>
      <c r="J480" s="3" t="s">
        <v>253</v>
      </c>
      <c r="K480" s="32" t="s">
        <v>210</v>
      </c>
      <c r="L480" s="32" t="s">
        <v>250</v>
      </c>
      <c r="M480" s="32" t="s">
        <v>218</v>
      </c>
      <c r="N480" s="3" t="str">
        <f t="shared" si="127"/>
        <v>SFm&amp;1&amp;rDXGF&amp;Ex&amp;dxAC_equip</v>
      </c>
      <c r="O480" s="3" t="s">
        <v>50</v>
      </c>
      <c r="P480" s="3">
        <v>1</v>
      </c>
      <c r="Q480" s="3" t="s">
        <v>51</v>
      </c>
      <c r="R480" s="3" t="s">
        <v>52</v>
      </c>
      <c r="S480" s="3" t="str">
        <f t="shared" si="126"/>
        <v>No</v>
      </c>
      <c r="T480" s="3" t="str">
        <f t="shared" si="129"/>
        <v>dxAC_equip</v>
      </c>
      <c r="U480" s="3" t="str">
        <f t="shared" si="130"/>
        <v>dxAC_equip</v>
      </c>
      <c r="V480" s="3" t="s">
        <v>111</v>
      </c>
      <c r="W480" s="3" t="s">
        <v>235</v>
      </c>
      <c r="X480" s="3" t="s">
        <v>111</v>
      </c>
      <c r="Y480" s="3" t="s">
        <v>235</v>
      </c>
      <c r="Z480" s="3" t="s">
        <v>251</v>
      </c>
      <c r="AA480" s="3" t="s">
        <v>55</v>
      </c>
      <c r="AB480" s="3" t="s">
        <v>56</v>
      </c>
      <c r="AC480" s="3" t="s">
        <v>215</v>
      </c>
    </row>
    <row r="481" spans="1:29" s="3" customFormat="1" x14ac:dyDescent="0.25">
      <c r="A481" s="3" t="s">
        <v>0</v>
      </c>
      <c r="B481" s="3" t="s">
        <v>10675</v>
      </c>
      <c r="C481" s="3" t="s">
        <v>10659</v>
      </c>
      <c r="D481" s="3" t="str">
        <f t="shared" si="132"/>
        <v>SWHC049-03 SEER Rated AC/HP_SFm</v>
      </c>
      <c r="F481" s="3" t="s">
        <v>252</v>
      </c>
      <c r="G481" s="3" t="str">
        <f t="shared" si="135"/>
        <v>RE-HV-AC-Splt-45to65kBtuh-S17p0</v>
      </c>
      <c r="H481" s="3" t="s">
        <v>247</v>
      </c>
      <c r="I481" s="3" t="s">
        <v>248</v>
      </c>
      <c r="J481" s="3" t="s">
        <v>253</v>
      </c>
      <c r="K481" s="32" t="s">
        <v>210</v>
      </c>
      <c r="L481" s="32" t="s">
        <v>250</v>
      </c>
      <c r="M481" s="32" t="s">
        <v>218</v>
      </c>
      <c r="N481" s="3" t="str">
        <f t="shared" si="127"/>
        <v>SFm&amp;2&amp;rDXGF&amp;Ex&amp;dxAC_equip</v>
      </c>
      <c r="O481" s="3" t="s">
        <v>50</v>
      </c>
      <c r="P481" s="3">
        <v>2</v>
      </c>
      <c r="Q481" s="3" t="s">
        <v>51</v>
      </c>
      <c r="R481" s="3" t="s">
        <v>52</v>
      </c>
      <c r="S481" s="3" t="str">
        <f t="shared" si="126"/>
        <v>No</v>
      </c>
      <c r="T481" s="3" t="str">
        <f t="shared" si="129"/>
        <v>dxAC_equip</v>
      </c>
      <c r="U481" s="3" t="str">
        <f t="shared" si="130"/>
        <v>dxAC_equip</v>
      </c>
      <c r="V481" s="3" t="s">
        <v>111</v>
      </c>
      <c r="W481" s="3" t="s">
        <v>235</v>
      </c>
      <c r="X481" s="3" t="s">
        <v>111</v>
      </c>
      <c r="Y481" s="3" t="s">
        <v>235</v>
      </c>
      <c r="Z481" s="3" t="s">
        <v>251</v>
      </c>
      <c r="AA481" s="3" t="s">
        <v>55</v>
      </c>
      <c r="AB481" s="3" t="s">
        <v>56</v>
      </c>
      <c r="AC481" s="3" t="s">
        <v>215</v>
      </c>
    </row>
    <row r="482" spans="1:29" s="3" customFormat="1" x14ac:dyDescent="0.25">
      <c r="A482" s="3" t="s">
        <v>0</v>
      </c>
      <c r="B482" s="3" t="s">
        <v>10675</v>
      </c>
      <c r="C482" s="3" t="s">
        <v>10659</v>
      </c>
      <c r="D482" s="3" t="str">
        <f t="shared" si="132"/>
        <v>SWHC049-03 SEER Rated AC/HP_DMo</v>
      </c>
      <c r="F482" s="3" t="s">
        <v>252</v>
      </c>
      <c r="G482" s="3" t="str">
        <f t="shared" si="135"/>
        <v>RE-HV-AC-Splt-45to65kBtuh-S17p0</v>
      </c>
      <c r="H482" s="3" t="s">
        <v>247</v>
      </c>
      <c r="I482" s="3" t="s">
        <v>248</v>
      </c>
      <c r="J482" s="3" t="s">
        <v>253</v>
      </c>
      <c r="K482" s="32" t="s">
        <v>210</v>
      </c>
      <c r="L482" s="32" t="s">
        <v>250</v>
      </c>
      <c r="M482" s="32" t="s">
        <v>218</v>
      </c>
      <c r="N482" s="3" t="str">
        <f t="shared" si="127"/>
        <v>DMo&amp;0&amp;rDXGF&amp;Ex&amp;dxAC_equip</v>
      </c>
      <c r="O482" s="3" t="s">
        <v>62</v>
      </c>
      <c r="P482" s="3">
        <v>0</v>
      </c>
      <c r="Q482" s="3" t="s">
        <v>51</v>
      </c>
      <c r="R482" s="3" t="s">
        <v>52</v>
      </c>
      <c r="S482" s="3" t="str">
        <f t="shared" si="126"/>
        <v>No</v>
      </c>
      <c r="T482" s="3" t="str">
        <f t="shared" si="129"/>
        <v>dxAC_equip</v>
      </c>
      <c r="U482" s="3" t="str">
        <f t="shared" si="130"/>
        <v>dxAC_equip</v>
      </c>
      <c r="V482" s="3" t="s">
        <v>111</v>
      </c>
      <c r="W482" s="3" t="s">
        <v>235</v>
      </c>
      <c r="X482" s="3" t="s">
        <v>111</v>
      </c>
      <c r="Y482" s="3" t="s">
        <v>235</v>
      </c>
      <c r="Z482" s="3" t="s">
        <v>251</v>
      </c>
      <c r="AA482" s="3" t="s">
        <v>55</v>
      </c>
      <c r="AB482" s="3" t="s">
        <v>56</v>
      </c>
      <c r="AC482" s="3" t="s">
        <v>215</v>
      </c>
    </row>
    <row r="483" spans="1:29" s="3" customFormat="1" x14ac:dyDescent="0.25">
      <c r="A483" s="3" t="s">
        <v>0</v>
      </c>
      <c r="B483" s="3" t="s">
        <v>10675</v>
      </c>
      <c r="C483" s="3" t="s">
        <v>10659</v>
      </c>
      <c r="D483" s="3" t="str">
        <f t="shared" si="132"/>
        <v>SWHC049-03 SEER Rated AC/HP_MFm</v>
      </c>
      <c r="F483" s="3" t="s">
        <v>252</v>
      </c>
      <c r="G483" s="3" t="str">
        <f t="shared" si="135"/>
        <v>RE-HV-AC-Splt-45to65kBtuh-S17p0</v>
      </c>
      <c r="H483" s="3" t="s">
        <v>247</v>
      </c>
      <c r="I483" s="3" t="s">
        <v>248</v>
      </c>
      <c r="J483" s="3" t="s">
        <v>253</v>
      </c>
      <c r="K483" s="32" t="s">
        <v>210</v>
      </c>
      <c r="L483" s="32" t="s">
        <v>250</v>
      </c>
      <c r="M483" s="32" t="s">
        <v>218</v>
      </c>
      <c r="N483" s="3" t="str">
        <f t="shared" si="127"/>
        <v>MFm&amp;0&amp;rDXGF&amp;Ex&amp;dxAC_equip</v>
      </c>
      <c r="O483" s="3" t="s">
        <v>63</v>
      </c>
      <c r="P483" s="3">
        <v>0</v>
      </c>
      <c r="Q483" s="3" t="s">
        <v>51</v>
      </c>
      <c r="R483" s="3" t="s">
        <v>52</v>
      </c>
      <c r="S483" s="3" t="str">
        <f t="shared" si="126"/>
        <v>No</v>
      </c>
      <c r="T483" s="3" t="str">
        <f t="shared" si="129"/>
        <v>dxAC_equip</v>
      </c>
      <c r="U483" s="3" t="str">
        <f t="shared" si="130"/>
        <v>dxAC_equip</v>
      </c>
      <c r="V483" s="3" t="s">
        <v>111</v>
      </c>
      <c r="W483" s="3" t="s">
        <v>235</v>
      </c>
      <c r="X483" s="3" t="s">
        <v>111</v>
      </c>
      <c r="Y483" s="3" t="s">
        <v>235</v>
      </c>
      <c r="Z483" s="3" t="s">
        <v>251</v>
      </c>
      <c r="AA483" s="3" t="s">
        <v>55</v>
      </c>
      <c r="AB483" s="3" t="s">
        <v>56</v>
      </c>
      <c r="AC483" s="3" t="s">
        <v>215</v>
      </c>
    </row>
    <row r="484" spans="1:29" s="3" customFormat="1" x14ac:dyDescent="0.25">
      <c r="A484" s="3" t="s">
        <v>0</v>
      </c>
      <c r="B484" s="3" t="s">
        <v>10675</v>
      </c>
      <c r="C484" s="3" t="s">
        <v>10659</v>
      </c>
      <c r="D484" s="3" t="str">
        <f t="shared" si="132"/>
        <v>SWHC049-03 SEER Rated AC/HP_SFm</v>
      </c>
      <c r="F484" s="3" t="s">
        <v>252</v>
      </c>
      <c r="G484" s="3" t="str">
        <f t="shared" si="135"/>
        <v>RE-HV-AC-Splt-45to65kBtuh-S17p0</v>
      </c>
      <c r="H484" s="3" t="s">
        <v>247</v>
      </c>
      <c r="I484" s="3" t="s">
        <v>248</v>
      </c>
      <c r="J484" s="3" t="s">
        <v>253</v>
      </c>
      <c r="K484" s="32" t="s">
        <v>210</v>
      </c>
      <c r="L484" s="32" t="s">
        <v>250</v>
      </c>
      <c r="M484" s="32" t="s">
        <v>218</v>
      </c>
      <c r="N484" s="3" t="str">
        <f t="shared" si="127"/>
        <v>SFm&amp;1&amp;rDXGF&amp;New&amp;dxAC_equip</v>
      </c>
      <c r="O484" s="3" t="s">
        <v>50</v>
      </c>
      <c r="P484" s="3">
        <v>1</v>
      </c>
      <c r="Q484" s="3" t="s">
        <v>51</v>
      </c>
      <c r="R484" s="3" t="s">
        <v>107</v>
      </c>
      <c r="S484" s="3" t="str">
        <f t="shared" si="126"/>
        <v>No</v>
      </c>
      <c r="T484" s="3" t="str">
        <f t="shared" si="129"/>
        <v>dxAC_equip</v>
      </c>
      <c r="U484" s="3" t="str">
        <f t="shared" si="130"/>
        <v>dxAC_equip</v>
      </c>
      <c r="V484" s="3" t="s">
        <v>111</v>
      </c>
      <c r="W484" s="3" t="s">
        <v>235</v>
      </c>
      <c r="X484" s="3" t="s">
        <v>111</v>
      </c>
      <c r="Y484" s="3" t="s">
        <v>235</v>
      </c>
      <c r="Z484" s="3" t="s">
        <v>251</v>
      </c>
      <c r="AA484" s="3" t="s">
        <v>55</v>
      </c>
      <c r="AB484" s="3" t="s">
        <v>56</v>
      </c>
      <c r="AC484" s="3" t="s">
        <v>215</v>
      </c>
    </row>
    <row r="485" spans="1:29" s="3" customFormat="1" x14ac:dyDescent="0.25">
      <c r="A485" s="3" t="s">
        <v>0</v>
      </c>
      <c r="B485" s="3" t="s">
        <v>10675</v>
      </c>
      <c r="C485" s="3" t="s">
        <v>10659</v>
      </c>
      <c r="D485" s="3" t="str">
        <f t="shared" si="132"/>
        <v>SWHC049-03 SEER Rated AC/HP_SFm</v>
      </c>
      <c r="F485" s="3" t="s">
        <v>252</v>
      </c>
      <c r="G485" s="3" t="str">
        <f t="shared" si="135"/>
        <v>RE-HV-AC-Splt-45to65kBtuh-S17p0</v>
      </c>
      <c r="H485" s="3" t="s">
        <v>247</v>
      </c>
      <c r="I485" s="3" t="s">
        <v>248</v>
      </c>
      <c r="J485" s="3" t="s">
        <v>253</v>
      </c>
      <c r="K485" s="32" t="s">
        <v>210</v>
      </c>
      <c r="L485" s="32" t="s">
        <v>250</v>
      </c>
      <c r="M485" s="32" t="s">
        <v>218</v>
      </c>
      <c r="N485" s="3" t="str">
        <f t="shared" si="127"/>
        <v>SFm&amp;2&amp;rDXGF&amp;New&amp;dxAC_equip</v>
      </c>
      <c r="O485" s="3" t="s">
        <v>50</v>
      </c>
      <c r="P485" s="3">
        <v>2</v>
      </c>
      <c r="Q485" s="3" t="s">
        <v>51</v>
      </c>
      <c r="R485" s="3" t="s">
        <v>107</v>
      </c>
      <c r="S485" s="3" t="str">
        <f t="shared" si="126"/>
        <v>No</v>
      </c>
      <c r="T485" s="3" t="str">
        <f t="shared" si="129"/>
        <v>dxAC_equip</v>
      </c>
      <c r="U485" s="3" t="str">
        <f t="shared" si="130"/>
        <v>dxAC_equip</v>
      </c>
      <c r="V485" s="3" t="s">
        <v>111</v>
      </c>
      <c r="W485" s="3" t="s">
        <v>235</v>
      </c>
      <c r="X485" s="3" t="s">
        <v>111</v>
      </c>
      <c r="Y485" s="3" t="s">
        <v>235</v>
      </c>
      <c r="Z485" s="3" t="s">
        <v>251</v>
      </c>
      <c r="AA485" s="3" t="s">
        <v>55</v>
      </c>
      <c r="AB485" s="3" t="s">
        <v>56</v>
      </c>
      <c r="AC485" s="3" t="s">
        <v>215</v>
      </c>
    </row>
    <row r="486" spans="1:29" s="3" customFormat="1" x14ac:dyDescent="0.25">
      <c r="A486" s="3" t="s">
        <v>0</v>
      </c>
      <c r="B486" s="3" t="s">
        <v>10675</v>
      </c>
      <c r="C486" s="3" t="s">
        <v>10659</v>
      </c>
      <c r="D486" s="3" t="str">
        <f t="shared" si="132"/>
        <v>SWHC049-03 SEER Rated AC/HP_DMo</v>
      </c>
      <c r="F486" s="3" t="s">
        <v>252</v>
      </c>
      <c r="G486" s="3" t="str">
        <f t="shared" si="135"/>
        <v>RE-HV-AC-Splt-45to65kBtuh-S17p0</v>
      </c>
      <c r="H486" s="3" t="s">
        <v>247</v>
      </c>
      <c r="I486" s="3" t="s">
        <v>248</v>
      </c>
      <c r="J486" s="3" t="s">
        <v>253</v>
      </c>
      <c r="K486" s="32" t="s">
        <v>210</v>
      </c>
      <c r="L486" s="32" t="s">
        <v>250</v>
      </c>
      <c r="M486" s="32" t="s">
        <v>218</v>
      </c>
      <c r="N486" s="3" t="str">
        <f t="shared" si="127"/>
        <v>DMo&amp;0&amp;rDXGF&amp;New&amp;dxAC_equip</v>
      </c>
      <c r="O486" s="3" t="s">
        <v>62</v>
      </c>
      <c r="P486" s="3">
        <v>0</v>
      </c>
      <c r="Q486" s="3" t="s">
        <v>51</v>
      </c>
      <c r="R486" s="3" t="s">
        <v>107</v>
      </c>
      <c r="S486" s="3" t="str">
        <f t="shared" si="126"/>
        <v>No</v>
      </c>
      <c r="T486" s="3" t="str">
        <f t="shared" si="129"/>
        <v>dxAC_equip</v>
      </c>
      <c r="U486" s="3" t="str">
        <f t="shared" si="130"/>
        <v>dxAC_equip</v>
      </c>
      <c r="V486" s="3" t="s">
        <v>111</v>
      </c>
      <c r="W486" s="3" t="s">
        <v>235</v>
      </c>
      <c r="X486" s="3" t="s">
        <v>111</v>
      </c>
      <c r="Y486" s="3" t="s">
        <v>235</v>
      </c>
      <c r="Z486" s="3" t="s">
        <v>251</v>
      </c>
      <c r="AA486" s="3" t="s">
        <v>55</v>
      </c>
      <c r="AB486" s="3" t="s">
        <v>56</v>
      </c>
      <c r="AC486" s="3" t="s">
        <v>215</v>
      </c>
    </row>
    <row r="487" spans="1:29" s="3" customFormat="1" x14ac:dyDescent="0.25">
      <c r="A487" s="3" t="s">
        <v>0</v>
      </c>
      <c r="B487" s="3" t="s">
        <v>10675</v>
      </c>
      <c r="C487" s="3" t="s">
        <v>10659</v>
      </c>
      <c r="D487" s="3" t="str">
        <f t="shared" si="132"/>
        <v>SWHC049-03 SEER Rated AC/HP_MFm</v>
      </c>
      <c r="F487" s="3" t="s">
        <v>252</v>
      </c>
      <c r="G487" s="3" t="str">
        <f t="shared" si="135"/>
        <v>RE-HV-AC-Splt-45to65kBtuh-S17p0</v>
      </c>
      <c r="H487" s="3" t="s">
        <v>247</v>
      </c>
      <c r="I487" s="3" t="s">
        <v>248</v>
      </c>
      <c r="J487" s="3" t="s">
        <v>253</v>
      </c>
      <c r="K487" s="32" t="s">
        <v>210</v>
      </c>
      <c r="L487" s="32" t="s">
        <v>250</v>
      </c>
      <c r="M487" s="32" t="s">
        <v>218</v>
      </c>
      <c r="N487" s="3" t="str">
        <f t="shared" si="127"/>
        <v>MFm&amp;0&amp;rDXGF&amp;New&amp;dxAC_equip</v>
      </c>
      <c r="O487" s="3" t="s">
        <v>63</v>
      </c>
      <c r="P487" s="3">
        <v>0</v>
      </c>
      <c r="Q487" s="3" t="s">
        <v>51</v>
      </c>
      <c r="R487" s="3" t="s">
        <v>107</v>
      </c>
      <c r="S487" s="3" t="str">
        <f t="shared" si="126"/>
        <v>No</v>
      </c>
      <c r="T487" s="3" t="str">
        <f t="shared" si="129"/>
        <v>dxAC_equip</v>
      </c>
      <c r="U487" s="3" t="str">
        <f>X487</f>
        <v>dxAC_equip</v>
      </c>
      <c r="V487" s="3" t="s">
        <v>111</v>
      </c>
      <c r="W487" s="3" t="s">
        <v>235</v>
      </c>
      <c r="X487" s="3" t="s">
        <v>111</v>
      </c>
      <c r="Y487" s="3" t="s">
        <v>235</v>
      </c>
      <c r="Z487" s="3" t="s">
        <v>251</v>
      </c>
      <c r="AA487" s="3" t="s">
        <v>55</v>
      </c>
      <c r="AB487" s="3" t="s">
        <v>56</v>
      </c>
      <c r="AC487" s="3" t="s">
        <v>215</v>
      </c>
    </row>
    <row r="488" spans="1:29" s="3" customFormat="1" x14ac:dyDescent="0.25">
      <c r="A488" s="3" t="s">
        <v>0</v>
      </c>
      <c r="B488" s="3" t="s">
        <v>10675</v>
      </c>
      <c r="C488" s="3" t="s">
        <v>10659</v>
      </c>
      <c r="D488" s="3" t="str">
        <f t="shared" si="132"/>
        <v>SWHC049-03 SEER Rated AC/HP_SFm</v>
      </c>
      <c r="F488" s="3" t="s">
        <v>254</v>
      </c>
      <c r="G488" s="3" t="str">
        <f t="shared" si="135"/>
        <v>RE-HV-AC-Splt-45to65kBtuh-S18p0</v>
      </c>
      <c r="H488" s="3" t="s">
        <v>247</v>
      </c>
      <c r="I488" s="3" t="s">
        <v>248</v>
      </c>
      <c r="J488" s="3" t="s">
        <v>255</v>
      </c>
      <c r="K488" s="32" t="s">
        <v>210</v>
      </c>
      <c r="L488" s="32" t="s">
        <v>250</v>
      </c>
      <c r="M488" s="32" t="s">
        <v>221</v>
      </c>
      <c r="N488" s="3" t="str">
        <f t="shared" si="127"/>
        <v>SFm&amp;1&amp;rDXGF&amp;Ex&amp;dxAC_equip</v>
      </c>
      <c r="O488" s="3" t="s">
        <v>50</v>
      </c>
      <c r="P488" s="3">
        <v>1</v>
      </c>
      <c r="Q488" s="3" t="s">
        <v>51</v>
      </c>
      <c r="R488" s="3" t="s">
        <v>52</v>
      </c>
      <c r="S488" s="3" t="str">
        <f t="shared" si="126"/>
        <v>No</v>
      </c>
      <c r="T488" s="3" t="str">
        <f t="shared" si="129"/>
        <v>dxAC_equip</v>
      </c>
      <c r="U488" s="3" t="str">
        <f t="shared" ref="U488:U551" si="136">X488</f>
        <v>dxAC_equip</v>
      </c>
      <c r="V488" s="3" t="s">
        <v>111</v>
      </c>
      <c r="W488" s="3" t="s">
        <v>235</v>
      </c>
      <c r="X488" s="3" t="s">
        <v>111</v>
      </c>
      <c r="Y488" s="3" t="s">
        <v>235</v>
      </c>
      <c r="Z488" s="3" t="s">
        <v>251</v>
      </c>
      <c r="AA488" s="3" t="s">
        <v>55</v>
      </c>
      <c r="AB488" s="3" t="s">
        <v>56</v>
      </c>
      <c r="AC488" s="3" t="s">
        <v>215</v>
      </c>
    </row>
    <row r="489" spans="1:29" s="3" customFormat="1" x14ac:dyDescent="0.25">
      <c r="A489" s="3" t="s">
        <v>0</v>
      </c>
      <c r="B489" s="3" t="s">
        <v>10675</v>
      </c>
      <c r="C489" s="3" t="s">
        <v>10659</v>
      </c>
      <c r="D489" s="3" t="str">
        <f t="shared" si="132"/>
        <v>SWHC049-03 SEER Rated AC/HP_SFm</v>
      </c>
      <c r="F489" s="3" t="s">
        <v>254</v>
      </c>
      <c r="G489" s="3" t="str">
        <f t="shared" si="135"/>
        <v>RE-HV-AC-Splt-45to65kBtuh-S18p0</v>
      </c>
      <c r="H489" s="3" t="s">
        <v>247</v>
      </c>
      <c r="I489" s="3" t="s">
        <v>248</v>
      </c>
      <c r="J489" s="3" t="s">
        <v>255</v>
      </c>
      <c r="K489" s="32" t="s">
        <v>210</v>
      </c>
      <c r="L489" s="32" t="s">
        <v>250</v>
      </c>
      <c r="M489" s="32" t="s">
        <v>221</v>
      </c>
      <c r="N489" s="3" t="str">
        <f t="shared" si="127"/>
        <v>SFm&amp;2&amp;rDXGF&amp;Ex&amp;dxAC_equip</v>
      </c>
      <c r="O489" s="3" t="s">
        <v>50</v>
      </c>
      <c r="P489" s="3">
        <v>2</v>
      </c>
      <c r="Q489" s="3" t="s">
        <v>51</v>
      </c>
      <c r="R489" s="3" t="s">
        <v>52</v>
      </c>
      <c r="S489" s="3" t="str">
        <f t="shared" si="126"/>
        <v>No</v>
      </c>
      <c r="T489" s="3" t="str">
        <f t="shared" si="129"/>
        <v>dxAC_equip</v>
      </c>
      <c r="U489" s="3" t="str">
        <f t="shared" si="136"/>
        <v>dxAC_equip</v>
      </c>
      <c r="V489" s="3" t="s">
        <v>111</v>
      </c>
      <c r="W489" s="3" t="s">
        <v>235</v>
      </c>
      <c r="X489" s="3" t="s">
        <v>111</v>
      </c>
      <c r="Y489" s="3" t="s">
        <v>235</v>
      </c>
      <c r="Z489" s="3" t="s">
        <v>251</v>
      </c>
      <c r="AA489" s="3" t="s">
        <v>55</v>
      </c>
      <c r="AB489" s="3" t="s">
        <v>56</v>
      </c>
      <c r="AC489" s="3" t="s">
        <v>215</v>
      </c>
    </row>
    <row r="490" spans="1:29" s="3" customFormat="1" x14ac:dyDescent="0.25">
      <c r="A490" s="3" t="s">
        <v>0</v>
      </c>
      <c r="B490" s="3" t="s">
        <v>10675</v>
      </c>
      <c r="C490" s="3" t="s">
        <v>10659</v>
      </c>
      <c r="D490" s="3" t="str">
        <f t="shared" si="132"/>
        <v>SWHC049-03 SEER Rated AC/HP_DMo</v>
      </c>
      <c r="F490" s="3" t="s">
        <v>254</v>
      </c>
      <c r="G490" s="3" t="str">
        <f t="shared" si="135"/>
        <v>RE-HV-AC-Splt-45to65kBtuh-S18p0</v>
      </c>
      <c r="H490" s="3" t="s">
        <v>247</v>
      </c>
      <c r="I490" s="3" t="s">
        <v>248</v>
      </c>
      <c r="J490" s="3" t="s">
        <v>255</v>
      </c>
      <c r="K490" s="32" t="s">
        <v>210</v>
      </c>
      <c r="L490" s="32" t="s">
        <v>250</v>
      </c>
      <c r="M490" s="32" t="s">
        <v>221</v>
      </c>
      <c r="N490" s="3" t="str">
        <f t="shared" si="127"/>
        <v>DMo&amp;0&amp;rDXGF&amp;Ex&amp;dxAC_equip</v>
      </c>
      <c r="O490" s="3" t="s">
        <v>62</v>
      </c>
      <c r="P490" s="3">
        <v>0</v>
      </c>
      <c r="Q490" s="3" t="s">
        <v>51</v>
      </c>
      <c r="R490" s="3" t="s">
        <v>52</v>
      </c>
      <c r="S490" s="3" t="str">
        <f t="shared" si="126"/>
        <v>No</v>
      </c>
      <c r="T490" s="3" t="str">
        <f t="shared" si="129"/>
        <v>dxAC_equip</v>
      </c>
      <c r="U490" s="3" t="str">
        <f t="shared" si="136"/>
        <v>dxAC_equip</v>
      </c>
      <c r="V490" s="3" t="s">
        <v>111</v>
      </c>
      <c r="W490" s="3" t="s">
        <v>235</v>
      </c>
      <c r="X490" s="3" t="s">
        <v>111</v>
      </c>
      <c r="Y490" s="3" t="s">
        <v>235</v>
      </c>
      <c r="Z490" s="3" t="s">
        <v>251</v>
      </c>
      <c r="AA490" s="3" t="s">
        <v>55</v>
      </c>
      <c r="AB490" s="3" t="s">
        <v>56</v>
      </c>
      <c r="AC490" s="3" t="s">
        <v>215</v>
      </c>
    </row>
    <row r="491" spans="1:29" s="3" customFormat="1" x14ac:dyDescent="0.25">
      <c r="A491" s="3" t="s">
        <v>0</v>
      </c>
      <c r="B491" s="3" t="s">
        <v>10675</v>
      </c>
      <c r="C491" s="3" t="s">
        <v>10659</v>
      </c>
      <c r="D491" s="3" t="str">
        <f t="shared" si="132"/>
        <v>SWHC049-03 SEER Rated AC/HP_MFm</v>
      </c>
      <c r="F491" s="3" t="s">
        <v>254</v>
      </c>
      <c r="G491" s="3" t="str">
        <f t="shared" si="135"/>
        <v>RE-HV-AC-Splt-45to65kBtuh-S18p0</v>
      </c>
      <c r="H491" s="3" t="s">
        <v>247</v>
      </c>
      <c r="I491" s="3" t="s">
        <v>248</v>
      </c>
      <c r="J491" s="3" t="s">
        <v>255</v>
      </c>
      <c r="K491" s="32" t="s">
        <v>210</v>
      </c>
      <c r="L491" s="32" t="s">
        <v>250</v>
      </c>
      <c r="M491" s="32" t="s">
        <v>221</v>
      </c>
      <c r="N491" s="3" t="str">
        <f t="shared" si="127"/>
        <v>MFm&amp;0&amp;rDXGF&amp;Ex&amp;dxAC_equip</v>
      </c>
      <c r="O491" s="3" t="s">
        <v>63</v>
      </c>
      <c r="P491" s="3">
        <v>0</v>
      </c>
      <c r="Q491" s="3" t="s">
        <v>51</v>
      </c>
      <c r="R491" s="3" t="s">
        <v>52</v>
      </c>
      <c r="S491" s="3" t="str">
        <f t="shared" si="126"/>
        <v>No</v>
      </c>
      <c r="T491" s="3" t="str">
        <f t="shared" si="129"/>
        <v>dxAC_equip</v>
      </c>
      <c r="U491" s="3" t="str">
        <f t="shared" si="136"/>
        <v>dxAC_equip</v>
      </c>
      <c r="V491" s="3" t="s">
        <v>111</v>
      </c>
      <c r="W491" s="3" t="s">
        <v>235</v>
      </c>
      <c r="X491" s="3" t="s">
        <v>111</v>
      </c>
      <c r="Y491" s="3" t="s">
        <v>235</v>
      </c>
      <c r="Z491" s="3" t="s">
        <v>251</v>
      </c>
      <c r="AA491" s="3" t="s">
        <v>55</v>
      </c>
      <c r="AB491" s="3" t="s">
        <v>56</v>
      </c>
      <c r="AC491" s="3" t="s">
        <v>215</v>
      </c>
    </row>
    <row r="492" spans="1:29" s="3" customFormat="1" x14ac:dyDescent="0.25">
      <c r="A492" s="3" t="s">
        <v>0</v>
      </c>
      <c r="B492" s="3" t="s">
        <v>10675</v>
      </c>
      <c r="C492" s="3" t="s">
        <v>10659</v>
      </c>
      <c r="D492" s="3" t="str">
        <f t="shared" si="132"/>
        <v>SWHC049-03 SEER Rated AC/HP_SFm</v>
      </c>
      <c r="F492" s="3" t="s">
        <v>254</v>
      </c>
      <c r="G492" s="3" t="str">
        <f t="shared" si="135"/>
        <v>RE-HV-AC-Splt-45to65kBtuh-S18p0</v>
      </c>
      <c r="H492" s="3" t="s">
        <v>247</v>
      </c>
      <c r="I492" s="3" t="s">
        <v>248</v>
      </c>
      <c r="J492" s="3" t="s">
        <v>255</v>
      </c>
      <c r="K492" s="32" t="s">
        <v>210</v>
      </c>
      <c r="L492" s="32" t="s">
        <v>250</v>
      </c>
      <c r="M492" s="32" t="s">
        <v>221</v>
      </c>
      <c r="N492" s="3" t="str">
        <f t="shared" si="127"/>
        <v>SFm&amp;1&amp;rDXGF&amp;New&amp;dxAC_equip</v>
      </c>
      <c r="O492" s="3" t="s">
        <v>50</v>
      </c>
      <c r="P492" s="3">
        <v>1</v>
      </c>
      <c r="Q492" s="3" t="s">
        <v>51</v>
      </c>
      <c r="R492" s="3" t="s">
        <v>107</v>
      </c>
      <c r="S492" s="3" t="str">
        <f t="shared" ref="S492:S555" si="137">IF(T492=U492, "No", "Yes")</f>
        <v>No</v>
      </c>
      <c r="T492" s="3" t="str">
        <f t="shared" si="129"/>
        <v>dxAC_equip</v>
      </c>
      <c r="U492" s="3" t="str">
        <f t="shared" si="136"/>
        <v>dxAC_equip</v>
      </c>
      <c r="V492" s="3" t="s">
        <v>111</v>
      </c>
      <c r="W492" s="3" t="s">
        <v>235</v>
      </c>
      <c r="X492" s="3" t="s">
        <v>111</v>
      </c>
      <c r="Y492" s="3" t="s">
        <v>235</v>
      </c>
      <c r="Z492" s="3" t="s">
        <v>251</v>
      </c>
      <c r="AA492" s="3" t="s">
        <v>55</v>
      </c>
      <c r="AB492" s="3" t="s">
        <v>56</v>
      </c>
      <c r="AC492" s="3" t="s">
        <v>215</v>
      </c>
    </row>
    <row r="493" spans="1:29" s="3" customFormat="1" x14ac:dyDescent="0.25">
      <c r="A493" s="3" t="s">
        <v>0</v>
      </c>
      <c r="B493" s="3" t="s">
        <v>10675</v>
      </c>
      <c r="C493" s="3" t="s">
        <v>10659</v>
      </c>
      <c r="D493" s="3" t="str">
        <f t="shared" si="132"/>
        <v>SWHC049-03 SEER Rated AC/HP_SFm</v>
      </c>
      <c r="F493" s="3" t="s">
        <v>254</v>
      </c>
      <c r="G493" s="3" t="str">
        <f t="shared" si="135"/>
        <v>RE-HV-AC-Splt-45to65kBtuh-S18p0</v>
      </c>
      <c r="H493" s="3" t="s">
        <v>247</v>
      </c>
      <c r="I493" s="3" t="s">
        <v>248</v>
      </c>
      <c r="J493" s="3" t="s">
        <v>255</v>
      </c>
      <c r="K493" s="32" t="s">
        <v>210</v>
      </c>
      <c r="L493" s="32" t="s">
        <v>250</v>
      </c>
      <c r="M493" s="32" t="s">
        <v>221</v>
      </c>
      <c r="N493" s="3" t="str">
        <f t="shared" si="127"/>
        <v>SFm&amp;2&amp;rDXGF&amp;New&amp;dxAC_equip</v>
      </c>
      <c r="O493" s="3" t="s">
        <v>50</v>
      </c>
      <c r="P493" s="3">
        <v>2</v>
      </c>
      <c r="Q493" s="3" t="s">
        <v>51</v>
      </c>
      <c r="R493" s="3" t="s">
        <v>107</v>
      </c>
      <c r="S493" s="3" t="str">
        <f t="shared" si="137"/>
        <v>No</v>
      </c>
      <c r="T493" s="3" t="str">
        <f t="shared" si="129"/>
        <v>dxAC_equip</v>
      </c>
      <c r="U493" s="3" t="str">
        <f t="shared" si="136"/>
        <v>dxAC_equip</v>
      </c>
      <c r="V493" s="3" t="s">
        <v>111</v>
      </c>
      <c r="W493" s="3" t="s">
        <v>235</v>
      </c>
      <c r="X493" s="3" t="s">
        <v>111</v>
      </c>
      <c r="Y493" s="3" t="s">
        <v>235</v>
      </c>
      <c r="Z493" s="3" t="s">
        <v>251</v>
      </c>
      <c r="AA493" s="3" t="s">
        <v>55</v>
      </c>
      <c r="AB493" s="3" t="s">
        <v>56</v>
      </c>
      <c r="AC493" s="3" t="s">
        <v>215</v>
      </c>
    </row>
    <row r="494" spans="1:29" s="3" customFormat="1" x14ac:dyDescent="0.25">
      <c r="A494" s="3" t="s">
        <v>0</v>
      </c>
      <c r="B494" s="3" t="s">
        <v>10675</v>
      </c>
      <c r="C494" s="3" t="s">
        <v>10659</v>
      </c>
      <c r="D494" s="3" t="str">
        <f t="shared" si="132"/>
        <v>SWHC049-03 SEER Rated AC/HP_DMo</v>
      </c>
      <c r="F494" s="3" t="s">
        <v>254</v>
      </c>
      <c r="G494" s="3" t="str">
        <f t="shared" si="135"/>
        <v>RE-HV-AC-Splt-45to65kBtuh-S18p0</v>
      </c>
      <c r="H494" s="3" t="s">
        <v>247</v>
      </c>
      <c r="I494" s="3" t="s">
        <v>248</v>
      </c>
      <c r="J494" s="3" t="s">
        <v>255</v>
      </c>
      <c r="K494" s="32" t="s">
        <v>210</v>
      </c>
      <c r="L494" s="32" t="s">
        <v>250</v>
      </c>
      <c r="M494" s="32" t="s">
        <v>221</v>
      </c>
      <c r="N494" s="3" t="str">
        <f t="shared" si="127"/>
        <v>DMo&amp;0&amp;rDXGF&amp;New&amp;dxAC_equip</v>
      </c>
      <c r="O494" s="3" t="s">
        <v>62</v>
      </c>
      <c r="P494" s="3">
        <v>0</v>
      </c>
      <c r="Q494" s="3" t="s">
        <v>51</v>
      </c>
      <c r="R494" s="3" t="s">
        <v>107</v>
      </c>
      <c r="S494" s="3" t="str">
        <f t="shared" si="137"/>
        <v>No</v>
      </c>
      <c r="T494" s="3" t="str">
        <f t="shared" si="129"/>
        <v>dxAC_equip</v>
      </c>
      <c r="U494" s="3" t="str">
        <f t="shared" si="136"/>
        <v>dxAC_equip</v>
      </c>
      <c r="V494" s="3" t="s">
        <v>111</v>
      </c>
      <c r="W494" s="3" t="s">
        <v>235</v>
      </c>
      <c r="X494" s="3" t="s">
        <v>111</v>
      </c>
      <c r="Y494" s="3" t="s">
        <v>235</v>
      </c>
      <c r="Z494" s="3" t="s">
        <v>251</v>
      </c>
      <c r="AA494" s="3" t="s">
        <v>55</v>
      </c>
      <c r="AB494" s="3" t="s">
        <v>56</v>
      </c>
      <c r="AC494" s="3" t="s">
        <v>215</v>
      </c>
    </row>
    <row r="495" spans="1:29" s="3" customFormat="1" x14ac:dyDescent="0.25">
      <c r="A495" s="3" t="s">
        <v>0</v>
      </c>
      <c r="B495" s="3" t="s">
        <v>10675</v>
      </c>
      <c r="C495" s="3" t="s">
        <v>10659</v>
      </c>
      <c r="D495" s="3" t="str">
        <f t="shared" si="132"/>
        <v>SWHC049-03 SEER Rated AC/HP_MFm</v>
      </c>
      <c r="F495" s="3" t="s">
        <v>254</v>
      </c>
      <c r="G495" s="3" t="str">
        <f t="shared" si="135"/>
        <v>RE-HV-AC-Splt-45to65kBtuh-S18p0</v>
      </c>
      <c r="H495" s="3" t="s">
        <v>247</v>
      </c>
      <c r="I495" s="3" t="s">
        <v>248</v>
      </c>
      <c r="J495" s="3" t="s">
        <v>255</v>
      </c>
      <c r="K495" s="32" t="s">
        <v>210</v>
      </c>
      <c r="L495" s="32" t="s">
        <v>250</v>
      </c>
      <c r="M495" s="32" t="s">
        <v>221</v>
      </c>
      <c r="N495" s="3" t="str">
        <f t="shared" si="127"/>
        <v>MFm&amp;0&amp;rDXGF&amp;New&amp;dxAC_equip</v>
      </c>
      <c r="O495" s="3" t="s">
        <v>63</v>
      </c>
      <c r="P495" s="3">
        <v>0</v>
      </c>
      <c r="Q495" s="3" t="s">
        <v>51</v>
      </c>
      <c r="R495" s="3" t="s">
        <v>107</v>
      </c>
      <c r="S495" s="3" t="str">
        <f t="shared" si="137"/>
        <v>No</v>
      </c>
      <c r="T495" s="3" t="str">
        <f t="shared" si="129"/>
        <v>dxAC_equip</v>
      </c>
      <c r="U495" s="3" t="str">
        <f t="shared" si="136"/>
        <v>dxAC_equip</v>
      </c>
      <c r="V495" s="3" t="s">
        <v>111</v>
      </c>
      <c r="W495" s="3" t="s">
        <v>235</v>
      </c>
      <c r="X495" s="3" t="s">
        <v>111</v>
      </c>
      <c r="Y495" s="3" t="s">
        <v>235</v>
      </c>
      <c r="Z495" s="3" t="s">
        <v>251</v>
      </c>
      <c r="AA495" s="3" t="s">
        <v>55</v>
      </c>
      <c r="AB495" s="3" t="s">
        <v>56</v>
      </c>
      <c r="AC495" s="3" t="s">
        <v>215</v>
      </c>
    </row>
    <row r="496" spans="1:29" s="3" customFormat="1" x14ac:dyDescent="0.25">
      <c r="A496" s="3" t="s">
        <v>0</v>
      </c>
      <c r="B496" s="3" t="s">
        <v>10675</v>
      </c>
      <c r="C496" s="3" t="s">
        <v>10659</v>
      </c>
      <c r="D496" s="3" t="str">
        <f t="shared" si="132"/>
        <v>SWHC049-03 SEER Rated AC/HP_SFm</v>
      </c>
      <c r="F496" s="3" t="s">
        <v>256</v>
      </c>
      <c r="G496" s="3" t="str">
        <f t="shared" si="135"/>
        <v>RE-HV-AC-Splt-45to65kBtuh-S19p0</v>
      </c>
      <c r="H496" s="3" t="s">
        <v>247</v>
      </c>
      <c r="I496" s="3" t="s">
        <v>248</v>
      </c>
      <c r="J496" s="3" t="s">
        <v>257</v>
      </c>
      <c r="K496" s="32" t="s">
        <v>210</v>
      </c>
      <c r="L496" s="32" t="s">
        <v>250</v>
      </c>
      <c r="M496" s="32" t="s">
        <v>224</v>
      </c>
      <c r="N496" s="3" t="str">
        <f t="shared" si="127"/>
        <v>SFm&amp;1&amp;rDXGF&amp;Ex&amp;dxAC_equip</v>
      </c>
      <c r="O496" s="3" t="s">
        <v>50</v>
      </c>
      <c r="P496" s="3">
        <v>1</v>
      </c>
      <c r="Q496" s="3" t="s">
        <v>51</v>
      </c>
      <c r="R496" s="3" t="s">
        <v>52</v>
      </c>
      <c r="S496" s="3" t="str">
        <f t="shared" si="137"/>
        <v>No</v>
      </c>
      <c r="T496" s="3" t="str">
        <f t="shared" si="129"/>
        <v>dxAC_equip</v>
      </c>
      <c r="U496" s="3" t="str">
        <f t="shared" si="136"/>
        <v>dxAC_equip</v>
      </c>
      <c r="V496" s="3" t="s">
        <v>111</v>
      </c>
      <c r="W496" s="3" t="s">
        <v>235</v>
      </c>
      <c r="X496" s="3" t="s">
        <v>111</v>
      </c>
      <c r="Y496" s="3" t="s">
        <v>235</v>
      </c>
      <c r="Z496" s="3" t="s">
        <v>251</v>
      </c>
      <c r="AA496" s="3" t="s">
        <v>55</v>
      </c>
      <c r="AB496" s="3" t="s">
        <v>56</v>
      </c>
      <c r="AC496" s="3" t="s">
        <v>215</v>
      </c>
    </row>
    <row r="497" spans="1:29" s="3" customFormat="1" x14ac:dyDescent="0.25">
      <c r="A497" s="3" t="s">
        <v>0</v>
      </c>
      <c r="B497" s="3" t="s">
        <v>10675</v>
      </c>
      <c r="C497" s="3" t="s">
        <v>10659</v>
      </c>
      <c r="D497" s="3" t="str">
        <f t="shared" si="132"/>
        <v>SWHC049-03 SEER Rated AC/HP_SFm</v>
      </c>
      <c r="F497" s="3" t="s">
        <v>256</v>
      </c>
      <c r="G497" s="3" t="str">
        <f t="shared" si="135"/>
        <v>RE-HV-AC-Splt-45to65kBtuh-S19p0</v>
      </c>
      <c r="H497" s="3" t="s">
        <v>247</v>
      </c>
      <c r="I497" s="3" t="s">
        <v>248</v>
      </c>
      <c r="J497" s="3" t="s">
        <v>257</v>
      </c>
      <c r="K497" s="32" t="s">
        <v>210</v>
      </c>
      <c r="L497" s="32" t="s">
        <v>250</v>
      </c>
      <c r="M497" s="32" t="s">
        <v>224</v>
      </c>
      <c r="N497" s="3" t="str">
        <f t="shared" si="127"/>
        <v>SFm&amp;2&amp;rDXGF&amp;Ex&amp;dxAC_equip</v>
      </c>
      <c r="O497" s="3" t="s">
        <v>50</v>
      </c>
      <c r="P497" s="3">
        <v>2</v>
      </c>
      <c r="Q497" s="3" t="s">
        <v>51</v>
      </c>
      <c r="R497" s="3" t="s">
        <v>52</v>
      </c>
      <c r="S497" s="3" t="str">
        <f t="shared" si="137"/>
        <v>No</v>
      </c>
      <c r="T497" s="3" t="str">
        <f t="shared" si="129"/>
        <v>dxAC_equip</v>
      </c>
      <c r="U497" s="3" t="str">
        <f t="shared" si="136"/>
        <v>dxAC_equip</v>
      </c>
      <c r="V497" s="3" t="s">
        <v>111</v>
      </c>
      <c r="W497" s="3" t="s">
        <v>235</v>
      </c>
      <c r="X497" s="3" t="s">
        <v>111</v>
      </c>
      <c r="Y497" s="3" t="s">
        <v>235</v>
      </c>
      <c r="Z497" s="3" t="s">
        <v>251</v>
      </c>
      <c r="AA497" s="3" t="s">
        <v>55</v>
      </c>
      <c r="AB497" s="3" t="s">
        <v>56</v>
      </c>
      <c r="AC497" s="3" t="s">
        <v>215</v>
      </c>
    </row>
    <row r="498" spans="1:29" s="3" customFormat="1" x14ac:dyDescent="0.25">
      <c r="A498" s="3" t="s">
        <v>0</v>
      </c>
      <c r="B498" s="3" t="s">
        <v>10675</v>
      </c>
      <c r="C498" s="3" t="s">
        <v>10659</v>
      </c>
      <c r="D498" s="3" t="str">
        <f t="shared" si="132"/>
        <v>SWHC049-03 SEER Rated AC/HP_DMo</v>
      </c>
      <c r="F498" s="3" t="s">
        <v>256</v>
      </c>
      <c r="G498" s="3" t="str">
        <f t="shared" si="135"/>
        <v>RE-HV-AC-Splt-45to65kBtuh-S19p0</v>
      </c>
      <c r="H498" s="3" t="s">
        <v>247</v>
      </c>
      <c r="I498" s="3" t="s">
        <v>248</v>
      </c>
      <c r="J498" s="3" t="s">
        <v>257</v>
      </c>
      <c r="K498" s="32" t="s">
        <v>210</v>
      </c>
      <c r="L498" s="32" t="s">
        <v>250</v>
      </c>
      <c r="M498" s="32" t="s">
        <v>224</v>
      </c>
      <c r="N498" s="3" t="str">
        <f t="shared" ref="N498:N561" si="138">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37"/>
        <v>No</v>
      </c>
      <c r="T498" s="3" t="str">
        <f t="shared" si="129"/>
        <v>dxAC_equip</v>
      </c>
      <c r="U498" s="3" t="str">
        <f t="shared" si="136"/>
        <v>dxAC_equip</v>
      </c>
      <c r="V498" s="3" t="s">
        <v>111</v>
      </c>
      <c r="W498" s="3" t="s">
        <v>235</v>
      </c>
      <c r="X498" s="3" t="s">
        <v>111</v>
      </c>
      <c r="Y498" s="3" t="s">
        <v>235</v>
      </c>
      <c r="Z498" s="3" t="s">
        <v>251</v>
      </c>
      <c r="AA498" s="3" t="s">
        <v>55</v>
      </c>
      <c r="AB498" s="3" t="s">
        <v>56</v>
      </c>
      <c r="AC498" s="3" t="s">
        <v>215</v>
      </c>
    </row>
    <row r="499" spans="1:29" s="3" customFormat="1" x14ac:dyDescent="0.25">
      <c r="A499" s="3" t="s">
        <v>0</v>
      </c>
      <c r="B499" s="3" t="s">
        <v>10675</v>
      </c>
      <c r="C499" s="3" t="s">
        <v>10659</v>
      </c>
      <c r="D499" s="3" t="str">
        <f t="shared" si="132"/>
        <v>SWHC049-03 SEER Rated AC/HP_MFm</v>
      </c>
      <c r="F499" s="3" t="s">
        <v>256</v>
      </c>
      <c r="G499" s="3" t="str">
        <f t="shared" si="135"/>
        <v>RE-HV-AC-Splt-45to65kBtuh-S19p0</v>
      </c>
      <c r="H499" s="3" t="s">
        <v>247</v>
      </c>
      <c r="I499" s="3" t="s">
        <v>248</v>
      </c>
      <c r="J499" s="3" t="s">
        <v>257</v>
      </c>
      <c r="K499" s="32" t="s">
        <v>210</v>
      </c>
      <c r="L499" s="32" t="s">
        <v>250</v>
      </c>
      <c r="M499" s="32" t="s">
        <v>224</v>
      </c>
      <c r="N499" s="3" t="str">
        <f t="shared" si="138"/>
        <v>MFm&amp;0&amp;rDXGF&amp;Ex&amp;dxAC_equip</v>
      </c>
      <c r="O499" s="3" t="s">
        <v>63</v>
      </c>
      <c r="P499" s="3">
        <v>0</v>
      </c>
      <c r="Q499" s="3" t="s">
        <v>51</v>
      </c>
      <c r="R499" s="3" t="s">
        <v>52</v>
      </c>
      <c r="S499" s="3" t="str">
        <f t="shared" si="137"/>
        <v>No</v>
      </c>
      <c r="T499" s="3" t="str">
        <f t="shared" si="129"/>
        <v>dxAC_equip</v>
      </c>
      <c r="U499" s="3" t="str">
        <f t="shared" si="136"/>
        <v>dxAC_equip</v>
      </c>
      <c r="V499" s="3" t="s">
        <v>111</v>
      </c>
      <c r="W499" s="3" t="s">
        <v>235</v>
      </c>
      <c r="X499" s="3" t="s">
        <v>111</v>
      </c>
      <c r="Y499" s="3" t="s">
        <v>235</v>
      </c>
      <c r="Z499" s="3" t="s">
        <v>251</v>
      </c>
      <c r="AA499" s="3" t="s">
        <v>55</v>
      </c>
      <c r="AB499" s="3" t="s">
        <v>56</v>
      </c>
      <c r="AC499" s="3" t="s">
        <v>215</v>
      </c>
    </row>
    <row r="500" spans="1:29" s="3" customFormat="1" x14ac:dyDescent="0.25">
      <c r="A500" s="3" t="s">
        <v>0</v>
      </c>
      <c r="B500" s="3" t="s">
        <v>10675</v>
      </c>
      <c r="C500" s="3" t="s">
        <v>10659</v>
      </c>
      <c r="D500" s="3" t="str">
        <f t="shared" si="132"/>
        <v>SWHC049-03 SEER Rated AC/HP_SFm</v>
      </c>
      <c r="F500" s="3" t="s">
        <v>256</v>
      </c>
      <c r="G500" s="3" t="str">
        <f t="shared" si="135"/>
        <v>RE-HV-AC-Splt-45to65kBtuh-S19p0</v>
      </c>
      <c r="H500" s="3" t="s">
        <v>247</v>
      </c>
      <c r="I500" s="3" t="s">
        <v>248</v>
      </c>
      <c r="J500" s="3" t="s">
        <v>257</v>
      </c>
      <c r="K500" s="32" t="s">
        <v>210</v>
      </c>
      <c r="L500" s="32" t="s">
        <v>250</v>
      </c>
      <c r="M500" s="32" t="s">
        <v>224</v>
      </c>
      <c r="N500" s="3" t="str">
        <f t="shared" si="138"/>
        <v>SFm&amp;1&amp;rDXGF&amp;New&amp;dxAC_equip</v>
      </c>
      <c r="O500" s="3" t="s">
        <v>50</v>
      </c>
      <c r="P500" s="3">
        <v>1</v>
      </c>
      <c r="Q500" s="3" t="s">
        <v>51</v>
      </c>
      <c r="R500" s="3" t="s">
        <v>107</v>
      </c>
      <c r="S500" s="3" t="str">
        <f t="shared" si="137"/>
        <v>No</v>
      </c>
      <c r="T500" s="3" t="str">
        <f t="shared" si="129"/>
        <v>dxAC_equip</v>
      </c>
      <c r="U500" s="3" t="str">
        <f t="shared" si="136"/>
        <v>dxAC_equip</v>
      </c>
      <c r="V500" s="3" t="s">
        <v>111</v>
      </c>
      <c r="W500" s="3" t="s">
        <v>235</v>
      </c>
      <c r="X500" s="3" t="s">
        <v>111</v>
      </c>
      <c r="Y500" s="3" t="s">
        <v>235</v>
      </c>
      <c r="Z500" s="3" t="s">
        <v>251</v>
      </c>
      <c r="AA500" s="3" t="s">
        <v>55</v>
      </c>
      <c r="AB500" s="3" t="s">
        <v>56</v>
      </c>
      <c r="AC500" s="3" t="s">
        <v>215</v>
      </c>
    </row>
    <row r="501" spans="1:29" s="3" customFormat="1" x14ac:dyDescent="0.25">
      <c r="A501" s="3" t="s">
        <v>0</v>
      </c>
      <c r="B501" s="3" t="s">
        <v>10675</v>
      </c>
      <c r="C501" s="3" t="s">
        <v>10659</v>
      </c>
      <c r="D501" s="3" t="str">
        <f t="shared" si="132"/>
        <v>SWHC049-03 SEER Rated AC/HP_SFm</v>
      </c>
      <c r="F501" s="3" t="s">
        <v>256</v>
      </c>
      <c r="G501" s="3" t="str">
        <f t="shared" si="135"/>
        <v>RE-HV-AC-Splt-45to65kBtuh-S19p0</v>
      </c>
      <c r="H501" s="3" t="s">
        <v>247</v>
      </c>
      <c r="I501" s="3" t="s">
        <v>248</v>
      </c>
      <c r="J501" s="3" t="s">
        <v>257</v>
      </c>
      <c r="K501" s="32" t="s">
        <v>210</v>
      </c>
      <c r="L501" s="32" t="s">
        <v>250</v>
      </c>
      <c r="M501" s="32" t="s">
        <v>224</v>
      </c>
      <c r="N501" s="3" t="str">
        <f t="shared" si="138"/>
        <v>SFm&amp;2&amp;rDXGF&amp;New&amp;dxAC_equip</v>
      </c>
      <c r="O501" s="3" t="s">
        <v>50</v>
      </c>
      <c r="P501" s="3">
        <v>2</v>
      </c>
      <c r="Q501" s="3" t="s">
        <v>51</v>
      </c>
      <c r="R501" s="3" t="s">
        <v>107</v>
      </c>
      <c r="S501" s="3" t="str">
        <f t="shared" si="137"/>
        <v>No</v>
      </c>
      <c r="T501" s="3" t="str">
        <f t="shared" si="129"/>
        <v>dxAC_equip</v>
      </c>
      <c r="U501" s="3" t="str">
        <f t="shared" si="136"/>
        <v>dxAC_equip</v>
      </c>
      <c r="V501" s="3" t="s">
        <v>111</v>
      </c>
      <c r="W501" s="3" t="s">
        <v>235</v>
      </c>
      <c r="X501" s="3" t="s">
        <v>111</v>
      </c>
      <c r="Y501" s="3" t="s">
        <v>235</v>
      </c>
      <c r="Z501" s="3" t="s">
        <v>251</v>
      </c>
      <c r="AA501" s="3" t="s">
        <v>55</v>
      </c>
      <c r="AB501" s="3" t="s">
        <v>56</v>
      </c>
      <c r="AC501" s="3" t="s">
        <v>215</v>
      </c>
    </row>
    <row r="502" spans="1:29" s="3" customFormat="1" x14ac:dyDescent="0.25">
      <c r="A502" s="3" t="s">
        <v>0</v>
      </c>
      <c r="B502" s="3" t="s">
        <v>10675</v>
      </c>
      <c r="C502" s="3" t="s">
        <v>10659</v>
      </c>
      <c r="D502" s="3" t="str">
        <f t="shared" si="132"/>
        <v>SWHC049-03 SEER Rated AC/HP_DMo</v>
      </c>
      <c r="F502" s="3" t="s">
        <v>256</v>
      </c>
      <c r="G502" s="3" t="str">
        <f t="shared" si="135"/>
        <v>RE-HV-AC-Splt-45to65kBtuh-S19p0</v>
      </c>
      <c r="H502" s="3" t="s">
        <v>247</v>
      </c>
      <c r="I502" s="3" t="s">
        <v>248</v>
      </c>
      <c r="J502" s="3" t="s">
        <v>257</v>
      </c>
      <c r="K502" s="32" t="s">
        <v>210</v>
      </c>
      <c r="L502" s="32" t="s">
        <v>250</v>
      </c>
      <c r="M502" s="32" t="s">
        <v>224</v>
      </c>
      <c r="N502" s="3" t="str">
        <f t="shared" si="138"/>
        <v>DMo&amp;0&amp;rDXGF&amp;New&amp;dxAC_equip</v>
      </c>
      <c r="O502" s="3" t="s">
        <v>62</v>
      </c>
      <c r="P502" s="3">
        <v>0</v>
      </c>
      <c r="Q502" s="3" t="s">
        <v>51</v>
      </c>
      <c r="R502" s="3" t="s">
        <v>107</v>
      </c>
      <c r="S502" s="3" t="str">
        <f t="shared" si="137"/>
        <v>No</v>
      </c>
      <c r="T502" s="3" t="str">
        <f t="shared" si="129"/>
        <v>dxAC_equip</v>
      </c>
      <c r="U502" s="3" t="str">
        <f t="shared" si="136"/>
        <v>dxAC_equip</v>
      </c>
      <c r="V502" s="3" t="s">
        <v>111</v>
      </c>
      <c r="W502" s="3" t="s">
        <v>235</v>
      </c>
      <c r="X502" s="3" t="s">
        <v>111</v>
      </c>
      <c r="Y502" s="3" t="s">
        <v>235</v>
      </c>
      <c r="Z502" s="3" t="s">
        <v>251</v>
      </c>
      <c r="AA502" s="3" t="s">
        <v>55</v>
      </c>
      <c r="AB502" s="3" t="s">
        <v>56</v>
      </c>
      <c r="AC502" s="3" t="s">
        <v>215</v>
      </c>
    </row>
    <row r="503" spans="1:29" s="3" customFormat="1" x14ac:dyDescent="0.25">
      <c r="A503" s="3" t="s">
        <v>0</v>
      </c>
      <c r="B503" s="3" t="s">
        <v>10675</v>
      </c>
      <c r="C503" s="3" t="s">
        <v>10659</v>
      </c>
      <c r="D503" s="3" t="str">
        <f t="shared" si="132"/>
        <v>SWHC049-03 SEER Rated AC/HP_MFm</v>
      </c>
      <c r="F503" s="3" t="s">
        <v>256</v>
      </c>
      <c r="G503" s="3" t="str">
        <f t="shared" si="135"/>
        <v>RE-HV-AC-Splt-45to65kBtuh-S19p0</v>
      </c>
      <c r="H503" s="3" t="s">
        <v>247</v>
      </c>
      <c r="I503" s="3" t="s">
        <v>248</v>
      </c>
      <c r="J503" s="3" t="s">
        <v>257</v>
      </c>
      <c r="K503" s="32" t="s">
        <v>210</v>
      </c>
      <c r="L503" s="32" t="s">
        <v>250</v>
      </c>
      <c r="M503" s="32" t="s">
        <v>224</v>
      </c>
      <c r="N503" s="3" t="str">
        <f t="shared" si="138"/>
        <v>MFm&amp;0&amp;rDXGF&amp;New&amp;dxAC_equip</v>
      </c>
      <c r="O503" s="3" t="s">
        <v>63</v>
      </c>
      <c r="P503" s="3">
        <v>0</v>
      </c>
      <c r="Q503" s="3" t="s">
        <v>51</v>
      </c>
      <c r="R503" s="3" t="s">
        <v>107</v>
      </c>
      <c r="S503" s="3" t="str">
        <f t="shared" si="137"/>
        <v>No</v>
      </c>
      <c r="T503" s="3" t="str">
        <f t="shared" si="129"/>
        <v>dxAC_equip</v>
      </c>
      <c r="U503" s="3" t="str">
        <f t="shared" si="136"/>
        <v>dxAC_equip</v>
      </c>
      <c r="V503" s="3" t="s">
        <v>111</v>
      </c>
      <c r="W503" s="3" t="s">
        <v>235</v>
      </c>
      <c r="X503" s="3" t="s">
        <v>111</v>
      </c>
      <c r="Y503" s="3" t="s">
        <v>235</v>
      </c>
      <c r="Z503" s="3" t="s">
        <v>251</v>
      </c>
      <c r="AA503" s="3" t="s">
        <v>55</v>
      </c>
      <c r="AB503" s="3" t="s">
        <v>56</v>
      </c>
      <c r="AC503" s="3" t="s">
        <v>215</v>
      </c>
    </row>
    <row r="504" spans="1:29" s="3" customFormat="1" x14ac:dyDescent="0.25">
      <c r="A504" s="3" t="s">
        <v>0</v>
      </c>
      <c r="B504" s="3" t="s">
        <v>10675</v>
      </c>
      <c r="C504" s="3" t="s">
        <v>10659</v>
      </c>
      <c r="D504" s="3" t="str">
        <f t="shared" si="132"/>
        <v>SWHC049-03 SEER Rated AC/HP_SFm</v>
      </c>
      <c r="F504" s="3" t="s">
        <v>258</v>
      </c>
      <c r="G504" s="3" t="str">
        <f t="shared" si="135"/>
        <v>RE-HV-AC-Splt-45to65kBtuh-S20p0</v>
      </c>
      <c r="H504" s="3" t="s">
        <v>247</v>
      </c>
      <c r="I504" s="3" t="s">
        <v>248</v>
      </c>
      <c r="J504" s="3" t="s">
        <v>7</v>
      </c>
      <c r="K504" s="32" t="s">
        <v>210</v>
      </c>
      <c r="L504" s="32" t="s">
        <v>250</v>
      </c>
      <c r="M504" s="32" t="s">
        <v>226</v>
      </c>
      <c r="N504" s="3" t="str">
        <f t="shared" si="138"/>
        <v>SFm&amp;1&amp;rDXGF&amp;Ex&amp;dxAC_equip</v>
      </c>
      <c r="O504" s="3" t="s">
        <v>50</v>
      </c>
      <c r="P504" s="3">
        <v>1</v>
      </c>
      <c r="Q504" s="3" t="s">
        <v>51</v>
      </c>
      <c r="R504" s="3" t="s">
        <v>52</v>
      </c>
      <c r="S504" s="3" t="str">
        <f t="shared" si="137"/>
        <v>No</v>
      </c>
      <c r="T504" s="3" t="str">
        <f t="shared" si="129"/>
        <v>dxAC_equip</v>
      </c>
      <c r="U504" s="3" t="str">
        <f t="shared" si="136"/>
        <v>dxAC_equip</v>
      </c>
      <c r="V504" s="3" t="s">
        <v>111</v>
      </c>
      <c r="W504" s="3" t="s">
        <v>235</v>
      </c>
      <c r="X504" s="3" t="s">
        <v>111</v>
      </c>
      <c r="Y504" s="3" t="s">
        <v>235</v>
      </c>
      <c r="Z504" s="3" t="s">
        <v>251</v>
      </c>
      <c r="AA504" s="3" t="s">
        <v>55</v>
      </c>
      <c r="AB504" s="3" t="s">
        <v>56</v>
      </c>
      <c r="AC504" s="3" t="s">
        <v>215</v>
      </c>
    </row>
    <row r="505" spans="1:29" s="3" customFormat="1" x14ac:dyDescent="0.25">
      <c r="A505" s="3" t="s">
        <v>0</v>
      </c>
      <c r="B505" s="3" t="s">
        <v>10675</v>
      </c>
      <c r="C505" s="3" t="s">
        <v>10659</v>
      </c>
      <c r="D505" s="3" t="str">
        <f t="shared" si="132"/>
        <v>SWHC049-03 SEER Rated AC/HP_SFm</v>
      </c>
      <c r="F505" s="3" t="s">
        <v>258</v>
      </c>
      <c r="G505" s="3" t="str">
        <f t="shared" si="135"/>
        <v>RE-HV-AC-Splt-45to65kBtuh-S20p0</v>
      </c>
      <c r="H505" s="3" t="s">
        <v>247</v>
      </c>
      <c r="I505" s="3" t="s">
        <v>248</v>
      </c>
      <c r="J505" s="3" t="s">
        <v>7</v>
      </c>
      <c r="K505" s="32" t="s">
        <v>210</v>
      </c>
      <c r="L505" s="32" t="s">
        <v>250</v>
      </c>
      <c r="M505" s="32" t="s">
        <v>226</v>
      </c>
      <c r="N505" s="3" t="str">
        <f t="shared" si="138"/>
        <v>SFm&amp;2&amp;rDXGF&amp;Ex&amp;dxAC_equip</v>
      </c>
      <c r="O505" s="3" t="s">
        <v>50</v>
      </c>
      <c r="P505" s="3">
        <v>2</v>
      </c>
      <c r="Q505" s="3" t="s">
        <v>51</v>
      </c>
      <c r="R505" s="3" t="s">
        <v>52</v>
      </c>
      <c r="S505" s="3" t="str">
        <f t="shared" si="137"/>
        <v>No</v>
      </c>
      <c r="T505" s="3" t="str">
        <f t="shared" ref="T505:T568" si="139">V505</f>
        <v>dxAC_equip</v>
      </c>
      <c r="U505" s="3" t="str">
        <f t="shared" si="136"/>
        <v>dxAC_equip</v>
      </c>
      <c r="V505" s="3" t="s">
        <v>111</v>
      </c>
      <c r="W505" s="3" t="s">
        <v>235</v>
      </c>
      <c r="X505" s="3" t="s">
        <v>111</v>
      </c>
      <c r="Y505" s="3" t="s">
        <v>235</v>
      </c>
      <c r="Z505" s="3" t="s">
        <v>251</v>
      </c>
      <c r="AA505" s="3" t="s">
        <v>55</v>
      </c>
      <c r="AB505" s="3" t="s">
        <v>56</v>
      </c>
      <c r="AC505" s="3" t="s">
        <v>215</v>
      </c>
    </row>
    <row r="506" spans="1:29" s="3" customFormat="1" x14ac:dyDescent="0.25">
      <c r="A506" s="3" t="s">
        <v>0</v>
      </c>
      <c r="B506" s="3" t="s">
        <v>10675</v>
      </c>
      <c r="C506" s="3" t="s">
        <v>10659</v>
      </c>
      <c r="D506" s="3" t="str">
        <f t="shared" si="132"/>
        <v>SWHC049-03 SEER Rated AC/HP_DMo</v>
      </c>
      <c r="F506" s="3" t="s">
        <v>258</v>
      </c>
      <c r="G506" s="3" t="str">
        <f t="shared" si="135"/>
        <v>RE-HV-AC-Splt-45to65kBtuh-S20p0</v>
      </c>
      <c r="H506" s="3" t="s">
        <v>247</v>
      </c>
      <c r="I506" s="3" t="s">
        <v>248</v>
      </c>
      <c r="J506" s="3" t="s">
        <v>7</v>
      </c>
      <c r="K506" s="32" t="s">
        <v>210</v>
      </c>
      <c r="L506" s="32" t="s">
        <v>250</v>
      </c>
      <c r="M506" s="32" t="s">
        <v>226</v>
      </c>
      <c r="N506" s="3" t="str">
        <f t="shared" si="138"/>
        <v>DMo&amp;0&amp;rDXGF&amp;Ex&amp;dxAC_equip</v>
      </c>
      <c r="O506" s="3" t="s">
        <v>62</v>
      </c>
      <c r="P506" s="3">
        <v>0</v>
      </c>
      <c r="Q506" s="3" t="s">
        <v>51</v>
      </c>
      <c r="R506" s="3" t="s">
        <v>52</v>
      </c>
      <c r="S506" s="3" t="str">
        <f t="shared" si="137"/>
        <v>No</v>
      </c>
      <c r="T506" s="3" t="str">
        <f t="shared" si="139"/>
        <v>dxAC_equip</v>
      </c>
      <c r="U506" s="3" t="str">
        <f t="shared" si="136"/>
        <v>dxAC_equip</v>
      </c>
      <c r="V506" s="3" t="s">
        <v>111</v>
      </c>
      <c r="W506" s="3" t="s">
        <v>235</v>
      </c>
      <c r="X506" s="3" t="s">
        <v>111</v>
      </c>
      <c r="Y506" s="3" t="s">
        <v>235</v>
      </c>
      <c r="Z506" s="3" t="s">
        <v>251</v>
      </c>
      <c r="AA506" s="3" t="s">
        <v>55</v>
      </c>
      <c r="AB506" s="3" t="s">
        <v>56</v>
      </c>
      <c r="AC506" s="3" t="s">
        <v>215</v>
      </c>
    </row>
    <row r="507" spans="1:29" s="3" customFormat="1" x14ac:dyDescent="0.25">
      <c r="A507" s="3" t="s">
        <v>0</v>
      </c>
      <c r="B507" s="3" t="s">
        <v>10675</v>
      </c>
      <c r="C507" s="3" t="s">
        <v>10659</v>
      </c>
      <c r="D507" s="3" t="str">
        <f t="shared" si="132"/>
        <v>SWHC049-03 SEER Rated AC/HP_MFm</v>
      </c>
      <c r="F507" s="3" t="s">
        <v>258</v>
      </c>
      <c r="G507" s="3" t="str">
        <f t="shared" si="135"/>
        <v>RE-HV-AC-Splt-45to65kBtuh-S20p0</v>
      </c>
      <c r="H507" s="3" t="s">
        <v>247</v>
      </c>
      <c r="I507" s="3" t="s">
        <v>248</v>
      </c>
      <c r="J507" s="3" t="s">
        <v>7</v>
      </c>
      <c r="K507" s="32" t="s">
        <v>210</v>
      </c>
      <c r="L507" s="32" t="s">
        <v>250</v>
      </c>
      <c r="M507" s="32" t="s">
        <v>226</v>
      </c>
      <c r="N507" s="3" t="str">
        <f t="shared" si="138"/>
        <v>MFm&amp;0&amp;rDXGF&amp;Ex&amp;dxAC_equip</v>
      </c>
      <c r="O507" s="3" t="s">
        <v>63</v>
      </c>
      <c r="P507" s="3">
        <v>0</v>
      </c>
      <c r="Q507" s="3" t="s">
        <v>51</v>
      </c>
      <c r="R507" s="3" t="s">
        <v>52</v>
      </c>
      <c r="S507" s="3" t="str">
        <f t="shared" si="137"/>
        <v>No</v>
      </c>
      <c r="T507" s="3" t="str">
        <f t="shared" si="139"/>
        <v>dxAC_equip</v>
      </c>
      <c r="U507" s="3" t="str">
        <f t="shared" si="136"/>
        <v>dxAC_equip</v>
      </c>
      <c r="V507" s="3" t="s">
        <v>111</v>
      </c>
      <c r="W507" s="3" t="s">
        <v>235</v>
      </c>
      <c r="X507" s="3" t="s">
        <v>111</v>
      </c>
      <c r="Y507" s="3" t="s">
        <v>235</v>
      </c>
      <c r="Z507" s="3" t="s">
        <v>251</v>
      </c>
      <c r="AA507" s="3" t="s">
        <v>55</v>
      </c>
      <c r="AB507" s="3" t="s">
        <v>56</v>
      </c>
      <c r="AC507" s="3" t="s">
        <v>215</v>
      </c>
    </row>
    <row r="508" spans="1:29" s="3" customFormat="1" x14ac:dyDescent="0.25">
      <c r="A508" s="3" t="s">
        <v>0</v>
      </c>
      <c r="B508" s="3" t="s">
        <v>10675</v>
      </c>
      <c r="C508" s="3" t="s">
        <v>10659</v>
      </c>
      <c r="D508" s="3" t="str">
        <f t="shared" si="132"/>
        <v>SWHC049-03 SEER Rated AC/HP_SFm</v>
      </c>
      <c r="F508" s="3" t="s">
        <v>258</v>
      </c>
      <c r="G508" s="3" t="str">
        <f t="shared" si="135"/>
        <v>RE-HV-AC-Splt-45to65kBtuh-S20p0</v>
      </c>
      <c r="H508" s="3" t="s">
        <v>247</v>
      </c>
      <c r="I508" s="3" t="s">
        <v>248</v>
      </c>
      <c r="J508" s="3" t="s">
        <v>7</v>
      </c>
      <c r="K508" s="32" t="s">
        <v>210</v>
      </c>
      <c r="L508" s="32" t="s">
        <v>250</v>
      </c>
      <c r="M508" s="32" t="s">
        <v>226</v>
      </c>
      <c r="N508" s="3" t="str">
        <f t="shared" si="138"/>
        <v>SFm&amp;1&amp;rDXGF&amp;New&amp;dxAC_equip</v>
      </c>
      <c r="O508" s="3" t="s">
        <v>50</v>
      </c>
      <c r="P508" s="3">
        <v>1</v>
      </c>
      <c r="Q508" s="3" t="s">
        <v>51</v>
      </c>
      <c r="R508" s="3" t="s">
        <v>107</v>
      </c>
      <c r="S508" s="3" t="str">
        <f t="shared" si="137"/>
        <v>No</v>
      </c>
      <c r="T508" s="3" t="str">
        <f t="shared" si="139"/>
        <v>dxAC_equip</v>
      </c>
      <c r="U508" s="3" t="str">
        <f t="shared" si="136"/>
        <v>dxAC_equip</v>
      </c>
      <c r="V508" s="3" t="s">
        <v>111</v>
      </c>
      <c r="W508" s="3" t="s">
        <v>235</v>
      </c>
      <c r="X508" s="3" t="s">
        <v>111</v>
      </c>
      <c r="Y508" s="3" t="s">
        <v>235</v>
      </c>
      <c r="Z508" s="3" t="s">
        <v>251</v>
      </c>
      <c r="AA508" s="3" t="s">
        <v>55</v>
      </c>
      <c r="AB508" s="3" t="s">
        <v>56</v>
      </c>
      <c r="AC508" s="3" t="s">
        <v>215</v>
      </c>
    </row>
    <row r="509" spans="1:29" s="3" customFormat="1" x14ac:dyDescent="0.25">
      <c r="A509" s="3" t="s">
        <v>0</v>
      </c>
      <c r="B509" s="3" t="s">
        <v>10675</v>
      </c>
      <c r="C509" s="3" t="s">
        <v>10659</v>
      </c>
      <c r="D509" s="3" t="str">
        <f t="shared" si="132"/>
        <v>SWHC049-03 SEER Rated AC/HP_SFm</v>
      </c>
      <c r="F509" s="3" t="s">
        <v>258</v>
      </c>
      <c r="G509" s="3" t="str">
        <f t="shared" si="135"/>
        <v>RE-HV-AC-Splt-45to65kBtuh-S20p0</v>
      </c>
      <c r="H509" s="3" t="s">
        <v>247</v>
      </c>
      <c r="I509" s="3" t="s">
        <v>248</v>
      </c>
      <c r="J509" s="3" t="s">
        <v>7</v>
      </c>
      <c r="K509" s="32" t="s">
        <v>210</v>
      </c>
      <c r="L509" s="32" t="s">
        <v>250</v>
      </c>
      <c r="M509" s="32" t="s">
        <v>226</v>
      </c>
      <c r="N509" s="3" t="str">
        <f t="shared" si="138"/>
        <v>SFm&amp;2&amp;rDXGF&amp;New&amp;dxAC_equip</v>
      </c>
      <c r="O509" s="3" t="s">
        <v>50</v>
      </c>
      <c r="P509" s="3">
        <v>2</v>
      </c>
      <c r="Q509" s="3" t="s">
        <v>51</v>
      </c>
      <c r="R509" s="3" t="s">
        <v>107</v>
      </c>
      <c r="S509" s="3" t="str">
        <f t="shared" si="137"/>
        <v>No</v>
      </c>
      <c r="T509" s="3" t="str">
        <f t="shared" si="139"/>
        <v>dxAC_equip</v>
      </c>
      <c r="U509" s="3" t="str">
        <f t="shared" si="136"/>
        <v>dxAC_equip</v>
      </c>
      <c r="V509" s="3" t="s">
        <v>111</v>
      </c>
      <c r="W509" s="3" t="s">
        <v>235</v>
      </c>
      <c r="X509" s="3" t="s">
        <v>111</v>
      </c>
      <c r="Y509" s="3" t="s">
        <v>235</v>
      </c>
      <c r="Z509" s="3" t="s">
        <v>251</v>
      </c>
      <c r="AA509" s="3" t="s">
        <v>55</v>
      </c>
      <c r="AB509" s="3" t="s">
        <v>56</v>
      </c>
      <c r="AC509" s="3" t="s">
        <v>215</v>
      </c>
    </row>
    <row r="510" spans="1:29" s="3" customFormat="1" x14ac:dyDescent="0.25">
      <c r="A510" s="3" t="s">
        <v>0</v>
      </c>
      <c r="B510" s="3" t="s">
        <v>10675</v>
      </c>
      <c r="C510" s="3" t="s">
        <v>10659</v>
      </c>
      <c r="D510" s="3" t="str">
        <f t="shared" si="132"/>
        <v>SWHC049-03 SEER Rated AC/HP_DMo</v>
      </c>
      <c r="F510" s="3" t="s">
        <v>258</v>
      </c>
      <c r="G510" s="3" t="str">
        <f t="shared" si="135"/>
        <v>RE-HV-AC-Splt-45to65kBtuh-S20p0</v>
      </c>
      <c r="H510" s="3" t="s">
        <v>247</v>
      </c>
      <c r="I510" s="3" t="s">
        <v>248</v>
      </c>
      <c r="J510" s="3" t="s">
        <v>7</v>
      </c>
      <c r="K510" s="32" t="s">
        <v>210</v>
      </c>
      <c r="L510" s="32" t="s">
        <v>250</v>
      </c>
      <c r="M510" s="32" t="s">
        <v>226</v>
      </c>
      <c r="N510" s="3" t="str">
        <f t="shared" si="138"/>
        <v>DMo&amp;0&amp;rDXGF&amp;New&amp;dxAC_equip</v>
      </c>
      <c r="O510" s="3" t="s">
        <v>62</v>
      </c>
      <c r="P510" s="3">
        <v>0</v>
      </c>
      <c r="Q510" s="3" t="s">
        <v>51</v>
      </c>
      <c r="R510" s="3" t="s">
        <v>107</v>
      </c>
      <c r="S510" s="3" t="str">
        <f t="shared" si="137"/>
        <v>No</v>
      </c>
      <c r="T510" s="3" t="str">
        <f t="shared" si="139"/>
        <v>dxAC_equip</v>
      </c>
      <c r="U510" s="3" t="str">
        <f t="shared" si="136"/>
        <v>dxAC_equip</v>
      </c>
      <c r="V510" s="3" t="s">
        <v>111</v>
      </c>
      <c r="W510" s="3" t="s">
        <v>235</v>
      </c>
      <c r="X510" s="3" t="s">
        <v>111</v>
      </c>
      <c r="Y510" s="3" t="s">
        <v>235</v>
      </c>
      <c r="Z510" s="3" t="s">
        <v>251</v>
      </c>
      <c r="AA510" s="3" t="s">
        <v>55</v>
      </c>
      <c r="AB510" s="3" t="s">
        <v>56</v>
      </c>
      <c r="AC510" s="3" t="s">
        <v>215</v>
      </c>
    </row>
    <row r="511" spans="1:29" s="3" customFormat="1" x14ac:dyDescent="0.25">
      <c r="A511" s="3" t="s">
        <v>0</v>
      </c>
      <c r="B511" s="3" t="s">
        <v>10675</v>
      </c>
      <c r="C511" s="3" t="s">
        <v>10659</v>
      </c>
      <c r="D511" s="3" t="str">
        <f t="shared" si="132"/>
        <v>SWHC049-03 SEER Rated AC/HP_MFm</v>
      </c>
      <c r="F511" s="3" t="s">
        <v>258</v>
      </c>
      <c r="G511" s="3" t="str">
        <f t="shared" si="135"/>
        <v>RE-HV-AC-Splt-45to65kBtuh-S20p0</v>
      </c>
      <c r="H511" s="3" t="s">
        <v>247</v>
      </c>
      <c r="I511" s="3" t="s">
        <v>248</v>
      </c>
      <c r="J511" s="3" t="s">
        <v>7</v>
      </c>
      <c r="K511" s="32" t="s">
        <v>210</v>
      </c>
      <c r="L511" s="32" t="s">
        <v>250</v>
      </c>
      <c r="M511" s="32" t="s">
        <v>226</v>
      </c>
      <c r="N511" s="3" t="str">
        <f t="shared" si="138"/>
        <v>MFm&amp;0&amp;rDXGF&amp;New&amp;dxAC_equip</v>
      </c>
      <c r="O511" s="3" t="s">
        <v>63</v>
      </c>
      <c r="P511" s="3">
        <v>0</v>
      </c>
      <c r="Q511" s="3" t="s">
        <v>51</v>
      </c>
      <c r="R511" s="3" t="s">
        <v>107</v>
      </c>
      <c r="S511" s="3" t="str">
        <f t="shared" si="137"/>
        <v>No</v>
      </c>
      <c r="T511" s="3" t="str">
        <f t="shared" si="139"/>
        <v>dxAC_equip</v>
      </c>
      <c r="U511" s="3" t="str">
        <f t="shared" si="136"/>
        <v>dxAC_equip</v>
      </c>
      <c r="V511" s="3" t="s">
        <v>111</v>
      </c>
      <c r="W511" s="3" t="s">
        <v>235</v>
      </c>
      <c r="X511" s="3" t="s">
        <v>111</v>
      </c>
      <c r="Y511" s="3" t="s">
        <v>235</v>
      </c>
      <c r="Z511" s="3" t="s">
        <v>251</v>
      </c>
      <c r="AA511" s="3" t="s">
        <v>55</v>
      </c>
      <c r="AB511" s="3" t="s">
        <v>56</v>
      </c>
      <c r="AC511" s="3" t="s">
        <v>215</v>
      </c>
    </row>
    <row r="512" spans="1:29" s="3" customFormat="1" x14ac:dyDescent="0.25">
      <c r="A512" s="3" t="s">
        <v>0</v>
      </c>
      <c r="B512" s="3" t="s">
        <v>10675</v>
      </c>
      <c r="C512" s="3" t="s">
        <v>10659</v>
      </c>
      <c r="D512" s="3" t="str">
        <f t="shared" si="132"/>
        <v>SWHC049-03 SEER Rated AC/HP_SFm</v>
      </c>
      <c r="F512" s="3" t="s">
        <v>259</v>
      </c>
      <c r="G512" s="3" t="str">
        <f t="shared" ref="G512:G527" si="140">F512</f>
        <v>RE-HV-AC-Splt-45to65kBtuh-S21p0</v>
      </c>
      <c r="H512" s="3" t="s">
        <v>247</v>
      </c>
      <c r="I512" s="3" t="s">
        <v>248</v>
      </c>
      <c r="J512" s="3" t="s">
        <v>260</v>
      </c>
      <c r="K512" s="32" t="s">
        <v>210</v>
      </c>
      <c r="L512" s="32" t="s">
        <v>250</v>
      </c>
      <c r="M512" s="32" t="s">
        <v>229</v>
      </c>
      <c r="N512" s="3" t="str">
        <f t="shared" si="138"/>
        <v>SFm&amp;1&amp;rDXGF&amp;Ex&amp;dxAC_equip</v>
      </c>
      <c r="O512" s="3" t="s">
        <v>50</v>
      </c>
      <c r="P512" s="3">
        <v>1</v>
      </c>
      <c r="Q512" s="3" t="s">
        <v>51</v>
      </c>
      <c r="R512" s="3" t="s">
        <v>52</v>
      </c>
      <c r="S512" s="3" t="str">
        <f t="shared" si="137"/>
        <v>No</v>
      </c>
      <c r="T512" s="3" t="str">
        <f t="shared" si="139"/>
        <v>dxAC_equip</v>
      </c>
      <c r="U512" s="3" t="str">
        <f t="shared" si="136"/>
        <v>dxAC_equip</v>
      </c>
      <c r="V512" s="3" t="s">
        <v>111</v>
      </c>
      <c r="W512" s="3" t="s">
        <v>235</v>
      </c>
      <c r="X512" s="3" t="s">
        <v>111</v>
      </c>
      <c r="Y512" s="3" t="s">
        <v>235</v>
      </c>
      <c r="Z512" s="3" t="s">
        <v>251</v>
      </c>
      <c r="AA512" s="3" t="s">
        <v>55</v>
      </c>
      <c r="AB512" s="3" t="s">
        <v>56</v>
      </c>
      <c r="AC512" s="3" t="s">
        <v>215</v>
      </c>
    </row>
    <row r="513" spans="1:29" s="3" customFormat="1" x14ac:dyDescent="0.25">
      <c r="A513" s="3" t="s">
        <v>0</v>
      </c>
      <c r="B513" s="3" t="s">
        <v>10675</v>
      </c>
      <c r="C513" s="3" t="s">
        <v>10659</v>
      </c>
      <c r="D513" s="3" t="str">
        <f t="shared" si="132"/>
        <v>SWHC049-03 SEER Rated AC/HP_SFm</v>
      </c>
      <c r="F513" s="3" t="s">
        <v>259</v>
      </c>
      <c r="G513" s="3" t="str">
        <f t="shared" si="140"/>
        <v>RE-HV-AC-Splt-45to65kBtuh-S21p0</v>
      </c>
      <c r="H513" s="3" t="s">
        <v>247</v>
      </c>
      <c r="I513" s="3" t="s">
        <v>248</v>
      </c>
      <c r="J513" s="3" t="s">
        <v>260</v>
      </c>
      <c r="K513" s="32" t="s">
        <v>210</v>
      </c>
      <c r="L513" s="32" t="s">
        <v>250</v>
      </c>
      <c r="M513" s="32" t="s">
        <v>229</v>
      </c>
      <c r="N513" s="3" t="str">
        <f t="shared" si="138"/>
        <v>SFm&amp;2&amp;rDXGF&amp;Ex&amp;dxAC_equip</v>
      </c>
      <c r="O513" s="3" t="s">
        <v>50</v>
      </c>
      <c r="P513" s="3">
        <v>2</v>
      </c>
      <c r="Q513" s="3" t="s">
        <v>51</v>
      </c>
      <c r="R513" s="3" t="s">
        <v>52</v>
      </c>
      <c r="S513" s="3" t="str">
        <f t="shared" si="137"/>
        <v>No</v>
      </c>
      <c r="T513" s="3" t="str">
        <f t="shared" si="139"/>
        <v>dxAC_equip</v>
      </c>
      <c r="U513" s="3" t="str">
        <f t="shared" si="136"/>
        <v>dxAC_equip</v>
      </c>
      <c r="V513" s="3" t="s">
        <v>111</v>
      </c>
      <c r="W513" s="3" t="s">
        <v>235</v>
      </c>
      <c r="X513" s="3" t="s">
        <v>111</v>
      </c>
      <c r="Y513" s="3" t="s">
        <v>235</v>
      </c>
      <c r="Z513" s="3" t="s">
        <v>251</v>
      </c>
      <c r="AA513" s="3" t="s">
        <v>55</v>
      </c>
      <c r="AB513" s="3" t="s">
        <v>56</v>
      </c>
      <c r="AC513" s="3" t="s">
        <v>215</v>
      </c>
    </row>
    <row r="514" spans="1:29" s="3" customFormat="1" x14ac:dyDescent="0.25">
      <c r="A514" s="3" t="s">
        <v>0</v>
      </c>
      <c r="B514" s="3" t="s">
        <v>10675</v>
      </c>
      <c r="C514" s="3" t="s">
        <v>10659</v>
      </c>
      <c r="D514" s="3" t="str">
        <f t="shared" si="132"/>
        <v>SWHC049-03 SEER Rated AC/HP_DMo</v>
      </c>
      <c r="F514" s="3" t="s">
        <v>259</v>
      </c>
      <c r="G514" s="3" t="str">
        <f t="shared" si="140"/>
        <v>RE-HV-AC-Splt-45to65kBtuh-S21p0</v>
      </c>
      <c r="H514" s="3" t="s">
        <v>247</v>
      </c>
      <c r="I514" s="3" t="s">
        <v>248</v>
      </c>
      <c r="J514" s="3" t="s">
        <v>260</v>
      </c>
      <c r="K514" s="32" t="s">
        <v>210</v>
      </c>
      <c r="L514" s="32" t="s">
        <v>250</v>
      </c>
      <c r="M514" s="32" t="s">
        <v>229</v>
      </c>
      <c r="N514" s="3" t="str">
        <f t="shared" si="138"/>
        <v>DMo&amp;0&amp;rDXGF&amp;Ex&amp;dxAC_equip</v>
      </c>
      <c r="O514" s="3" t="s">
        <v>62</v>
      </c>
      <c r="P514" s="3">
        <v>0</v>
      </c>
      <c r="Q514" s="3" t="s">
        <v>51</v>
      </c>
      <c r="R514" s="3" t="s">
        <v>52</v>
      </c>
      <c r="S514" s="3" t="str">
        <f t="shared" si="137"/>
        <v>No</v>
      </c>
      <c r="T514" s="3" t="str">
        <f t="shared" si="139"/>
        <v>dxAC_equip</v>
      </c>
      <c r="U514" s="3" t="str">
        <f t="shared" si="136"/>
        <v>dxAC_equip</v>
      </c>
      <c r="V514" s="3" t="s">
        <v>111</v>
      </c>
      <c r="W514" s="3" t="s">
        <v>235</v>
      </c>
      <c r="X514" s="3" t="s">
        <v>111</v>
      </c>
      <c r="Y514" s="3" t="s">
        <v>235</v>
      </c>
      <c r="Z514" s="3" t="s">
        <v>251</v>
      </c>
      <c r="AA514" s="3" t="s">
        <v>55</v>
      </c>
      <c r="AB514" s="3" t="s">
        <v>56</v>
      </c>
      <c r="AC514" s="3" t="s">
        <v>215</v>
      </c>
    </row>
    <row r="515" spans="1:29" s="3" customFormat="1" x14ac:dyDescent="0.25">
      <c r="A515" s="3" t="s">
        <v>0</v>
      </c>
      <c r="B515" s="3" t="s">
        <v>10675</v>
      </c>
      <c r="C515" s="3" t="s">
        <v>10659</v>
      </c>
      <c r="D515" s="3" t="str">
        <f t="shared" si="132"/>
        <v>SWHC049-03 SEER Rated AC/HP_MFm</v>
      </c>
      <c r="F515" s="3" t="s">
        <v>259</v>
      </c>
      <c r="G515" s="3" t="str">
        <f t="shared" si="140"/>
        <v>RE-HV-AC-Splt-45to65kBtuh-S21p0</v>
      </c>
      <c r="H515" s="3" t="s">
        <v>247</v>
      </c>
      <c r="I515" s="3" t="s">
        <v>248</v>
      </c>
      <c r="J515" s="3" t="s">
        <v>260</v>
      </c>
      <c r="K515" s="32" t="s">
        <v>210</v>
      </c>
      <c r="L515" s="32" t="s">
        <v>250</v>
      </c>
      <c r="M515" s="32" t="s">
        <v>229</v>
      </c>
      <c r="N515" s="3" t="str">
        <f t="shared" si="138"/>
        <v>MFm&amp;0&amp;rDXGF&amp;Ex&amp;dxAC_equip</v>
      </c>
      <c r="O515" s="3" t="s">
        <v>63</v>
      </c>
      <c r="P515" s="3">
        <v>0</v>
      </c>
      <c r="Q515" s="3" t="s">
        <v>51</v>
      </c>
      <c r="R515" s="3" t="s">
        <v>52</v>
      </c>
      <c r="S515" s="3" t="str">
        <f t="shared" si="137"/>
        <v>No</v>
      </c>
      <c r="T515" s="3" t="str">
        <f t="shared" si="139"/>
        <v>dxAC_equip</v>
      </c>
      <c r="U515" s="3" t="str">
        <f t="shared" si="136"/>
        <v>dxAC_equip</v>
      </c>
      <c r="V515" s="3" t="s">
        <v>111</v>
      </c>
      <c r="W515" s="3" t="s">
        <v>235</v>
      </c>
      <c r="X515" s="3" t="s">
        <v>111</v>
      </c>
      <c r="Y515" s="3" t="s">
        <v>235</v>
      </c>
      <c r="Z515" s="3" t="s">
        <v>251</v>
      </c>
      <c r="AA515" s="3" t="s">
        <v>55</v>
      </c>
      <c r="AB515" s="3" t="s">
        <v>56</v>
      </c>
      <c r="AC515" s="3" t="s">
        <v>215</v>
      </c>
    </row>
    <row r="516" spans="1:29" s="3" customFormat="1" x14ac:dyDescent="0.25">
      <c r="A516" s="3" t="s">
        <v>0</v>
      </c>
      <c r="B516" s="3" t="s">
        <v>10675</v>
      </c>
      <c r="C516" s="3" t="s">
        <v>10659</v>
      </c>
      <c r="D516" s="3" t="str">
        <f t="shared" si="132"/>
        <v>SWHC049-03 SEER Rated AC/HP_SFm</v>
      </c>
      <c r="F516" s="3" t="s">
        <v>259</v>
      </c>
      <c r="G516" s="3" t="str">
        <f t="shared" si="140"/>
        <v>RE-HV-AC-Splt-45to65kBtuh-S21p0</v>
      </c>
      <c r="H516" s="3" t="s">
        <v>247</v>
      </c>
      <c r="I516" s="3" t="s">
        <v>248</v>
      </c>
      <c r="J516" s="3" t="s">
        <v>260</v>
      </c>
      <c r="K516" s="32" t="s">
        <v>210</v>
      </c>
      <c r="L516" s="32" t="s">
        <v>250</v>
      </c>
      <c r="M516" s="32" t="s">
        <v>229</v>
      </c>
      <c r="N516" s="3" t="str">
        <f t="shared" si="138"/>
        <v>SFm&amp;1&amp;rDXGF&amp;New&amp;dxAC_equip</v>
      </c>
      <c r="O516" s="3" t="s">
        <v>50</v>
      </c>
      <c r="P516" s="3">
        <v>1</v>
      </c>
      <c r="Q516" s="3" t="s">
        <v>51</v>
      </c>
      <c r="R516" s="3" t="s">
        <v>107</v>
      </c>
      <c r="S516" s="3" t="str">
        <f t="shared" si="137"/>
        <v>No</v>
      </c>
      <c r="T516" s="3" t="str">
        <f t="shared" si="139"/>
        <v>dxAC_equip</v>
      </c>
      <c r="U516" s="3" t="str">
        <f t="shared" si="136"/>
        <v>dxAC_equip</v>
      </c>
      <c r="V516" s="3" t="s">
        <v>111</v>
      </c>
      <c r="W516" s="3" t="s">
        <v>235</v>
      </c>
      <c r="X516" s="3" t="s">
        <v>111</v>
      </c>
      <c r="Y516" s="3" t="s">
        <v>235</v>
      </c>
      <c r="Z516" s="3" t="s">
        <v>251</v>
      </c>
      <c r="AA516" s="3" t="s">
        <v>55</v>
      </c>
      <c r="AB516" s="3" t="s">
        <v>56</v>
      </c>
      <c r="AC516" s="3" t="s">
        <v>215</v>
      </c>
    </row>
    <row r="517" spans="1:29" s="3" customFormat="1" x14ac:dyDescent="0.25">
      <c r="A517" s="3" t="s">
        <v>0</v>
      </c>
      <c r="B517" s="3" t="s">
        <v>10675</v>
      </c>
      <c r="C517" s="3" t="s">
        <v>10659</v>
      </c>
      <c r="D517" s="3" t="str">
        <f t="shared" si="132"/>
        <v>SWHC049-03 SEER Rated AC/HP_SFm</v>
      </c>
      <c r="F517" s="3" t="s">
        <v>259</v>
      </c>
      <c r="G517" s="3" t="str">
        <f t="shared" si="140"/>
        <v>RE-HV-AC-Splt-45to65kBtuh-S21p0</v>
      </c>
      <c r="H517" s="3" t="s">
        <v>247</v>
      </c>
      <c r="I517" s="3" t="s">
        <v>248</v>
      </c>
      <c r="J517" s="3" t="s">
        <v>260</v>
      </c>
      <c r="K517" s="32" t="s">
        <v>210</v>
      </c>
      <c r="L517" s="32" t="s">
        <v>250</v>
      </c>
      <c r="M517" s="32" t="s">
        <v>229</v>
      </c>
      <c r="N517" s="3" t="str">
        <f t="shared" si="138"/>
        <v>SFm&amp;2&amp;rDXGF&amp;New&amp;dxAC_equip</v>
      </c>
      <c r="O517" s="3" t="s">
        <v>50</v>
      </c>
      <c r="P517" s="3">
        <v>2</v>
      </c>
      <c r="Q517" s="3" t="s">
        <v>51</v>
      </c>
      <c r="R517" s="3" t="s">
        <v>107</v>
      </c>
      <c r="S517" s="3" t="str">
        <f t="shared" si="137"/>
        <v>No</v>
      </c>
      <c r="T517" s="3" t="str">
        <f t="shared" si="139"/>
        <v>dxAC_equip</v>
      </c>
      <c r="U517" s="3" t="str">
        <f t="shared" si="136"/>
        <v>dxAC_equip</v>
      </c>
      <c r="V517" s="3" t="s">
        <v>111</v>
      </c>
      <c r="W517" s="3" t="s">
        <v>235</v>
      </c>
      <c r="X517" s="3" t="s">
        <v>111</v>
      </c>
      <c r="Y517" s="3" t="s">
        <v>235</v>
      </c>
      <c r="Z517" s="3" t="s">
        <v>251</v>
      </c>
      <c r="AA517" s="3" t="s">
        <v>55</v>
      </c>
      <c r="AB517" s="3" t="s">
        <v>56</v>
      </c>
      <c r="AC517" s="3" t="s">
        <v>215</v>
      </c>
    </row>
    <row r="518" spans="1:29" s="3" customFormat="1" x14ac:dyDescent="0.25">
      <c r="A518" s="3" t="s">
        <v>0</v>
      </c>
      <c r="B518" s="3" t="s">
        <v>10675</v>
      </c>
      <c r="C518" s="3" t="s">
        <v>10659</v>
      </c>
      <c r="D518" s="3" t="str">
        <f t="shared" si="132"/>
        <v>SWHC049-03 SEER Rated AC/HP_DMo</v>
      </c>
      <c r="F518" s="3" t="s">
        <v>259</v>
      </c>
      <c r="G518" s="3" t="str">
        <f t="shared" si="140"/>
        <v>RE-HV-AC-Splt-45to65kBtuh-S21p0</v>
      </c>
      <c r="H518" s="3" t="s">
        <v>247</v>
      </c>
      <c r="I518" s="3" t="s">
        <v>248</v>
      </c>
      <c r="J518" s="3" t="s">
        <v>260</v>
      </c>
      <c r="K518" s="32" t="s">
        <v>210</v>
      </c>
      <c r="L518" s="32" t="s">
        <v>250</v>
      </c>
      <c r="M518" s="32" t="s">
        <v>229</v>
      </c>
      <c r="N518" s="3" t="str">
        <f t="shared" si="138"/>
        <v>DMo&amp;0&amp;rDXGF&amp;New&amp;dxAC_equip</v>
      </c>
      <c r="O518" s="3" t="s">
        <v>62</v>
      </c>
      <c r="P518" s="3">
        <v>0</v>
      </c>
      <c r="Q518" s="3" t="s">
        <v>51</v>
      </c>
      <c r="R518" s="3" t="s">
        <v>107</v>
      </c>
      <c r="S518" s="3" t="str">
        <f t="shared" si="137"/>
        <v>No</v>
      </c>
      <c r="T518" s="3" t="str">
        <f t="shared" si="139"/>
        <v>dxAC_equip</v>
      </c>
      <c r="U518" s="3" t="str">
        <f t="shared" si="136"/>
        <v>dxAC_equip</v>
      </c>
      <c r="V518" s="3" t="s">
        <v>111</v>
      </c>
      <c r="W518" s="3" t="s">
        <v>235</v>
      </c>
      <c r="X518" s="3" t="s">
        <v>111</v>
      </c>
      <c r="Y518" s="3" t="s">
        <v>235</v>
      </c>
      <c r="Z518" s="3" t="s">
        <v>251</v>
      </c>
      <c r="AA518" s="3" t="s">
        <v>55</v>
      </c>
      <c r="AB518" s="3" t="s">
        <v>56</v>
      </c>
      <c r="AC518" s="3" t="s">
        <v>215</v>
      </c>
    </row>
    <row r="519" spans="1:29" s="3" customFormat="1" x14ac:dyDescent="0.25">
      <c r="A519" s="3" t="s">
        <v>0</v>
      </c>
      <c r="B519" s="3" t="s">
        <v>10675</v>
      </c>
      <c r="C519" s="3" t="s">
        <v>10659</v>
      </c>
      <c r="D519" s="3" t="str">
        <f t="shared" ref="D519:D582" si="141">_xlfn.CONCAT(C519, " ", A519,"_",O519)</f>
        <v>SWHC049-03 SEER Rated AC/HP_MFm</v>
      </c>
      <c r="F519" s="3" t="s">
        <v>259</v>
      </c>
      <c r="G519" s="3" t="str">
        <f t="shared" si="140"/>
        <v>RE-HV-AC-Splt-45to65kBtuh-S21p0</v>
      </c>
      <c r="H519" s="3" t="s">
        <v>247</v>
      </c>
      <c r="I519" s="3" t="s">
        <v>248</v>
      </c>
      <c r="J519" s="3" t="s">
        <v>260</v>
      </c>
      <c r="K519" s="32" t="s">
        <v>210</v>
      </c>
      <c r="L519" s="32" t="s">
        <v>250</v>
      </c>
      <c r="M519" s="32" t="s">
        <v>229</v>
      </c>
      <c r="N519" s="3" t="str">
        <f t="shared" si="138"/>
        <v>MFm&amp;0&amp;rDXGF&amp;New&amp;dxAC_equip</v>
      </c>
      <c r="O519" s="3" t="s">
        <v>63</v>
      </c>
      <c r="P519" s="3">
        <v>0</v>
      </c>
      <c r="Q519" s="3" t="s">
        <v>51</v>
      </c>
      <c r="R519" s="3" t="s">
        <v>107</v>
      </c>
      <c r="S519" s="3" t="str">
        <f t="shared" si="137"/>
        <v>No</v>
      </c>
      <c r="T519" s="3" t="str">
        <f t="shared" si="139"/>
        <v>dxAC_equip</v>
      </c>
      <c r="U519" s="3" t="str">
        <f t="shared" si="136"/>
        <v>dxAC_equip</v>
      </c>
      <c r="V519" s="3" t="s">
        <v>111</v>
      </c>
      <c r="W519" s="3" t="s">
        <v>235</v>
      </c>
      <c r="X519" s="3" t="s">
        <v>111</v>
      </c>
      <c r="Y519" s="3" t="s">
        <v>235</v>
      </c>
      <c r="Z519" s="3" t="s">
        <v>251</v>
      </c>
      <c r="AA519" s="3" t="s">
        <v>55</v>
      </c>
      <c r="AB519" s="3" t="s">
        <v>56</v>
      </c>
      <c r="AC519" s="3" t="s">
        <v>215</v>
      </c>
    </row>
    <row r="520" spans="1:29" s="3" customFormat="1" x14ac:dyDescent="0.25">
      <c r="A520" s="3" t="s">
        <v>0</v>
      </c>
      <c r="B520" s="3" t="s">
        <v>10675</v>
      </c>
      <c r="C520" s="3" t="s">
        <v>10659</v>
      </c>
      <c r="D520" s="3" t="str">
        <f t="shared" si="141"/>
        <v>SWHC049-03 SEER Rated AC/HP_SFm</v>
      </c>
      <c r="F520" s="3" t="s">
        <v>261</v>
      </c>
      <c r="G520" s="3" t="str">
        <f t="shared" si="140"/>
        <v>RE-HV-HP-Pkg-lt65kBtuh-S16p0H9p0</v>
      </c>
      <c r="H520" s="3" t="s">
        <v>262</v>
      </c>
      <c r="I520" s="3" t="s">
        <v>263</v>
      </c>
      <c r="J520" s="3" t="s">
        <v>264</v>
      </c>
      <c r="K520" s="32" t="s">
        <v>265</v>
      </c>
      <c r="L520" s="32" t="s">
        <v>266</v>
      </c>
      <c r="M520" s="32" t="s">
        <v>267</v>
      </c>
      <c r="N520" s="3" t="str">
        <f t="shared" si="138"/>
        <v>SFm&amp;1&amp;rDXHP&amp;Ex&amp;dxHP_equip</v>
      </c>
      <c r="O520" s="3" t="s">
        <v>50</v>
      </c>
      <c r="P520" s="3">
        <v>1</v>
      </c>
      <c r="Q520" s="3" t="s">
        <v>57</v>
      </c>
      <c r="R520" s="3" t="s">
        <v>52</v>
      </c>
      <c r="S520" s="3" t="str">
        <f t="shared" si="137"/>
        <v>No</v>
      </c>
      <c r="T520" s="3" t="str">
        <f t="shared" si="139"/>
        <v>dxHP_equip</v>
      </c>
      <c r="U520" s="3" t="str">
        <f t="shared" si="136"/>
        <v>dxHP_equip</v>
      </c>
      <c r="V520" s="3" t="s">
        <v>105</v>
      </c>
      <c r="W520" s="3" t="s">
        <v>268</v>
      </c>
      <c r="X520" s="3" t="s">
        <v>105</v>
      </c>
      <c r="Y520" s="3" t="s">
        <v>268</v>
      </c>
      <c r="Z520" s="3" t="s">
        <v>269</v>
      </c>
      <c r="AA520" s="3" t="s">
        <v>55</v>
      </c>
      <c r="AB520" s="3" t="s">
        <v>56</v>
      </c>
      <c r="AC520" s="3" t="s">
        <v>215</v>
      </c>
    </row>
    <row r="521" spans="1:29" s="3" customFormat="1" x14ac:dyDescent="0.25">
      <c r="A521" s="3" t="s">
        <v>0</v>
      </c>
      <c r="B521" s="3" t="s">
        <v>10675</v>
      </c>
      <c r="C521" s="3" t="s">
        <v>10659</v>
      </c>
      <c r="D521" s="3" t="str">
        <f t="shared" si="141"/>
        <v>SWHC049-03 SEER Rated AC/HP_SFm</v>
      </c>
      <c r="F521" s="3" t="s">
        <v>261</v>
      </c>
      <c r="G521" s="3" t="str">
        <f t="shared" si="140"/>
        <v>RE-HV-HP-Pkg-lt65kBtuh-S16p0H9p0</v>
      </c>
      <c r="H521" s="3" t="s">
        <v>262</v>
      </c>
      <c r="I521" s="3" t="s">
        <v>263</v>
      </c>
      <c r="J521" s="3" t="s">
        <v>264</v>
      </c>
      <c r="K521" s="32" t="s">
        <v>265</v>
      </c>
      <c r="L521" s="32" t="s">
        <v>266</v>
      </c>
      <c r="M521" s="32" t="s">
        <v>267</v>
      </c>
      <c r="N521" s="3" t="str">
        <f t="shared" si="138"/>
        <v>SFm&amp;2&amp;rDXHP&amp;Ex&amp;dxHP_equip</v>
      </c>
      <c r="O521" s="3" t="s">
        <v>50</v>
      </c>
      <c r="P521" s="3">
        <v>2</v>
      </c>
      <c r="Q521" s="3" t="s">
        <v>57</v>
      </c>
      <c r="R521" s="3" t="s">
        <v>52</v>
      </c>
      <c r="S521" s="3" t="str">
        <f t="shared" si="137"/>
        <v>No</v>
      </c>
      <c r="T521" s="3" t="str">
        <f t="shared" si="139"/>
        <v>dxHP_equip</v>
      </c>
      <c r="U521" s="3" t="str">
        <f t="shared" si="136"/>
        <v>dxHP_equip</v>
      </c>
      <c r="V521" s="3" t="s">
        <v>105</v>
      </c>
      <c r="W521" s="3" t="s">
        <v>268</v>
      </c>
      <c r="X521" s="3" t="s">
        <v>105</v>
      </c>
      <c r="Y521" s="3" t="s">
        <v>268</v>
      </c>
      <c r="Z521" s="3" t="s">
        <v>269</v>
      </c>
      <c r="AA521" s="3" t="s">
        <v>55</v>
      </c>
      <c r="AB521" s="3" t="s">
        <v>56</v>
      </c>
      <c r="AC521" s="3" t="s">
        <v>215</v>
      </c>
    </row>
    <row r="522" spans="1:29" s="3" customFormat="1" x14ac:dyDescent="0.25">
      <c r="A522" s="3" t="s">
        <v>0</v>
      </c>
      <c r="B522" s="3" t="s">
        <v>10675</v>
      </c>
      <c r="C522" s="3" t="s">
        <v>10659</v>
      </c>
      <c r="D522" s="3" t="str">
        <f t="shared" si="141"/>
        <v>SWHC049-03 SEER Rated AC/HP_DMo</v>
      </c>
      <c r="F522" s="3" t="s">
        <v>261</v>
      </c>
      <c r="G522" s="3" t="str">
        <f t="shared" si="140"/>
        <v>RE-HV-HP-Pkg-lt65kBtuh-S16p0H9p0</v>
      </c>
      <c r="H522" s="3" t="s">
        <v>262</v>
      </c>
      <c r="I522" s="3" t="s">
        <v>263</v>
      </c>
      <c r="J522" s="3" t="s">
        <v>264</v>
      </c>
      <c r="K522" s="32" t="s">
        <v>265</v>
      </c>
      <c r="L522" s="32" t="s">
        <v>266</v>
      </c>
      <c r="M522" s="32" t="s">
        <v>267</v>
      </c>
      <c r="N522" s="3" t="str">
        <f t="shared" si="138"/>
        <v>DMo&amp;0&amp;rDXHP&amp;Ex&amp;dxHP_equip</v>
      </c>
      <c r="O522" s="3" t="s">
        <v>62</v>
      </c>
      <c r="P522" s="3">
        <v>0</v>
      </c>
      <c r="Q522" s="3" t="s">
        <v>57</v>
      </c>
      <c r="R522" s="3" t="s">
        <v>52</v>
      </c>
      <c r="S522" s="3" t="str">
        <f t="shared" si="137"/>
        <v>No</v>
      </c>
      <c r="T522" s="3" t="str">
        <f t="shared" si="139"/>
        <v>dxHP_equip</v>
      </c>
      <c r="U522" s="3" t="str">
        <f t="shared" si="136"/>
        <v>dxHP_equip</v>
      </c>
      <c r="V522" s="3" t="s">
        <v>105</v>
      </c>
      <c r="W522" s="3" t="s">
        <v>268</v>
      </c>
      <c r="X522" s="3" t="s">
        <v>105</v>
      </c>
      <c r="Y522" s="3" t="s">
        <v>268</v>
      </c>
      <c r="Z522" s="3" t="s">
        <v>269</v>
      </c>
      <c r="AA522" s="3" t="s">
        <v>55</v>
      </c>
      <c r="AB522" s="3" t="s">
        <v>56</v>
      </c>
      <c r="AC522" s="3" t="s">
        <v>215</v>
      </c>
    </row>
    <row r="523" spans="1:29" s="3" customFormat="1" x14ac:dyDescent="0.25">
      <c r="A523" s="3" t="s">
        <v>0</v>
      </c>
      <c r="B523" s="3" t="s">
        <v>10675</v>
      </c>
      <c r="C523" s="3" t="s">
        <v>10659</v>
      </c>
      <c r="D523" s="3" t="str">
        <f t="shared" si="141"/>
        <v>SWHC049-03 SEER Rated AC/HP_MFm</v>
      </c>
      <c r="F523" s="3" t="s">
        <v>261</v>
      </c>
      <c r="G523" s="3" t="str">
        <f t="shared" si="140"/>
        <v>RE-HV-HP-Pkg-lt65kBtuh-S16p0H9p0</v>
      </c>
      <c r="H523" s="3" t="s">
        <v>262</v>
      </c>
      <c r="I523" s="3" t="s">
        <v>263</v>
      </c>
      <c r="J523" s="3" t="s">
        <v>264</v>
      </c>
      <c r="K523" s="32" t="s">
        <v>265</v>
      </c>
      <c r="L523" s="32" t="s">
        <v>266</v>
      </c>
      <c r="M523" s="32" t="s">
        <v>267</v>
      </c>
      <c r="N523" s="3" t="str">
        <f t="shared" si="138"/>
        <v>MFm&amp;0&amp;rDXHP&amp;Ex&amp;dxHP_equip</v>
      </c>
      <c r="O523" s="3" t="s">
        <v>63</v>
      </c>
      <c r="P523" s="3">
        <v>0</v>
      </c>
      <c r="Q523" s="3" t="s">
        <v>57</v>
      </c>
      <c r="R523" s="3" t="s">
        <v>52</v>
      </c>
      <c r="S523" s="3" t="str">
        <f t="shared" si="137"/>
        <v>No</v>
      </c>
      <c r="T523" s="3" t="str">
        <f t="shared" si="139"/>
        <v>dxHP_equip</v>
      </c>
      <c r="U523" s="3" t="str">
        <f t="shared" si="136"/>
        <v>dxHP_equip</v>
      </c>
      <c r="V523" s="3" t="s">
        <v>105</v>
      </c>
      <c r="W523" s="3" t="s">
        <v>268</v>
      </c>
      <c r="X523" s="3" t="s">
        <v>105</v>
      </c>
      <c r="Y523" s="3" t="s">
        <v>268</v>
      </c>
      <c r="Z523" s="3" t="s">
        <v>269</v>
      </c>
      <c r="AA523" s="3" t="s">
        <v>55</v>
      </c>
      <c r="AB523" s="3" t="s">
        <v>56</v>
      </c>
      <c r="AC523" s="3" t="s">
        <v>215</v>
      </c>
    </row>
    <row r="524" spans="1:29" s="3" customFormat="1" x14ac:dyDescent="0.25">
      <c r="A524" s="3" t="s">
        <v>0</v>
      </c>
      <c r="B524" s="3" t="s">
        <v>10675</v>
      </c>
      <c r="C524" s="3" t="s">
        <v>10659</v>
      </c>
      <c r="D524" s="3" t="str">
        <f t="shared" si="141"/>
        <v>SWHC049-03 SEER Rated AC/HP_SFm</v>
      </c>
      <c r="F524" s="3" t="s">
        <v>261</v>
      </c>
      <c r="G524" s="3" t="str">
        <f t="shared" si="140"/>
        <v>RE-HV-HP-Pkg-lt65kBtuh-S16p0H9p0</v>
      </c>
      <c r="H524" s="3" t="s">
        <v>262</v>
      </c>
      <c r="I524" s="3" t="s">
        <v>263</v>
      </c>
      <c r="J524" s="3" t="s">
        <v>264</v>
      </c>
      <c r="K524" s="32" t="s">
        <v>265</v>
      </c>
      <c r="L524" s="32" t="s">
        <v>266</v>
      </c>
      <c r="M524" s="32" t="s">
        <v>267</v>
      </c>
      <c r="N524" s="3" t="str">
        <f t="shared" si="138"/>
        <v>SFm&amp;1&amp;rDXHP&amp;New&amp;dxHP_equip</v>
      </c>
      <c r="O524" s="3" t="s">
        <v>50</v>
      </c>
      <c r="P524" s="3">
        <v>1</v>
      </c>
      <c r="Q524" s="3" t="s">
        <v>57</v>
      </c>
      <c r="R524" s="3" t="s">
        <v>107</v>
      </c>
      <c r="S524" s="3" t="str">
        <f t="shared" si="137"/>
        <v>No</v>
      </c>
      <c r="T524" s="3" t="str">
        <f t="shared" si="139"/>
        <v>dxHP_equip</v>
      </c>
      <c r="U524" s="3" t="str">
        <f t="shared" si="136"/>
        <v>dxHP_equip</v>
      </c>
      <c r="V524" s="3" t="s">
        <v>105</v>
      </c>
      <c r="W524" s="3" t="s">
        <v>268</v>
      </c>
      <c r="X524" s="3" t="s">
        <v>105</v>
      </c>
      <c r="Y524" s="3" t="s">
        <v>268</v>
      </c>
      <c r="Z524" s="3" t="s">
        <v>269</v>
      </c>
      <c r="AA524" s="3" t="s">
        <v>55</v>
      </c>
      <c r="AB524" s="3" t="s">
        <v>56</v>
      </c>
      <c r="AC524" s="3" t="s">
        <v>215</v>
      </c>
    </row>
    <row r="525" spans="1:29" s="3" customFormat="1" x14ac:dyDescent="0.25">
      <c r="A525" s="3" t="s">
        <v>0</v>
      </c>
      <c r="B525" s="3" t="s">
        <v>10675</v>
      </c>
      <c r="C525" s="3" t="s">
        <v>10659</v>
      </c>
      <c r="D525" s="3" t="str">
        <f t="shared" si="141"/>
        <v>SWHC049-03 SEER Rated AC/HP_SFm</v>
      </c>
      <c r="F525" s="3" t="s">
        <v>261</v>
      </c>
      <c r="G525" s="3" t="str">
        <f t="shared" si="140"/>
        <v>RE-HV-HP-Pkg-lt65kBtuh-S16p0H9p0</v>
      </c>
      <c r="H525" s="3" t="s">
        <v>262</v>
      </c>
      <c r="I525" s="3" t="s">
        <v>263</v>
      </c>
      <c r="J525" s="3" t="s">
        <v>264</v>
      </c>
      <c r="K525" s="32" t="s">
        <v>265</v>
      </c>
      <c r="L525" s="32" t="s">
        <v>266</v>
      </c>
      <c r="M525" s="32" t="s">
        <v>267</v>
      </c>
      <c r="N525" s="3" t="str">
        <f t="shared" si="138"/>
        <v>SFm&amp;2&amp;rDXHP&amp;New&amp;dxHP_equip</v>
      </c>
      <c r="O525" s="3" t="s">
        <v>50</v>
      </c>
      <c r="P525" s="3">
        <v>2</v>
      </c>
      <c r="Q525" s="3" t="s">
        <v>57</v>
      </c>
      <c r="R525" s="3" t="s">
        <v>107</v>
      </c>
      <c r="S525" s="3" t="str">
        <f t="shared" si="137"/>
        <v>No</v>
      </c>
      <c r="T525" s="3" t="str">
        <f t="shared" si="139"/>
        <v>dxHP_equip</v>
      </c>
      <c r="U525" s="3" t="str">
        <f t="shared" si="136"/>
        <v>dxHP_equip</v>
      </c>
      <c r="V525" s="3" t="s">
        <v>105</v>
      </c>
      <c r="W525" s="3" t="s">
        <v>268</v>
      </c>
      <c r="X525" s="3" t="s">
        <v>105</v>
      </c>
      <c r="Y525" s="3" t="s">
        <v>268</v>
      </c>
      <c r="Z525" s="3" t="s">
        <v>269</v>
      </c>
      <c r="AA525" s="3" t="s">
        <v>55</v>
      </c>
      <c r="AB525" s="3" t="s">
        <v>56</v>
      </c>
      <c r="AC525" s="3" t="s">
        <v>215</v>
      </c>
    </row>
    <row r="526" spans="1:29" s="3" customFormat="1" x14ac:dyDescent="0.25">
      <c r="A526" s="3" t="s">
        <v>0</v>
      </c>
      <c r="B526" s="3" t="s">
        <v>10675</v>
      </c>
      <c r="C526" s="3" t="s">
        <v>10659</v>
      </c>
      <c r="D526" s="3" t="str">
        <f t="shared" si="141"/>
        <v>SWHC049-03 SEER Rated AC/HP_DMo</v>
      </c>
      <c r="F526" s="3" t="s">
        <v>261</v>
      </c>
      <c r="G526" s="3" t="str">
        <f t="shared" si="140"/>
        <v>RE-HV-HP-Pkg-lt65kBtuh-S16p0H9p0</v>
      </c>
      <c r="H526" s="3" t="s">
        <v>262</v>
      </c>
      <c r="I526" s="3" t="s">
        <v>263</v>
      </c>
      <c r="J526" s="3" t="s">
        <v>264</v>
      </c>
      <c r="K526" s="32" t="s">
        <v>265</v>
      </c>
      <c r="L526" s="32" t="s">
        <v>266</v>
      </c>
      <c r="M526" s="32" t="s">
        <v>267</v>
      </c>
      <c r="N526" s="3" t="str">
        <f t="shared" si="138"/>
        <v>DMo&amp;0&amp;rDXHP&amp;New&amp;dxHP_equip</v>
      </c>
      <c r="O526" s="3" t="s">
        <v>62</v>
      </c>
      <c r="P526" s="3">
        <v>0</v>
      </c>
      <c r="Q526" s="3" t="s">
        <v>57</v>
      </c>
      <c r="R526" s="3" t="s">
        <v>107</v>
      </c>
      <c r="S526" s="3" t="str">
        <f t="shared" si="137"/>
        <v>No</v>
      </c>
      <c r="T526" s="3" t="str">
        <f t="shared" si="139"/>
        <v>dxHP_equip</v>
      </c>
      <c r="U526" s="3" t="str">
        <f t="shared" si="136"/>
        <v>dxHP_equip</v>
      </c>
      <c r="V526" s="3" t="s">
        <v>105</v>
      </c>
      <c r="W526" s="3" t="s">
        <v>268</v>
      </c>
      <c r="X526" s="3" t="s">
        <v>105</v>
      </c>
      <c r="Y526" s="3" t="s">
        <v>268</v>
      </c>
      <c r="Z526" s="3" t="s">
        <v>269</v>
      </c>
      <c r="AA526" s="3" t="s">
        <v>55</v>
      </c>
      <c r="AB526" s="3" t="s">
        <v>56</v>
      </c>
      <c r="AC526" s="3" t="s">
        <v>215</v>
      </c>
    </row>
    <row r="527" spans="1:29" s="3" customFormat="1" x14ac:dyDescent="0.25">
      <c r="A527" s="3" t="s">
        <v>0</v>
      </c>
      <c r="B527" s="3" t="s">
        <v>10675</v>
      </c>
      <c r="C527" s="3" t="s">
        <v>10659</v>
      </c>
      <c r="D527" s="3" t="str">
        <f t="shared" si="141"/>
        <v>SWHC049-03 SEER Rated AC/HP_MFm</v>
      </c>
      <c r="F527" s="3" t="s">
        <v>261</v>
      </c>
      <c r="G527" s="3" t="str">
        <f t="shared" si="140"/>
        <v>RE-HV-HP-Pkg-lt65kBtuh-S16p0H9p0</v>
      </c>
      <c r="H527" s="3" t="s">
        <v>262</v>
      </c>
      <c r="I527" s="3" t="s">
        <v>263</v>
      </c>
      <c r="J527" s="3" t="s">
        <v>264</v>
      </c>
      <c r="K527" s="32" t="s">
        <v>265</v>
      </c>
      <c r="L527" s="32" t="s">
        <v>266</v>
      </c>
      <c r="M527" s="32" t="s">
        <v>267</v>
      </c>
      <c r="N527" s="3" t="str">
        <f t="shared" si="138"/>
        <v>MFm&amp;0&amp;rDXHP&amp;New&amp;dxHP_equip</v>
      </c>
      <c r="O527" s="3" t="s">
        <v>63</v>
      </c>
      <c r="P527" s="3">
        <v>0</v>
      </c>
      <c r="Q527" s="3" t="s">
        <v>57</v>
      </c>
      <c r="R527" s="3" t="s">
        <v>107</v>
      </c>
      <c r="S527" s="3" t="str">
        <f t="shared" si="137"/>
        <v>No</v>
      </c>
      <c r="T527" s="3" t="str">
        <f t="shared" si="139"/>
        <v>dxHP_equip</v>
      </c>
      <c r="U527" s="3" t="str">
        <f t="shared" si="136"/>
        <v>dxHP_equip</v>
      </c>
      <c r="V527" s="3" t="s">
        <v>105</v>
      </c>
      <c r="W527" s="3" t="s">
        <v>268</v>
      </c>
      <c r="X527" s="3" t="s">
        <v>105</v>
      </c>
      <c r="Y527" s="3" t="s">
        <v>268</v>
      </c>
      <c r="Z527" s="3" t="s">
        <v>269</v>
      </c>
      <c r="AA527" s="3" t="s">
        <v>55</v>
      </c>
      <c r="AB527" s="3" t="s">
        <v>56</v>
      </c>
      <c r="AC527" s="3" t="s">
        <v>215</v>
      </c>
    </row>
    <row r="528" spans="1:29" s="3" customFormat="1" x14ac:dyDescent="0.25">
      <c r="A528" s="3" t="s">
        <v>0</v>
      </c>
      <c r="B528" s="3" t="s">
        <v>10675</v>
      </c>
      <c r="C528" s="3" t="s">
        <v>10659</v>
      </c>
      <c r="D528" s="3" t="str">
        <f t="shared" si="141"/>
        <v>SWHC049-03 SEER Rated AC/HP_SFm</v>
      </c>
      <c r="F528" s="3" t="s">
        <v>270</v>
      </c>
      <c r="G528" s="3" t="str">
        <f t="shared" ref="G528:G535" si="142">F528</f>
        <v>RE-HV-HP-Pkg-lt65kBtuh-S17p0H9p4</v>
      </c>
      <c r="H528" s="3" t="s">
        <v>262</v>
      </c>
      <c r="I528" s="3" t="s">
        <v>263</v>
      </c>
      <c r="J528" s="3" t="s">
        <v>271</v>
      </c>
      <c r="K528" s="32" t="s">
        <v>265</v>
      </c>
      <c r="L528" s="32" t="s">
        <v>266</v>
      </c>
      <c r="M528" s="32" t="s">
        <v>272</v>
      </c>
      <c r="N528" s="3" t="str">
        <f t="shared" si="138"/>
        <v>SFm&amp;1&amp;rDXHP&amp;Ex&amp;dxHP_equip</v>
      </c>
      <c r="O528" s="3" t="s">
        <v>50</v>
      </c>
      <c r="P528" s="3">
        <v>1</v>
      </c>
      <c r="Q528" s="3" t="s">
        <v>57</v>
      </c>
      <c r="R528" s="3" t="s">
        <v>52</v>
      </c>
      <c r="S528" s="3" t="str">
        <f t="shared" si="137"/>
        <v>No</v>
      </c>
      <c r="T528" s="3" t="str">
        <f t="shared" si="139"/>
        <v>dxHP_equip</v>
      </c>
      <c r="U528" s="3" t="str">
        <f t="shared" si="136"/>
        <v>dxHP_equip</v>
      </c>
      <c r="V528" s="3" t="s">
        <v>105</v>
      </c>
      <c r="W528" s="3" t="s">
        <v>268</v>
      </c>
      <c r="X528" s="3" t="s">
        <v>105</v>
      </c>
      <c r="Y528" s="3" t="s">
        <v>268</v>
      </c>
      <c r="Z528" s="3" t="s">
        <v>269</v>
      </c>
      <c r="AA528" s="3" t="s">
        <v>55</v>
      </c>
      <c r="AB528" s="3" t="s">
        <v>56</v>
      </c>
      <c r="AC528" s="3" t="s">
        <v>215</v>
      </c>
    </row>
    <row r="529" spans="1:29" s="3" customFormat="1" x14ac:dyDescent="0.25">
      <c r="A529" s="3" t="s">
        <v>0</v>
      </c>
      <c r="B529" s="3" t="s">
        <v>10675</v>
      </c>
      <c r="C529" s="3" t="s">
        <v>10659</v>
      </c>
      <c r="D529" s="3" t="str">
        <f t="shared" si="141"/>
        <v>SWHC049-03 SEER Rated AC/HP_SFm</v>
      </c>
      <c r="F529" s="3" t="s">
        <v>270</v>
      </c>
      <c r="G529" s="3" t="str">
        <f t="shared" si="142"/>
        <v>RE-HV-HP-Pkg-lt65kBtuh-S17p0H9p4</v>
      </c>
      <c r="H529" s="3" t="s">
        <v>262</v>
      </c>
      <c r="I529" s="3" t="s">
        <v>263</v>
      </c>
      <c r="J529" s="3" t="s">
        <v>271</v>
      </c>
      <c r="K529" s="32" t="s">
        <v>265</v>
      </c>
      <c r="L529" s="32" t="s">
        <v>266</v>
      </c>
      <c r="M529" s="32" t="s">
        <v>272</v>
      </c>
      <c r="N529" s="3" t="str">
        <f t="shared" si="138"/>
        <v>SFm&amp;2&amp;rDXHP&amp;Ex&amp;dxHP_equip</v>
      </c>
      <c r="O529" s="3" t="s">
        <v>50</v>
      </c>
      <c r="P529" s="3">
        <v>2</v>
      </c>
      <c r="Q529" s="3" t="s">
        <v>57</v>
      </c>
      <c r="R529" s="3" t="s">
        <v>52</v>
      </c>
      <c r="S529" s="3" t="str">
        <f t="shared" si="137"/>
        <v>No</v>
      </c>
      <c r="T529" s="3" t="str">
        <f t="shared" si="139"/>
        <v>dxHP_equip</v>
      </c>
      <c r="U529" s="3" t="str">
        <f t="shared" si="136"/>
        <v>dxHP_equip</v>
      </c>
      <c r="V529" s="3" t="s">
        <v>105</v>
      </c>
      <c r="W529" s="3" t="s">
        <v>268</v>
      </c>
      <c r="X529" s="3" t="s">
        <v>105</v>
      </c>
      <c r="Y529" s="3" t="s">
        <v>268</v>
      </c>
      <c r="Z529" s="3" t="s">
        <v>269</v>
      </c>
      <c r="AA529" s="3" t="s">
        <v>55</v>
      </c>
      <c r="AB529" s="3" t="s">
        <v>56</v>
      </c>
      <c r="AC529" s="3" t="s">
        <v>215</v>
      </c>
    </row>
    <row r="530" spans="1:29" s="3" customFormat="1" x14ac:dyDescent="0.25">
      <c r="A530" s="3" t="s">
        <v>0</v>
      </c>
      <c r="B530" s="3" t="s">
        <v>10675</v>
      </c>
      <c r="C530" s="3" t="s">
        <v>10659</v>
      </c>
      <c r="D530" s="3" t="str">
        <f t="shared" si="141"/>
        <v>SWHC049-03 SEER Rated AC/HP_DMo</v>
      </c>
      <c r="F530" s="3" t="s">
        <v>270</v>
      </c>
      <c r="G530" s="3" t="str">
        <f t="shared" si="142"/>
        <v>RE-HV-HP-Pkg-lt65kBtuh-S17p0H9p4</v>
      </c>
      <c r="H530" s="3" t="s">
        <v>262</v>
      </c>
      <c r="I530" s="3" t="s">
        <v>263</v>
      </c>
      <c r="J530" s="3" t="s">
        <v>271</v>
      </c>
      <c r="K530" s="32" t="s">
        <v>265</v>
      </c>
      <c r="L530" s="32" t="s">
        <v>266</v>
      </c>
      <c r="M530" s="32" t="s">
        <v>272</v>
      </c>
      <c r="N530" s="3" t="str">
        <f t="shared" si="138"/>
        <v>DMo&amp;0&amp;rDXHP&amp;Ex&amp;dxHP_equip</v>
      </c>
      <c r="O530" s="3" t="s">
        <v>62</v>
      </c>
      <c r="P530" s="3">
        <v>0</v>
      </c>
      <c r="Q530" s="3" t="s">
        <v>57</v>
      </c>
      <c r="R530" s="3" t="s">
        <v>52</v>
      </c>
      <c r="S530" s="3" t="str">
        <f t="shared" si="137"/>
        <v>No</v>
      </c>
      <c r="T530" s="3" t="str">
        <f t="shared" si="139"/>
        <v>dxHP_equip</v>
      </c>
      <c r="U530" s="3" t="str">
        <f t="shared" si="136"/>
        <v>dxHP_equip</v>
      </c>
      <c r="V530" s="3" t="s">
        <v>105</v>
      </c>
      <c r="W530" s="3" t="s">
        <v>268</v>
      </c>
      <c r="X530" s="3" t="s">
        <v>105</v>
      </c>
      <c r="Y530" s="3" t="s">
        <v>268</v>
      </c>
      <c r="Z530" s="3" t="s">
        <v>269</v>
      </c>
      <c r="AA530" s="3" t="s">
        <v>55</v>
      </c>
      <c r="AB530" s="3" t="s">
        <v>56</v>
      </c>
      <c r="AC530" s="3" t="s">
        <v>215</v>
      </c>
    </row>
    <row r="531" spans="1:29" s="3" customFormat="1" x14ac:dyDescent="0.25">
      <c r="A531" s="3" t="s">
        <v>0</v>
      </c>
      <c r="B531" s="3" t="s">
        <v>10675</v>
      </c>
      <c r="C531" s="3" t="s">
        <v>10659</v>
      </c>
      <c r="D531" s="3" t="str">
        <f t="shared" si="141"/>
        <v>SWHC049-03 SEER Rated AC/HP_MFm</v>
      </c>
      <c r="F531" s="3" t="s">
        <v>270</v>
      </c>
      <c r="G531" s="3" t="str">
        <f t="shared" si="142"/>
        <v>RE-HV-HP-Pkg-lt65kBtuh-S17p0H9p4</v>
      </c>
      <c r="H531" s="3" t="s">
        <v>262</v>
      </c>
      <c r="I531" s="3" t="s">
        <v>263</v>
      </c>
      <c r="J531" s="3" t="s">
        <v>271</v>
      </c>
      <c r="K531" s="32" t="s">
        <v>265</v>
      </c>
      <c r="L531" s="32" t="s">
        <v>266</v>
      </c>
      <c r="M531" s="32" t="s">
        <v>272</v>
      </c>
      <c r="N531" s="3" t="str">
        <f t="shared" si="138"/>
        <v>MFm&amp;0&amp;rDXHP&amp;Ex&amp;dxHP_equip</v>
      </c>
      <c r="O531" s="3" t="s">
        <v>63</v>
      </c>
      <c r="P531" s="3">
        <v>0</v>
      </c>
      <c r="Q531" s="3" t="s">
        <v>57</v>
      </c>
      <c r="R531" s="3" t="s">
        <v>52</v>
      </c>
      <c r="S531" s="3" t="str">
        <f t="shared" si="137"/>
        <v>No</v>
      </c>
      <c r="T531" s="3" t="str">
        <f t="shared" si="139"/>
        <v>dxHP_equip</v>
      </c>
      <c r="U531" s="3" t="str">
        <f t="shared" si="136"/>
        <v>dxHP_equip</v>
      </c>
      <c r="V531" s="3" t="s">
        <v>105</v>
      </c>
      <c r="W531" s="3" t="s">
        <v>268</v>
      </c>
      <c r="X531" s="3" t="s">
        <v>105</v>
      </c>
      <c r="Y531" s="3" t="s">
        <v>268</v>
      </c>
      <c r="Z531" s="3" t="s">
        <v>269</v>
      </c>
      <c r="AA531" s="3" t="s">
        <v>55</v>
      </c>
      <c r="AB531" s="3" t="s">
        <v>56</v>
      </c>
      <c r="AC531" s="3" t="s">
        <v>215</v>
      </c>
    </row>
    <row r="532" spans="1:29" s="3" customFormat="1" x14ac:dyDescent="0.25">
      <c r="A532" s="3" t="s">
        <v>0</v>
      </c>
      <c r="B532" s="3" t="s">
        <v>10675</v>
      </c>
      <c r="C532" s="3" t="s">
        <v>10659</v>
      </c>
      <c r="D532" s="3" t="str">
        <f t="shared" si="141"/>
        <v>SWHC049-03 SEER Rated AC/HP_SFm</v>
      </c>
      <c r="F532" s="3" t="s">
        <v>270</v>
      </c>
      <c r="G532" s="3" t="str">
        <f t="shared" si="142"/>
        <v>RE-HV-HP-Pkg-lt65kBtuh-S17p0H9p4</v>
      </c>
      <c r="H532" s="3" t="s">
        <v>262</v>
      </c>
      <c r="I532" s="3" t="s">
        <v>263</v>
      </c>
      <c r="J532" s="3" t="s">
        <v>271</v>
      </c>
      <c r="K532" s="32" t="s">
        <v>265</v>
      </c>
      <c r="L532" s="32" t="s">
        <v>266</v>
      </c>
      <c r="M532" s="32" t="s">
        <v>272</v>
      </c>
      <c r="N532" s="3" t="str">
        <f t="shared" si="138"/>
        <v>SFm&amp;1&amp;rDXHP&amp;New&amp;dxHP_equip</v>
      </c>
      <c r="O532" s="3" t="s">
        <v>50</v>
      </c>
      <c r="P532" s="3">
        <v>1</v>
      </c>
      <c r="Q532" s="3" t="s">
        <v>57</v>
      </c>
      <c r="R532" s="3" t="s">
        <v>107</v>
      </c>
      <c r="S532" s="3" t="str">
        <f t="shared" si="137"/>
        <v>No</v>
      </c>
      <c r="T532" s="3" t="str">
        <f t="shared" si="139"/>
        <v>dxHP_equip</v>
      </c>
      <c r="U532" s="3" t="str">
        <f t="shared" si="136"/>
        <v>dxHP_equip</v>
      </c>
      <c r="V532" s="3" t="s">
        <v>105</v>
      </c>
      <c r="W532" s="3" t="s">
        <v>268</v>
      </c>
      <c r="X532" s="3" t="s">
        <v>105</v>
      </c>
      <c r="Y532" s="3" t="s">
        <v>268</v>
      </c>
      <c r="Z532" s="3" t="s">
        <v>269</v>
      </c>
      <c r="AA532" s="3" t="s">
        <v>55</v>
      </c>
      <c r="AB532" s="3" t="s">
        <v>56</v>
      </c>
      <c r="AC532" s="3" t="s">
        <v>215</v>
      </c>
    </row>
    <row r="533" spans="1:29" s="3" customFormat="1" x14ac:dyDescent="0.25">
      <c r="A533" s="3" t="s">
        <v>0</v>
      </c>
      <c r="B533" s="3" t="s">
        <v>10675</v>
      </c>
      <c r="C533" s="3" t="s">
        <v>10659</v>
      </c>
      <c r="D533" s="3" t="str">
        <f t="shared" si="141"/>
        <v>SWHC049-03 SEER Rated AC/HP_SFm</v>
      </c>
      <c r="F533" s="3" t="s">
        <v>270</v>
      </c>
      <c r="G533" s="3" t="str">
        <f t="shared" si="142"/>
        <v>RE-HV-HP-Pkg-lt65kBtuh-S17p0H9p4</v>
      </c>
      <c r="H533" s="3" t="s">
        <v>262</v>
      </c>
      <c r="I533" s="3" t="s">
        <v>263</v>
      </c>
      <c r="J533" s="3" t="s">
        <v>271</v>
      </c>
      <c r="K533" s="32" t="s">
        <v>265</v>
      </c>
      <c r="L533" s="32" t="s">
        <v>266</v>
      </c>
      <c r="M533" s="32" t="s">
        <v>272</v>
      </c>
      <c r="N533" s="3" t="str">
        <f t="shared" si="138"/>
        <v>SFm&amp;2&amp;rDXHP&amp;New&amp;dxHP_equip</v>
      </c>
      <c r="O533" s="3" t="s">
        <v>50</v>
      </c>
      <c r="P533" s="3">
        <v>2</v>
      </c>
      <c r="Q533" s="3" t="s">
        <v>57</v>
      </c>
      <c r="R533" s="3" t="s">
        <v>107</v>
      </c>
      <c r="S533" s="3" t="str">
        <f t="shared" si="137"/>
        <v>No</v>
      </c>
      <c r="T533" s="3" t="str">
        <f t="shared" si="139"/>
        <v>dxHP_equip</v>
      </c>
      <c r="U533" s="3" t="str">
        <f t="shared" si="136"/>
        <v>dxHP_equip</v>
      </c>
      <c r="V533" s="3" t="s">
        <v>105</v>
      </c>
      <c r="W533" s="3" t="s">
        <v>268</v>
      </c>
      <c r="X533" s="3" t="s">
        <v>105</v>
      </c>
      <c r="Y533" s="3" t="s">
        <v>268</v>
      </c>
      <c r="Z533" s="3" t="s">
        <v>269</v>
      </c>
      <c r="AA533" s="3" t="s">
        <v>55</v>
      </c>
      <c r="AB533" s="3" t="s">
        <v>56</v>
      </c>
      <c r="AC533" s="3" t="s">
        <v>215</v>
      </c>
    </row>
    <row r="534" spans="1:29" s="3" customFormat="1" x14ac:dyDescent="0.25">
      <c r="A534" s="3" t="s">
        <v>0</v>
      </c>
      <c r="B534" s="3" t="s">
        <v>10675</v>
      </c>
      <c r="C534" s="3" t="s">
        <v>10659</v>
      </c>
      <c r="D534" s="3" t="str">
        <f t="shared" si="141"/>
        <v>SWHC049-03 SEER Rated AC/HP_DMo</v>
      </c>
      <c r="F534" s="3" t="s">
        <v>270</v>
      </c>
      <c r="G534" s="3" t="str">
        <f t="shared" si="142"/>
        <v>RE-HV-HP-Pkg-lt65kBtuh-S17p0H9p4</v>
      </c>
      <c r="H534" s="3" t="s">
        <v>262</v>
      </c>
      <c r="I534" s="3" t="s">
        <v>263</v>
      </c>
      <c r="J534" s="3" t="s">
        <v>271</v>
      </c>
      <c r="K534" s="32" t="s">
        <v>265</v>
      </c>
      <c r="L534" s="32" t="s">
        <v>266</v>
      </c>
      <c r="M534" s="32" t="s">
        <v>272</v>
      </c>
      <c r="N534" s="3" t="str">
        <f t="shared" si="138"/>
        <v>DMo&amp;0&amp;rDXHP&amp;New&amp;dxHP_equip</v>
      </c>
      <c r="O534" s="3" t="s">
        <v>62</v>
      </c>
      <c r="P534" s="3">
        <v>0</v>
      </c>
      <c r="Q534" s="3" t="s">
        <v>57</v>
      </c>
      <c r="R534" s="3" t="s">
        <v>107</v>
      </c>
      <c r="S534" s="3" t="str">
        <f t="shared" si="137"/>
        <v>No</v>
      </c>
      <c r="T534" s="3" t="str">
        <f t="shared" si="139"/>
        <v>dxHP_equip</v>
      </c>
      <c r="U534" s="3" t="str">
        <f t="shared" si="136"/>
        <v>dxHP_equip</v>
      </c>
      <c r="V534" s="3" t="s">
        <v>105</v>
      </c>
      <c r="W534" s="3" t="s">
        <v>268</v>
      </c>
      <c r="X534" s="3" t="s">
        <v>105</v>
      </c>
      <c r="Y534" s="3" t="s">
        <v>268</v>
      </c>
      <c r="Z534" s="3" t="s">
        <v>269</v>
      </c>
      <c r="AA534" s="3" t="s">
        <v>55</v>
      </c>
      <c r="AB534" s="3" t="s">
        <v>56</v>
      </c>
      <c r="AC534" s="3" t="s">
        <v>215</v>
      </c>
    </row>
    <row r="535" spans="1:29" s="3" customFormat="1" x14ac:dyDescent="0.25">
      <c r="A535" s="3" t="s">
        <v>0</v>
      </c>
      <c r="B535" s="3" t="s">
        <v>10675</v>
      </c>
      <c r="C535" s="3" t="s">
        <v>10659</v>
      </c>
      <c r="D535" s="3" t="str">
        <f t="shared" si="141"/>
        <v>SWHC049-03 SEER Rated AC/HP_MFm</v>
      </c>
      <c r="F535" s="3" t="s">
        <v>270</v>
      </c>
      <c r="G535" s="3" t="str">
        <f t="shared" si="142"/>
        <v>RE-HV-HP-Pkg-lt65kBtuh-S17p0H9p4</v>
      </c>
      <c r="H535" s="3" t="s">
        <v>262</v>
      </c>
      <c r="I535" s="3" t="s">
        <v>263</v>
      </c>
      <c r="J535" s="3" t="s">
        <v>271</v>
      </c>
      <c r="K535" s="32" t="s">
        <v>265</v>
      </c>
      <c r="L535" s="32" t="s">
        <v>266</v>
      </c>
      <c r="M535" s="32" t="s">
        <v>272</v>
      </c>
      <c r="N535" s="3" t="str">
        <f t="shared" si="138"/>
        <v>MFm&amp;0&amp;rDXHP&amp;New&amp;dxHP_equip</v>
      </c>
      <c r="O535" s="3" t="s">
        <v>63</v>
      </c>
      <c r="P535" s="3">
        <v>0</v>
      </c>
      <c r="Q535" s="3" t="s">
        <v>57</v>
      </c>
      <c r="R535" s="3" t="s">
        <v>107</v>
      </c>
      <c r="S535" s="3" t="str">
        <f t="shared" si="137"/>
        <v>No</v>
      </c>
      <c r="T535" s="3" t="str">
        <f t="shared" si="139"/>
        <v>dxHP_equip</v>
      </c>
      <c r="U535" s="3" t="str">
        <f t="shared" si="136"/>
        <v>dxHP_equip</v>
      </c>
      <c r="V535" s="3" t="s">
        <v>105</v>
      </c>
      <c r="W535" s="3" t="s">
        <v>268</v>
      </c>
      <c r="X535" s="3" t="s">
        <v>105</v>
      </c>
      <c r="Y535" s="3" t="s">
        <v>268</v>
      </c>
      <c r="Z535" s="3" t="s">
        <v>269</v>
      </c>
      <c r="AA535" s="3" t="s">
        <v>55</v>
      </c>
      <c r="AB535" s="3" t="s">
        <v>56</v>
      </c>
      <c r="AC535" s="3" t="s">
        <v>215</v>
      </c>
    </row>
    <row r="536" spans="1:29" s="3" customFormat="1" x14ac:dyDescent="0.25">
      <c r="A536" s="3" t="s">
        <v>0</v>
      </c>
      <c r="B536" s="3" t="s">
        <v>10675</v>
      </c>
      <c r="C536" s="3" t="s">
        <v>10659</v>
      </c>
      <c r="D536" s="3" t="str">
        <f t="shared" si="141"/>
        <v>SWHC049-03 SEER Rated AC/HP_SFm</v>
      </c>
      <c r="F536" s="3" t="s">
        <v>273</v>
      </c>
      <c r="G536" s="3" t="str">
        <f t="shared" ref="G536:G543" si="143">F536</f>
        <v>RE-HV-HP-Pkg-lt65kBtuh-S18p0H9p5</v>
      </c>
      <c r="H536" s="3" t="s">
        <v>262</v>
      </c>
      <c r="I536" s="3" t="s">
        <v>263</v>
      </c>
      <c r="J536" s="3" t="s">
        <v>274</v>
      </c>
      <c r="K536" s="32" t="s">
        <v>265</v>
      </c>
      <c r="L536" s="32" t="s">
        <v>266</v>
      </c>
      <c r="M536" s="32" t="s">
        <v>275</v>
      </c>
      <c r="N536" s="3" t="str">
        <f t="shared" si="138"/>
        <v>SFm&amp;1&amp;rDXHP&amp;Ex&amp;dxHP_equip</v>
      </c>
      <c r="O536" s="3" t="s">
        <v>50</v>
      </c>
      <c r="P536" s="3">
        <v>1</v>
      </c>
      <c r="Q536" s="3" t="s">
        <v>57</v>
      </c>
      <c r="R536" s="3" t="s">
        <v>52</v>
      </c>
      <c r="S536" s="3" t="str">
        <f t="shared" si="137"/>
        <v>No</v>
      </c>
      <c r="T536" s="3" t="str">
        <f t="shared" si="139"/>
        <v>dxHP_equip</v>
      </c>
      <c r="U536" s="3" t="str">
        <f t="shared" si="136"/>
        <v>dxHP_equip</v>
      </c>
      <c r="V536" s="3" t="s">
        <v>105</v>
      </c>
      <c r="W536" s="3" t="s">
        <v>268</v>
      </c>
      <c r="X536" s="3" t="s">
        <v>105</v>
      </c>
      <c r="Y536" s="3" t="s">
        <v>268</v>
      </c>
      <c r="Z536" s="3" t="s">
        <v>269</v>
      </c>
      <c r="AA536" s="3" t="s">
        <v>55</v>
      </c>
      <c r="AB536" s="3" t="s">
        <v>56</v>
      </c>
      <c r="AC536" s="3" t="s">
        <v>215</v>
      </c>
    </row>
    <row r="537" spans="1:29" s="3" customFormat="1" x14ac:dyDescent="0.25">
      <c r="A537" s="3" t="s">
        <v>0</v>
      </c>
      <c r="B537" s="3" t="s">
        <v>10675</v>
      </c>
      <c r="C537" s="3" t="s">
        <v>10659</v>
      </c>
      <c r="D537" s="3" t="str">
        <f t="shared" si="141"/>
        <v>SWHC049-03 SEER Rated AC/HP_SFm</v>
      </c>
      <c r="F537" s="3" t="s">
        <v>273</v>
      </c>
      <c r="G537" s="3" t="str">
        <f t="shared" si="143"/>
        <v>RE-HV-HP-Pkg-lt65kBtuh-S18p0H9p5</v>
      </c>
      <c r="H537" s="3" t="s">
        <v>262</v>
      </c>
      <c r="I537" s="3" t="s">
        <v>263</v>
      </c>
      <c r="J537" s="3" t="s">
        <v>274</v>
      </c>
      <c r="K537" s="32" t="s">
        <v>265</v>
      </c>
      <c r="L537" s="32" t="s">
        <v>266</v>
      </c>
      <c r="M537" s="32" t="s">
        <v>275</v>
      </c>
      <c r="N537" s="3" t="str">
        <f t="shared" si="138"/>
        <v>SFm&amp;2&amp;rDXHP&amp;Ex&amp;dxHP_equip</v>
      </c>
      <c r="O537" s="3" t="s">
        <v>50</v>
      </c>
      <c r="P537" s="3">
        <v>2</v>
      </c>
      <c r="Q537" s="3" t="s">
        <v>57</v>
      </c>
      <c r="R537" s="3" t="s">
        <v>52</v>
      </c>
      <c r="S537" s="3" t="str">
        <f t="shared" si="137"/>
        <v>No</v>
      </c>
      <c r="T537" s="3" t="str">
        <f t="shared" si="139"/>
        <v>dxHP_equip</v>
      </c>
      <c r="U537" s="3" t="str">
        <f t="shared" si="136"/>
        <v>dxHP_equip</v>
      </c>
      <c r="V537" s="3" t="s">
        <v>105</v>
      </c>
      <c r="W537" s="3" t="s">
        <v>268</v>
      </c>
      <c r="X537" s="3" t="s">
        <v>105</v>
      </c>
      <c r="Y537" s="3" t="s">
        <v>268</v>
      </c>
      <c r="Z537" s="3" t="s">
        <v>269</v>
      </c>
      <c r="AA537" s="3" t="s">
        <v>55</v>
      </c>
      <c r="AB537" s="3" t="s">
        <v>56</v>
      </c>
      <c r="AC537" s="3" t="s">
        <v>215</v>
      </c>
    </row>
    <row r="538" spans="1:29" s="3" customFormat="1" x14ac:dyDescent="0.25">
      <c r="A538" s="3" t="s">
        <v>0</v>
      </c>
      <c r="B538" s="3" t="s">
        <v>10675</v>
      </c>
      <c r="C538" s="3" t="s">
        <v>10659</v>
      </c>
      <c r="D538" s="3" t="str">
        <f t="shared" si="141"/>
        <v>SWHC049-03 SEER Rated AC/HP_DMo</v>
      </c>
      <c r="F538" s="3" t="s">
        <v>273</v>
      </c>
      <c r="G538" s="3" t="str">
        <f t="shared" si="143"/>
        <v>RE-HV-HP-Pkg-lt65kBtuh-S18p0H9p5</v>
      </c>
      <c r="H538" s="3" t="s">
        <v>262</v>
      </c>
      <c r="I538" s="3" t="s">
        <v>263</v>
      </c>
      <c r="J538" s="3" t="s">
        <v>274</v>
      </c>
      <c r="K538" s="32" t="s">
        <v>265</v>
      </c>
      <c r="L538" s="32" t="s">
        <v>266</v>
      </c>
      <c r="M538" s="32" t="s">
        <v>275</v>
      </c>
      <c r="N538" s="3" t="str">
        <f t="shared" si="138"/>
        <v>DMo&amp;0&amp;rDXHP&amp;Ex&amp;dxHP_equip</v>
      </c>
      <c r="O538" s="3" t="s">
        <v>62</v>
      </c>
      <c r="P538" s="3">
        <v>0</v>
      </c>
      <c r="Q538" s="3" t="s">
        <v>57</v>
      </c>
      <c r="R538" s="3" t="s">
        <v>52</v>
      </c>
      <c r="S538" s="3" t="str">
        <f t="shared" si="137"/>
        <v>No</v>
      </c>
      <c r="T538" s="3" t="str">
        <f t="shared" si="139"/>
        <v>dxHP_equip</v>
      </c>
      <c r="U538" s="3" t="str">
        <f t="shared" si="136"/>
        <v>dxHP_equip</v>
      </c>
      <c r="V538" s="3" t="s">
        <v>105</v>
      </c>
      <c r="W538" s="3" t="s">
        <v>268</v>
      </c>
      <c r="X538" s="3" t="s">
        <v>105</v>
      </c>
      <c r="Y538" s="3" t="s">
        <v>268</v>
      </c>
      <c r="Z538" s="3" t="s">
        <v>269</v>
      </c>
      <c r="AA538" s="3" t="s">
        <v>55</v>
      </c>
      <c r="AB538" s="3" t="s">
        <v>56</v>
      </c>
      <c r="AC538" s="3" t="s">
        <v>215</v>
      </c>
    </row>
    <row r="539" spans="1:29" s="3" customFormat="1" x14ac:dyDescent="0.25">
      <c r="A539" s="3" t="s">
        <v>0</v>
      </c>
      <c r="B539" s="3" t="s">
        <v>10675</v>
      </c>
      <c r="C539" s="3" t="s">
        <v>10659</v>
      </c>
      <c r="D539" s="3" t="str">
        <f t="shared" si="141"/>
        <v>SWHC049-03 SEER Rated AC/HP_MFm</v>
      </c>
      <c r="F539" s="3" t="s">
        <v>273</v>
      </c>
      <c r="G539" s="3" t="str">
        <f t="shared" si="143"/>
        <v>RE-HV-HP-Pkg-lt65kBtuh-S18p0H9p5</v>
      </c>
      <c r="H539" s="3" t="s">
        <v>262</v>
      </c>
      <c r="I539" s="3" t="s">
        <v>263</v>
      </c>
      <c r="J539" s="3" t="s">
        <v>274</v>
      </c>
      <c r="K539" s="32" t="s">
        <v>265</v>
      </c>
      <c r="L539" s="32" t="s">
        <v>266</v>
      </c>
      <c r="M539" s="32" t="s">
        <v>275</v>
      </c>
      <c r="N539" s="3" t="str">
        <f t="shared" si="138"/>
        <v>MFm&amp;0&amp;rDXHP&amp;Ex&amp;dxHP_equip</v>
      </c>
      <c r="O539" s="3" t="s">
        <v>63</v>
      </c>
      <c r="P539" s="3">
        <v>0</v>
      </c>
      <c r="Q539" s="3" t="s">
        <v>57</v>
      </c>
      <c r="R539" s="3" t="s">
        <v>52</v>
      </c>
      <c r="S539" s="3" t="str">
        <f t="shared" si="137"/>
        <v>No</v>
      </c>
      <c r="T539" s="3" t="str">
        <f t="shared" si="139"/>
        <v>dxHP_equip</v>
      </c>
      <c r="U539" s="3" t="str">
        <f t="shared" si="136"/>
        <v>dxHP_equip</v>
      </c>
      <c r="V539" s="3" t="s">
        <v>105</v>
      </c>
      <c r="W539" s="3" t="s">
        <v>268</v>
      </c>
      <c r="X539" s="3" t="s">
        <v>105</v>
      </c>
      <c r="Y539" s="3" t="s">
        <v>268</v>
      </c>
      <c r="Z539" s="3" t="s">
        <v>269</v>
      </c>
      <c r="AA539" s="3" t="s">
        <v>55</v>
      </c>
      <c r="AB539" s="3" t="s">
        <v>56</v>
      </c>
      <c r="AC539" s="3" t="s">
        <v>215</v>
      </c>
    </row>
    <row r="540" spans="1:29" s="3" customFormat="1" x14ac:dyDescent="0.25">
      <c r="A540" s="3" t="s">
        <v>0</v>
      </c>
      <c r="B540" s="3" t="s">
        <v>10675</v>
      </c>
      <c r="C540" s="3" t="s">
        <v>10659</v>
      </c>
      <c r="D540" s="3" t="str">
        <f t="shared" si="141"/>
        <v>SWHC049-03 SEER Rated AC/HP_SFm</v>
      </c>
      <c r="F540" s="3" t="s">
        <v>273</v>
      </c>
      <c r="G540" s="3" t="str">
        <f t="shared" si="143"/>
        <v>RE-HV-HP-Pkg-lt65kBtuh-S18p0H9p5</v>
      </c>
      <c r="H540" s="3" t="s">
        <v>262</v>
      </c>
      <c r="I540" s="3" t="s">
        <v>263</v>
      </c>
      <c r="J540" s="3" t="s">
        <v>274</v>
      </c>
      <c r="K540" s="32" t="s">
        <v>265</v>
      </c>
      <c r="L540" s="32" t="s">
        <v>266</v>
      </c>
      <c r="M540" s="32" t="s">
        <v>275</v>
      </c>
      <c r="N540" s="3" t="str">
        <f t="shared" si="138"/>
        <v>SFm&amp;1&amp;rDXHP&amp;New&amp;dxHP_equip</v>
      </c>
      <c r="O540" s="3" t="s">
        <v>50</v>
      </c>
      <c r="P540" s="3">
        <v>1</v>
      </c>
      <c r="Q540" s="3" t="s">
        <v>57</v>
      </c>
      <c r="R540" s="3" t="s">
        <v>107</v>
      </c>
      <c r="S540" s="3" t="str">
        <f t="shared" si="137"/>
        <v>No</v>
      </c>
      <c r="T540" s="3" t="str">
        <f t="shared" si="139"/>
        <v>dxHP_equip</v>
      </c>
      <c r="U540" s="3" t="str">
        <f t="shared" si="136"/>
        <v>dxHP_equip</v>
      </c>
      <c r="V540" s="3" t="s">
        <v>105</v>
      </c>
      <c r="W540" s="3" t="s">
        <v>268</v>
      </c>
      <c r="X540" s="3" t="s">
        <v>105</v>
      </c>
      <c r="Y540" s="3" t="s">
        <v>268</v>
      </c>
      <c r="Z540" s="3" t="s">
        <v>269</v>
      </c>
      <c r="AA540" s="3" t="s">
        <v>55</v>
      </c>
      <c r="AB540" s="3" t="s">
        <v>56</v>
      </c>
      <c r="AC540" s="3" t="s">
        <v>215</v>
      </c>
    </row>
    <row r="541" spans="1:29" s="3" customFormat="1" x14ac:dyDescent="0.25">
      <c r="A541" s="3" t="s">
        <v>0</v>
      </c>
      <c r="B541" s="3" t="s">
        <v>10675</v>
      </c>
      <c r="C541" s="3" t="s">
        <v>10659</v>
      </c>
      <c r="D541" s="3" t="str">
        <f t="shared" si="141"/>
        <v>SWHC049-03 SEER Rated AC/HP_SFm</v>
      </c>
      <c r="F541" s="3" t="s">
        <v>273</v>
      </c>
      <c r="G541" s="3" t="str">
        <f t="shared" si="143"/>
        <v>RE-HV-HP-Pkg-lt65kBtuh-S18p0H9p5</v>
      </c>
      <c r="H541" s="3" t="s">
        <v>262</v>
      </c>
      <c r="I541" s="3" t="s">
        <v>263</v>
      </c>
      <c r="J541" s="3" t="s">
        <v>274</v>
      </c>
      <c r="K541" s="32" t="s">
        <v>265</v>
      </c>
      <c r="L541" s="32" t="s">
        <v>266</v>
      </c>
      <c r="M541" s="32" t="s">
        <v>275</v>
      </c>
      <c r="N541" s="3" t="str">
        <f t="shared" si="138"/>
        <v>SFm&amp;2&amp;rDXHP&amp;New&amp;dxHP_equip</v>
      </c>
      <c r="O541" s="3" t="s">
        <v>50</v>
      </c>
      <c r="P541" s="3">
        <v>2</v>
      </c>
      <c r="Q541" s="3" t="s">
        <v>57</v>
      </c>
      <c r="R541" s="3" t="s">
        <v>107</v>
      </c>
      <c r="S541" s="3" t="str">
        <f t="shared" si="137"/>
        <v>No</v>
      </c>
      <c r="T541" s="3" t="str">
        <f t="shared" si="139"/>
        <v>dxHP_equip</v>
      </c>
      <c r="U541" s="3" t="str">
        <f t="shared" si="136"/>
        <v>dxHP_equip</v>
      </c>
      <c r="V541" s="3" t="s">
        <v>105</v>
      </c>
      <c r="W541" s="3" t="s">
        <v>268</v>
      </c>
      <c r="X541" s="3" t="s">
        <v>105</v>
      </c>
      <c r="Y541" s="3" t="s">
        <v>268</v>
      </c>
      <c r="Z541" s="3" t="s">
        <v>269</v>
      </c>
      <c r="AA541" s="3" t="s">
        <v>55</v>
      </c>
      <c r="AB541" s="3" t="s">
        <v>56</v>
      </c>
      <c r="AC541" s="3" t="s">
        <v>215</v>
      </c>
    </row>
    <row r="542" spans="1:29" s="3" customFormat="1" x14ac:dyDescent="0.25">
      <c r="A542" s="3" t="s">
        <v>0</v>
      </c>
      <c r="B542" s="3" t="s">
        <v>10675</v>
      </c>
      <c r="C542" s="3" t="s">
        <v>10659</v>
      </c>
      <c r="D542" s="3" t="str">
        <f t="shared" si="141"/>
        <v>SWHC049-03 SEER Rated AC/HP_DMo</v>
      </c>
      <c r="F542" s="3" t="s">
        <v>273</v>
      </c>
      <c r="G542" s="3" t="str">
        <f t="shared" si="143"/>
        <v>RE-HV-HP-Pkg-lt65kBtuh-S18p0H9p5</v>
      </c>
      <c r="H542" s="3" t="s">
        <v>262</v>
      </c>
      <c r="I542" s="3" t="s">
        <v>263</v>
      </c>
      <c r="J542" s="3" t="s">
        <v>274</v>
      </c>
      <c r="K542" s="32" t="s">
        <v>265</v>
      </c>
      <c r="L542" s="32" t="s">
        <v>266</v>
      </c>
      <c r="M542" s="32" t="s">
        <v>275</v>
      </c>
      <c r="N542" s="3" t="str">
        <f t="shared" si="138"/>
        <v>DMo&amp;0&amp;rDXHP&amp;New&amp;dxHP_equip</v>
      </c>
      <c r="O542" s="3" t="s">
        <v>62</v>
      </c>
      <c r="P542" s="3">
        <v>0</v>
      </c>
      <c r="Q542" s="3" t="s">
        <v>57</v>
      </c>
      <c r="R542" s="3" t="s">
        <v>107</v>
      </c>
      <c r="S542" s="3" t="str">
        <f t="shared" si="137"/>
        <v>No</v>
      </c>
      <c r="T542" s="3" t="str">
        <f t="shared" si="139"/>
        <v>dxHP_equip</v>
      </c>
      <c r="U542" s="3" t="str">
        <f t="shared" si="136"/>
        <v>dxHP_equip</v>
      </c>
      <c r="V542" s="3" t="s">
        <v>105</v>
      </c>
      <c r="W542" s="3" t="s">
        <v>268</v>
      </c>
      <c r="X542" s="3" t="s">
        <v>105</v>
      </c>
      <c r="Y542" s="3" t="s">
        <v>268</v>
      </c>
      <c r="Z542" s="3" t="s">
        <v>269</v>
      </c>
      <c r="AA542" s="3" t="s">
        <v>55</v>
      </c>
      <c r="AB542" s="3" t="s">
        <v>56</v>
      </c>
      <c r="AC542" s="3" t="s">
        <v>215</v>
      </c>
    </row>
    <row r="543" spans="1:29" s="3" customFormat="1" x14ac:dyDescent="0.25">
      <c r="A543" s="3" t="s">
        <v>0</v>
      </c>
      <c r="B543" s="3" t="s">
        <v>10675</v>
      </c>
      <c r="C543" s="3" t="s">
        <v>10659</v>
      </c>
      <c r="D543" s="3" t="str">
        <f t="shared" si="141"/>
        <v>SWHC049-03 SEER Rated AC/HP_MFm</v>
      </c>
      <c r="F543" s="3" t="s">
        <v>273</v>
      </c>
      <c r="G543" s="3" t="str">
        <f t="shared" si="143"/>
        <v>RE-HV-HP-Pkg-lt65kBtuh-S18p0H9p5</v>
      </c>
      <c r="H543" s="3" t="s">
        <v>262</v>
      </c>
      <c r="I543" s="3" t="s">
        <v>263</v>
      </c>
      <c r="J543" s="3" t="s">
        <v>274</v>
      </c>
      <c r="K543" s="32" t="s">
        <v>265</v>
      </c>
      <c r="L543" s="32" t="s">
        <v>266</v>
      </c>
      <c r="M543" s="32" t="s">
        <v>275</v>
      </c>
      <c r="N543" s="3" t="str">
        <f t="shared" si="138"/>
        <v>MFm&amp;0&amp;rDXHP&amp;New&amp;dxHP_equip</v>
      </c>
      <c r="O543" s="3" t="s">
        <v>63</v>
      </c>
      <c r="P543" s="3">
        <v>0</v>
      </c>
      <c r="Q543" s="3" t="s">
        <v>57</v>
      </c>
      <c r="R543" s="3" t="s">
        <v>107</v>
      </c>
      <c r="S543" s="3" t="str">
        <f t="shared" si="137"/>
        <v>No</v>
      </c>
      <c r="T543" s="3" t="str">
        <f t="shared" si="139"/>
        <v>dxHP_equip</v>
      </c>
      <c r="U543" s="3" t="str">
        <f t="shared" si="136"/>
        <v>dxHP_equip</v>
      </c>
      <c r="V543" s="3" t="s">
        <v>105</v>
      </c>
      <c r="W543" s="3" t="s">
        <v>268</v>
      </c>
      <c r="X543" s="3" t="s">
        <v>105</v>
      </c>
      <c r="Y543" s="3" t="s">
        <v>268</v>
      </c>
      <c r="Z543" s="3" t="s">
        <v>269</v>
      </c>
      <c r="AA543" s="3" t="s">
        <v>55</v>
      </c>
      <c r="AB543" s="3" t="s">
        <v>56</v>
      </c>
      <c r="AC543" s="3" t="s">
        <v>215</v>
      </c>
    </row>
    <row r="544" spans="1:29" s="3" customFormat="1" x14ac:dyDescent="0.25">
      <c r="A544" s="3" t="s">
        <v>0</v>
      </c>
      <c r="B544" s="3" t="s">
        <v>10675</v>
      </c>
      <c r="C544" s="3" t="s">
        <v>10659</v>
      </c>
      <c r="D544" s="3" t="str">
        <f t="shared" si="141"/>
        <v>SWHC049-03 SEER Rated AC/HP_SFm</v>
      </c>
      <c r="F544" s="3" t="s">
        <v>276</v>
      </c>
      <c r="G544" s="3" t="str">
        <f t="shared" ref="G544:G551" si="144">F544</f>
        <v>RE-HV-HP-Pkg-lt65kBtuh-S19p0H9p5</v>
      </c>
      <c r="H544" s="3" t="s">
        <v>262</v>
      </c>
      <c r="I544" s="3" t="s">
        <v>263</v>
      </c>
      <c r="J544" s="3" t="s">
        <v>277</v>
      </c>
      <c r="K544" s="32" t="s">
        <v>265</v>
      </c>
      <c r="L544" s="32" t="s">
        <v>266</v>
      </c>
      <c r="M544" s="32" t="s">
        <v>278</v>
      </c>
      <c r="N544" s="3" t="str">
        <f t="shared" si="138"/>
        <v>SFm&amp;1&amp;rDXHP&amp;Ex&amp;dxHP_equip</v>
      </c>
      <c r="O544" s="3" t="s">
        <v>50</v>
      </c>
      <c r="P544" s="3">
        <v>1</v>
      </c>
      <c r="Q544" s="3" t="s">
        <v>57</v>
      </c>
      <c r="R544" s="3" t="s">
        <v>52</v>
      </c>
      <c r="S544" s="3" t="str">
        <f t="shared" si="137"/>
        <v>No</v>
      </c>
      <c r="T544" s="3" t="str">
        <f t="shared" si="139"/>
        <v>dxHP_equip</v>
      </c>
      <c r="U544" s="3" t="str">
        <f t="shared" si="136"/>
        <v>dxHP_equip</v>
      </c>
      <c r="V544" s="3" t="s">
        <v>105</v>
      </c>
      <c r="W544" s="3" t="s">
        <v>268</v>
      </c>
      <c r="X544" s="3" t="s">
        <v>105</v>
      </c>
      <c r="Y544" s="3" t="s">
        <v>268</v>
      </c>
      <c r="Z544" s="3" t="s">
        <v>269</v>
      </c>
      <c r="AA544" s="3" t="s">
        <v>55</v>
      </c>
      <c r="AB544" s="3" t="s">
        <v>56</v>
      </c>
      <c r="AC544" s="3" t="s">
        <v>215</v>
      </c>
    </row>
    <row r="545" spans="1:29" s="3" customFormat="1" x14ac:dyDescent="0.25">
      <c r="A545" s="3" t="s">
        <v>0</v>
      </c>
      <c r="B545" s="3" t="s">
        <v>10675</v>
      </c>
      <c r="C545" s="3" t="s">
        <v>10659</v>
      </c>
      <c r="D545" s="3" t="str">
        <f t="shared" si="141"/>
        <v>SWHC049-03 SEER Rated AC/HP_SFm</v>
      </c>
      <c r="F545" s="3" t="s">
        <v>276</v>
      </c>
      <c r="G545" s="3" t="str">
        <f t="shared" si="144"/>
        <v>RE-HV-HP-Pkg-lt65kBtuh-S19p0H9p5</v>
      </c>
      <c r="H545" s="3" t="s">
        <v>262</v>
      </c>
      <c r="I545" s="3" t="s">
        <v>263</v>
      </c>
      <c r="J545" s="3" t="s">
        <v>277</v>
      </c>
      <c r="K545" s="32" t="s">
        <v>265</v>
      </c>
      <c r="L545" s="32" t="s">
        <v>266</v>
      </c>
      <c r="M545" s="32" t="s">
        <v>278</v>
      </c>
      <c r="N545" s="3" t="str">
        <f t="shared" si="138"/>
        <v>SFm&amp;2&amp;rDXHP&amp;Ex&amp;dxHP_equip</v>
      </c>
      <c r="O545" s="3" t="s">
        <v>50</v>
      </c>
      <c r="P545" s="3">
        <v>2</v>
      </c>
      <c r="Q545" s="3" t="s">
        <v>57</v>
      </c>
      <c r="R545" s="3" t="s">
        <v>52</v>
      </c>
      <c r="S545" s="3" t="str">
        <f t="shared" si="137"/>
        <v>No</v>
      </c>
      <c r="T545" s="3" t="str">
        <f t="shared" si="139"/>
        <v>dxHP_equip</v>
      </c>
      <c r="U545" s="3" t="str">
        <f t="shared" si="136"/>
        <v>dxHP_equip</v>
      </c>
      <c r="V545" s="3" t="s">
        <v>105</v>
      </c>
      <c r="W545" s="3" t="s">
        <v>268</v>
      </c>
      <c r="X545" s="3" t="s">
        <v>105</v>
      </c>
      <c r="Y545" s="3" t="s">
        <v>268</v>
      </c>
      <c r="Z545" s="3" t="s">
        <v>269</v>
      </c>
      <c r="AA545" s="3" t="s">
        <v>55</v>
      </c>
      <c r="AB545" s="3" t="s">
        <v>56</v>
      </c>
      <c r="AC545" s="3" t="s">
        <v>215</v>
      </c>
    </row>
    <row r="546" spans="1:29" s="3" customFormat="1" x14ac:dyDescent="0.25">
      <c r="A546" s="3" t="s">
        <v>0</v>
      </c>
      <c r="B546" s="3" t="s">
        <v>10675</v>
      </c>
      <c r="C546" s="3" t="s">
        <v>10659</v>
      </c>
      <c r="D546" s="3" t="str">
        <f t="shared" si="141"/>
        <v>SWHC049-03 SEER Rated AC/HP_DMo</v>
      </c>
      <c r="F546" s="3" t="s">
        <v>276</v>
      </c>
      <c r="G546" s="3" t="str">
        <f t="shared" si="144"/>
        <v>RE-HV-HP-Pkg-lt65kBtuh-S19p0H9p5</v>
      </c>
      <c r="H546" s="3" t="s">
        <v>262</v>
      </c>
      <c r="I546" s="3" t="s">
        <v>263</v>
      </c>
      <c r="J546" s="3" t="s">
        <v>277</v>
      </c>
      <c r="K546" s="32" t="s">
        <v>265</v>
      </c>
      <c r="L546" s="32" t="s">
        <v>266</v>
      </c>
      <c r="M546" s="32" t="s">
        <v>278</v>
      </c>
      <c r="N546" s="3" t="str">
        <f t="shared" si="138"/>
        <v>DMo&amp;0&amp;rDXHP&amp;Ex&amp;dxHP_equip</v>
      </c>
      <c r="O546" s="3" t="s">
        <v>62</v>
      </c>
      <c r="P546" s="3">
        <v>0</v>
      </c>
      <c r="Q546" s="3" t="s">
        <v>57</v>
      </c>
      <c r="R546" s="3" t="s">
        <v>52</v>
      </c>
      <c r="S546" s="3" t="str">
        <f t="shared" si="137"/>
        <v>No</v>
      </c>
      <c r="T546" s="3" t="str">
        <f t="shared" si="139"/>
        <v>dxHP_equip</v>
      </c>
      <c r="U546" s="3" t="str">
        <f t="shared" si="136"/>
        <v>dxHP_equip</v>
      </c>
      <c r="V546" s="3" t="s">
        <v>105</v>
      </c>
      <c r="W546" s="3" t="s">
        <v>268</v>
      </c>
      <c r="X546" s="3" t="s">
        <v>105</v>
      </c>
      <c r="Y546" s="3" t="s">
        <v>268</v>
      </c>
      <c r="Z546" s="3" t="s">
        <v>269</v>
      </c>
      <c r="AA546" s="3" t="s">
        <v>55</v>
      </c>
      <c r="AB546" s="3" t="s">
        <v>56</v>
      </c>
      <c r="AC546" s="3" t="s">
        <v>215</v>
      </c>
    </row>
    <row r="547" spans="1:29" s="3" customFormat="1" x14ac:dyDescent="0.25">
      <c r="A547" s="3" t="s">
        <v>0</v>
      </c>
      <c r="B547" s="3" t="s">
        <v>10675</v>
      </c>
      <c r="C547" s="3" t="s">
        <v>10659</v>
      </c>
      <c r="D547" s="3" t="str">
        <f t="shared" si="141"/>
        <v>SWHC049-03 SEER Rated AC/HP_MFm</v>
      </c>
      <c r="F547" s="3" t="s">
        <v>276</v>
      </c>
      <c r="G547" s="3" t="str">
        <f t="shared" si="144"/>
        <v>RE-HV-HP-Pkg-lt65kBtuh-S19p0H9p5</v>
      </c>
      <c r="H547" s="3" t="s">
        <v>262</v>
      </c>
      <c r="I547" s="3" t="s">
        <v>263</v>
      </c>
      <c r="J547" s="3" t="s">
        <v>277</v>
      </c>
      <c r="K547" s="32" t="s">
        <v>265</v>
      </c>
      <c r="L547" s="32" t="s">
        <v>266</v>
      </c>
      <c r="M547" s="32" t="s">
        <v>278</v>
      </c>
      <c r="N547" s="3" t="str">
        <f t="shared" si="138"/>
        <v>MFm&amp;0&amp;rDXHP&amp;Ex&amp;dxHP_equip</v>
      </c>
      <c r="O547" s="3" t="s">
        <v>63</v>
      </c>
      <c r="P547" s="3">
        <v>0</v>
      </c>
      <c r="Q547" s="3" t="s">
        <v>57</v>
      </c>
      <c r="R547" s="3" t="s">
        <v>52</v>
      </c>
      <c r="S547" s="3" t="str">
        <f t="shared" si="137"/>
        <v>No</v>
      </c>
      <c r="T547" s="3" t="str">
        <f t="shared" si="139"/>
        <v>dxHP_equip</v>
      </c>
      <c r="U547" s="3" t="str">
        <f t="shared" si="136"/>
        <v>dxHP_equip</v>
      </c>
      <c r="V547" s="3" t="s">
        <v>105</v>
      </c>
      <c r="W547" s="3" t="s">
        <v>268</v>
      </c>
      <c r="X547" s="3" t="s">
        <v>105</v>
      </c>
      <c r="Y547" s="3" t="s">
        <v>268</v>
      </c>
      <c r="Z547" s="3" t="s">
        <v>269</v>
      </c>
      <c r="AA547" s="3" t="s">
        <v>55</v>
      </c>
      <c r="AB547" s="3" t="s">
        <v>56</v>
      </c>
      <c r="AC547" s="3" t="s">
        <v>215</v>
      </c>
    </row>
    <row r="548" spans="1:29" s="3" customFormat="1" x14ac:dyDescent="0.25">
      <c r="A548" s="3" t="s">
        <v>0</v>
      </c>
      <c r="B548" s="3" t="s">
        <v>10675</v>
      </c>
      <c r="C548" s="3" t="s">
        <v>10659</v>
      </c>
      <c r="D548" s="3" t="str">
        <f t="shared" si="141"/>
        <v>SWHC049-03 SEER Rated AC/HP_SFm</v>
      </c>
      <c r="F548" s="3" t="s">
        <v>276</v>
      </c>
      <c r="G548" s="3" t="str">
        <f t="shared" si="144"/>
        <v>RE-HV-HP-Pkg-lt65kBtuh-S19p0H9p5</v>
      </c>
      <c r="H548" s="3" t="s">
        <v>262</v>
      </c>
      <c r="I548" s="3" t="s">
        <v>263</v>
      </c>
      <c r="J548" s="3" t="s">
        <v>277</v>
      </c>
      <c r="K548" s="32" t="s">
        <v>265</v>
      </c>
      <c r="L548" s="32" t="s">
        <v>266</v>
      </c>
      <c r="M548" s="32" t="s">
        <v>278</v>
      </c>
      <c r="N548" s="3" t="str">
        <f t="shared" si="138"/>
        <v>SFm&amp;1&amp;rDXHP&amp;New&amp;dxHP_equip</v>
      </c>
      <c r="O548" s="3" t="s">
        <v>50</v>
      </c>
      <c r="P548" s="3">
        <v>1</v>
      </c>
      <c r="Q548" s="3" t="s">
        <v>57</v>
      </c>
      <c r="R548" s="3" t="s">
        <v>107</v>
      </c>
      <c r="S548" s="3" t="str">
        <f t="shared" si="137"/>
        <v>No</v>
      </c>
      <c r="T548" s="3" t="str">
        <f t="shared" si="139"/>
        <v>dxHP_equip</v>
      </c>
      <c r="U548" s="3" t="str">
        <f t="shared" si="136"/>
        <v>dxHP_equip</v>
      </c>
      <c r="V548" s="3" t="s">
        <v>105</v>
      </c>
      <c r="W548" s="3" t="s">
        <v>268</v>
      </c>
      <c r="X548" s="3" t="s">
        <v>105</v>
      </c>
      <c r="Y548" s="3" t="s">
        <v>268</v>
      </c>
      <c r="Z548" s="3" t="s">
        <v>269</v>
      </c>
      <c r="AA548" s="3" t="s">
        <v>55</v>
      </c>
      <c r="AB548" s="3" t="s">
        <v>56</v>
      </c>
      <c r="AC548" s="3" t="s">
        <v>215</v>
      </c>
    </row>
    <row r="549" spans="1:29" s="3" customFormat="1" x14ac:dyDescent="0.25">
      <c r="A549" s="3" t="s">
        <v>0</v>
      </c>
      <c r="B549" s="3" t="s">
        <v>10675</v>
      </c>
      <c r="C549" s="3" t="s">
        <v>10659</v>
      </c>
      <c r="D549" s="3" t="str">
        <f t="shared" si="141"/>
        <v>SWHC049-03 SEER Rated AC/HP_SFm</v>
      </c>
      <c r="F549" s="3" t="s">
        <v>276</v>
      </c>
      <c r="G549" s="3" t="str">
        <f t="shared" si="144"/>
        <v>RE-HV-HP-Pkg-lt65kBtuh-S19p0H9p5</v>
      </c>
      <c r="H549" s="3" t="s">
        <v>262</v>
      </c>
      <c r="I549" s="3" t="s">
        <v>263</v>
      </c>
      <c r="J549" s="3" t="s">
        <v>277</v>
      </c>
      <c r="K549" s="32" t="s">
        <v>265</v>
      </c>
      <c r="L549" s="32" t="s">
        <v>266</v>
      </c>
      <c r="M549" s="32" t="s">
        <v>278</v>
      </c>
      <c r="N549" s="3" t="str">
        <f t="shared" si="138"/>
        <v>SFm&amp;2&amp;rDXHP&amp;New&amp;dxHP_equip</v>
      </c>
      <c r="O549" s="3" t="s">
        <v>50</v>
      </c>
      <c r="P549" s="3">
        <v>2</v>
      </c>
      <c r="Q549" s="3" t="s">
        <v>57</v>
      </c>
      <c r="R549" s="3" t="s">
        <v>107</v>
      </c>
      <c r="S549" s="3" t="str">
        <f t="shared" si="137"/>
        <v>No</v>
      </c>
      <c r="T549" s="3" t="str">
        <f t="shared" si="139"/>
        <v>dxHP_equip</v>
      </c>
      <c r="U549" s="3" t="str">
        <f t="shared" si="136"/>
        <v>dxHP_equip</v>
      </c>
      <c r="V549" s="3" t="s">
        <v>105</v>
      </c>
      <c r="W549" s="3" t="s">
        <v>268</v>
      </c>
      <c r="X549" s="3" t="s">
        <v>105</v>
      </c>
      <c r="Y549" s="3" t="s">
        <v>268</v>
      </c>
      <c r="Z549" s="3" t="s">
        <v>269</v>
      </c>
      <c r="AA549" s="3" t="s">
        <v>55</v>
      </c>
      <c r="AB549" s="3" t="s">
        <v>56</v>
      </c>
      <c r="AC549" s="3" t="s">
        <v>215</v>
      </c>
    </row>
    <row r="550" spans="1:29" s="3" customFormat="1" x14ac:dyDescent="0.25">
      <c r="A550" s="3" t="s">
        <v>0</v>
      </c>
      <c r="B550" s="3" t="s">
        <v>10675</v>
      </c>
      <c r="C550" s="3" t="s">
        <v>10659</v>
      </c>
      <c r="D550" s="3" t="str">
        <f t="shared" si="141"/>
        <v>SWHC049-03 SEER Rated AC/HP_DMo</v>
      </c>
      <c r="F550" s="3" t="s">
        <v>276</v>
      </c>
      <c r="G550" s="3" t="str">
        <f t="shared" si="144"/>
        <v>RE-HV-HP-Pkg-lt65kBtuh-S19p0H9p5</v>
      </c>
      <c r="H550" s="3" t="s">
        <v>262</v>
      </c>
      <c r="I550" s="3" t="s">
        <v>263</v>
      </c>
      <c r="J550" s="3" t="s">
        <v>277</v>
      </c>
      <c r="K550" s="32" t="s">
        <v>265</v>
      </c>
      <c r="L550" s="32" t="s">
        <v>266</v>
      </c>
      <c r="M550" s="32" t="s">
        <v>278</v>
      </c>
      <c r="N550" s="3" t="str">
        <f t="shared" si="138"/>
        <v>DMo&amp;0&amp;rDXHP&amp;New&amp;dxHP_equip</v>
      </c>
      <c r="O550" s="3" t="s">
        <v>62</v>
      </c>
      <c r="P550" s="3">
        <v>0</v>
      </c>
      <c r="Q550" s="3" t="s">
        <v>57</v>
      </c>
      <c r="R550" s="3" t="s">
        <v>107</v>
      </c>
      <c r="S550" s="3" t="str">
        <f t="shared" si="137"/>
        <v>No</v>
      </c>
      <c r="T550" s="3" t="str">
        <f t="shared" si="139"/>
        <v>dxHP_equip</v>
      </c>
      <c r="U550" s="3" t="str">
        <f t="shared" si="136"/>
        <v>dxHP_equip</v>
      </c>
      <c r="V550" s="3" t="s">
        <v>105</v>
      </c>
      <c r="W550" s="3" t="s">
        <v>268</v>
      </c>
      <c r="X550" s="3" t="s">
        <v>105</v>
      </c>
      <c r="Y550" s="3" t="s">
        <v>268</v>
      </c>
      <c r="Z550" s="3" t="s">
        <v>269</v>
      </c>
      <c r="AA550" s="3" t="s">
        <v>55</v>
      </c>
      <c r="AB550" s="3" t="s">
        <v>56</v>
      </c>
      <c r="AC550" s="3" t="s">
        <v>215</v>
      </c>
    </row>
    <row r="551" spans="1:29" s="3" customFormat="1" x14ac:dyDescent="0.25">
      <c r="A551" s="3" t="s">
        <v>0</v>
      </c>
      <c r="B551" s="3" t="s">
        <v>10675</v>
      </c>
      <c r="C551" s="3" t="s">
        <v>10659</v>
      </c>
      <c r="D551" s="3" t="str">
        <f t="shared" si="141"/>
        <v>SWHC049-03 SEER Rated AC/HP_MFm</v>
      </c>
      <c r="F551" s="3" t="s">
        <v>276</v>
      </c>
      <c r="G551" s="3" t="str">
        <f t="shared" si="144"/>
        <v>RE-HV-HP-Pkg-lt65kBtuh-S19p0H9p5</v>
      </c>
      <c r="H551" s="3" t="s">
        <v>262</v>
      </c>
      <c r="I551" s="3" t="s">
        <v>263</v>
      </c>
      <c r="J551" s="3" t="s">
        <v>277</v>
      </c>
      <c r="K551" s="32" t="s">
        <v>265</v>
      </c>
      <c r="L551" s="32" t="s">
        <v>266</v>
      </c>
      <c r="M551" s="32" t="s">
        <v>278</v>
      </c>
      <c r="N551" s="3" t="str">
        <f t="shared" si="138"/>
        <v>MFm&amp;0&amp;rDXHP&amp;New&amp;dxHP_equip</v>
      </c>
      <c r="O551" s="3" t="s">
        <v>63</v>
      </c>
      <c r="P551" s="3">
        <v>0</v>
      </c>
      <c r="Q551" s="3" t="s">
        <v>57</v>
      </c>
      <c r="R551" s="3" t="s">
        <v>107</v>
      </c>
      <c r="S551" s="3" t="str">
        <f t="shared" si="137"/>
        <v>No</v>
      </c>
      <c r="T551" s="3" t="str">
        <f t="shared" si="139"/>
        <v>dxHP_equip</v>
      </c>
      <c r="U551" s="3" t="str">
        <f t="shared" si="136"/>
        <v>dxHP_equip</v>
      </c>
      <c r="V551" s="3" t="s">
        <v>105</v>
      </c>
      <c r="W551" s="3" t="s">
        <v>268</v>
      </c>
      <c r="X551" s="3" t="s">
        <v>105</v>
      </c>
      <c r="Y551" s="3" t="s">
        <v>268</v>
      </c>
      <c r="Z551" s="3" t="s">
        <v>269</v>
      </c>
      <c r="AA551" s="3" t="s">
        <v>55</v>
      </c>
      <c r="AB551" s="3" t="s">
        <v>56</v>
      </c>
      <c r="AC551" s="3" t="s">
        <v>215</v>
      </c>
    </row>
    <row r="552" spans="1:29" s="3" customFormat="1" x14ac:dyDescent="0.25">
      <c r="A552" s="3" t="s">
        <v>0</v>
      </c>
      <c r="B552" s="3" t="s">
        <v>10675</v>
      </c>
      <c r="C552" s="3" t="s">
        <v>10659</v>
      </c>
      <c r="D552" s="3" t="str">
        <f t="shared" si="141"/>
        <v>SWHC049-03 SEER Rated AC/HP_SFm</v>
      </c>
      <c r="F552" s="3" t="s">
        <v>279</v>
      </c>
      <c r="G552" s="3" t="str">
        <f t="shared" ref="G552:G559" si="145">F552</f>
        <v>RE-HV-HP-Pkg-lt65kBtuh-S20p0H10p0</v>
      </c>
      <c r="H552" s="3" t="s">
        <v>262</v>
      </c>
      <c r="I552" s="3" t="s">
        <v>263</v>
      </c>
      <c r="J552" s="3" t="s">
        <v>280</v>
      </c>
      <c r="K552" s="32" t="s">
        <v>265</v>
      </c>
      <c r="L552" s="32" t="s">
        <v>266</v>
      </c>
      <c r="M552" s="32" t="s">
        <v>281</v>
      </c>
      <c r="N552" s="3" t="str">
        <f t="shared" si="138"/>
        <v>SFm&amp;1&amp;rDXHP&amp;Ex&amp;dxHP_equip</v>
      </c>
      <c r="O552" s="3" t="s">
        <v>50</v>
      </c>
      <c r="P552" s="3">
        <v>1</v>
      </c>
      <c r="Q552" s="3" t="s">
        <v>57</v>
      </c>
      <c r="R552" s="3" t="s">
        <v>52</v>
      </c>
      <c r="S552" s="3" t="str">
        <f t="shared" si="137"/>
        <v>No</v>
      </c>
      <c r="T552" s="3" t="str">
        <f t="shared" si="139"/>
        <v>dxHP_equip</v>
      </c>
      <c r="U552" s="3" t="str">
        <f t="shared" ref="U552:U615" si="146">X552</f>
        <v>dxHP_equip</v>
      </c>
      <c r="V552" s="3" t="s">
        <v>105</v>
      </c>
      <c r="W552" s="3" t="s">
        <v>268</v>
      </c>
      <c r="X552" s="3" t="s">
        <v>105</v>
      </c>
      <c r="Y552" s="3" t="s">
        <v>268</v>
      </c>
      <c r="Z552" s="3" t="s">
        <v>269</v>
      </c>
      <c r="AA552" s="3" t="s">
        <v>55</v>
      </c>
      <c r="AB552" s="3" t="s">
        <v>56</v>
      </c>
      <c r="AC552" s="3" t="s">
        <v>215</v>
      </c>
    </row>
    <row r="553" spans="1:29" s="3" customFormat="1" x14ac:dyDescent="0.25">
      <c r="A553" s="3" t="s">
        <v>0</v>
      </c>
      <c r="B553" s="3" t="s">
        <v>10675</v>
      </c>
      <c r="C553" s="3" t="s">
        <v>10659</v>
      </c>
      <c r="D553" s="3" t="str">
        <f t="shared" si="141"/>
        <v>SWHC049-03 SEER Rated AC/HP_SFm</v>
      </c>
      <c r="F553" s="3" t="s">
        <v>279</v>
      </c>
      <c r="G553" s="3" t="str">
        <f t="shared" si="145"/>
        <v>RE-HV-HP-Pkg-lt65kBtuh-S20p0H10p0</v>
      </c>
      <c r="H553" s="3" t="s">
        <v>262</v>
      </c>
      <c r="I553" s="3" t="s">
        <v>263</v>
      </c>
      <c r="J553" s="3" t="s">
        <v>280</v>
      </c>
      <c r="K553" s="32" t="s">
        <v>265</v>
      </c>
      <c r="L553" s="32" t="s">
        <v>266</v>
      </c>
      <c r="M553" s="32" t="s">
        <v>281</v>
      </c>
      <c r="N553" s="3" t="str">
        <f t="shared" si="138"/>
        <v>SFm&amp;2&amp;rDXHP&amp;Ex&amp;dxHP_equip</v>
      </c>
      <c r="O553" s="3" t="s">
        <v>50</v>
      </c>
      <c r="P553" s="3">
        <v>2</v>
      </c>
      <c r="Q553" s="3" t="s">
        <v>57</v>
      </c>
      <c r="R553" s="3" t="s">
        <v>52</v>
      </c>
      <c r="S553" s="3" t="str">
        <f t="shared" si="137"/>
        <v>No</v>
      </c>
      <c r="T553" s="3" t="str">
        <f t="shared" si="139"/>
        <v>dxHP_equip</v>
      </c>
      <c r="U553" s="3" t="str">
        <f t="shared" si="146"/>
        <v>dxHP_equip</v>
      </c>
      <c r="V553" s="3" t="s">
        <v>105</v>
      </c>
      <c r="W553" s="3" t="s">
        <v>268</v>
      </c>
      <c r="X553" s="3" t="s">
        <v>105</v>
      </c>
      <c r="Y553" s="3" t="s">
        <v>268</v>
      </c>
      <c r="Z553" s="3" t="s">
        <v>269</v>
      </c>
      <c r="AA553" s="3" t="s">
        <v>55</v>
      </c>
      <c r="AB553" s="3" t="s">
        <v>56</v>
      </c>
      <c r="AC553" s="3" t="s">
        <v>215</v>
      </c>
    </row>
    <row r="554" spans="1:29" s="3" customFormat="1" x14ac:dyDescent="0.25">
      <c r="A554" s="3" t="s">
        <v>0</v>
      </c>
      <c r="B554" s="3" t="s">
        <v>10675</v>
      </c>
      <c r="C554" s="3" t="s">
        <v>10659</v>
      </c>
      <c r="D554" s="3" t="str">
        <f t="shared" si="141"/>
        <v>SWHC049-03 SEER Rated AC/HP_DMo</v>
      </c>
      <c r="F554" s="3" t="s">
        <v>279</v>
      </c>
      <c r="G554" s="3" t="str">
        <f t="shared" si="145"/>
        <v>RE-HV-HP-Pkg-lt65kBtuh-S20p0H10p0</v>
      </c>
      <c r="H554" s="3" t="s">
        <v>262</v>
      </c>
      <c r="I554" s="3" t="s">
        <v>263</v>
      </c>
      <c r="J554" s="3" t="s">
        <v>280</v>
      </c>
      <c r="K554" s="32" t="s">
        <v>265</v>
      </c>
      <c r="L554" s="32" t="s">
        <v>266</v>
      </c>
      <c r="M554" s="32" t="s">
        <v>281</v>
      </c>
      <c r="N554" s="3" t="str">
        <f t="shared" si="138"/>
        <v>DMo&amp;0&amp;rDXHP&amp;Ex&amp;dxHP_equip</v>
      </c>
      <c r="O554" s="3" t="s">
        <v>62</v>
      </c>
      <c r="P554" s="3">
        <v>0</v>
      </c>
      <c r="Q554" s="3" t="s">
        <v>57</v>
      </c>
      <c r="R554" s="3" t="s">
        <v>52</v>
      </c>
      <c r="S554" s="3" t="str">
        <f t="shared" si="137"/>
        <v>No</v>
      </c>
      <c r="T554" s="3" t="str">
        <f t="shared" si="139"/>
        <v>dxHP_equip</v>
      </c>
      <c r="U554" s="3" t="str">
        <f t="shared" si="146"/>
        <v>dxHP_equip</v>
      </c>
      <c r="V554" s="3" t="s">
        <v>105</v>
      </c>
      <c r="W554" s="3" t="s">
        <v>268</v>
      </c>
      <c r="X554" s="3" t="s">
        <v>105</v>
      </c>
      <c r="Y554" s="3" t="s">
        <v>268</v>
      </c>
      <c r="Z554" s="3" t="s">
        <v>269</v>
      </c>
      <c r="AA554" s="3" t="s">
        <v>55</v>
      </c>
      <c r="AB554" s="3" t="s">
        <v>56</v>
      </c>
      <c r="AC554" s="3" t="s">
        <v>215</v>
      </c>
    </row>
    <row r="555" spans="1:29" s="3" customFormat="1" x14ac:dyDescent="0.25">
      <c r="A555" s="3" t="s">
        <v>0</v>
      </c>
      <c r="B555" s="3" t="s">
        <v>10675</v>
      </c>
      <c r="C555" s="3" t="s">
        <v>10659</v>
      </c>
      <c r="D555" s="3" t="str">
        <f t="shared" si="141"/>
        <v>SWHC049-03 SEER Rated AC/HP_MFm</v>
      </c>
      <c r="F555" s="3" t="s">
        <v>279</v>
      </c>
      <c r="G555" s="3" t="str">
        <f t="shared" si="145"/>
        <v>RE-HV-HP-Pkg-lt65kBtuh-S20p0H10p0</v>
      </c>
      <c r="H555" s="3" t="s">
        <v>262</v>
      </c>
      <c r="I555" s="3" t="s">
        <v>263</v>
      </c>
      <c r="J555" s="3" t="s">
        <v>280</v>
      </c>
      <c r="K555" s="32" t="s">
        <v>265</v>
      </c>
      <c r="L555" s="32" t="s">
        <v>266</v>
      </c>
      <c r="M555" s="32" t="s">
        <v>281</v>
      </c>
      <c r="N555" s="3" t="str">
        <f t="shared" si="138"/>
        <v>MFm&amp;0&amp;rDXHP&amp;Ex&amp;dxHP_equip</v>
      </c>
      <c r="O555" s="3" t="s">
        <v>63</v>
      </c>
      <c r="P555" s="3">
        <v>0</v>
      </c>
      <c r="Q555" s="3" t="s">
        <v>57</v>
      </c>
      <c r="R555" s="3" t="s">
        <v>52</v>
      </c>
      <c r="S555" s="3" t="str">
        <f t="shared" si="137"/>
        <v>No</v>
      </c>
      <c r="T555" s="3" t="str">
        <f t="shared" si="139"/>
        <v>dxHP_equip</v>
      </c>
      <c r="U555" s="3" t="str">
        <f t="shared" si="146"/>
        <v>dxHP_equip</v>
      </c>
      <c r="V555" s="3" t="s">
        <v>105</v>
      </c>
      <c r="W555" s="3" t="s">
        <v>268</v>
      </c>
      <c r="X555" s="3" t="s">
        <v>105</v>
      </c>
      <c r="Y555" s="3" t="s">
        <v>268</v>
      </c>
      <c r="Z555" s="3" t="s">
        <v>269</v>
      </c>
      <c r="AA555" s="3" t="s">
        <v>55</v>
      </c>
      <c r="AB555" s="3" t="s">
        <v>56</v>
      </c>
      <c r="AC555" s="3" t="s">
        <v>215</v>
      </c>
    </row>
    <row r="556" spans="1:29" s="3" customFormat="1" x14ac:dyDescent="0.25">
      <c r="A556" s="3" t="s">
        <v>0</v>
      </c>
      <c r="B556" s="3" t="s">
        <v>10675</v>
      </c>
      <c r="C556" s="3" t="s">
        <v>10659</v>
      </c>
      <c r="D556" s="3" t="str">
        <f t="shared" si="141"/>
        <v>SWHC049-03 SEER Rated AC/HP_SFm</v>
      </c>
      <c r="F556" s="3" t="s">
        <v>279</v>
      </c>
      <c r="G556" s="3" t="str">
        <f t="shared" si="145"/>
        <v>RE-HV-HP-Pkg-lt65kBtuh-S20p0H10p0</v>
      </c>
      <c r="H556" s="3" t="s">
        <v>262</v>
      </c>
      <c r="I556" s="3" t="s">
        <v>263</v>
      </c>
      <c r="J556" s="3" t="s">
        <v>280</v>
      </c>
      <c r="K556" s="32" t="s">
        <v>265</v>
      </c>
      <c r="L556" s="32" t="s">
        <v>266</v>
      </c>
      <c r="M556" s="32" t="s">
        <v>281</v>
      </c>
      <c r="N556" s="3" t="str">
        <f t="shared" si="138"/>
        <v>SFm&amp;1&amp;rDXHP&amp;New&amp;dxHP_equip</v>
      </c>
      <c r="O556" s="3" t="s">
        <v>50</v>
      </c>
      <c r="P556" s="3">
        <v>1</v>
      </c>
      <c r="Q556" s="3" t="s">
        <v>57</v>
      </c>
      <c r="R556" s="3" t="s">
        <v>107</v>
      </c>
      <c r="S556" s="3" t="str">
        <f t="shared" ref="S556:S619" si="147">IF(T556=U556, "No", "Yes")</f>
        <v>No</v>
      </c>
      <c r="T556" s="3" t="str">
        <f t="shared" si="139"/>
        <v>dxHP_equip</v>
      </c>
      <c r="U556" s="3" t="str">
        <f t="shared" si="146"/>
        <v>dxHP_equip</v>
      </c>
      <c r="V556" s="3" t="s">
        <v>105</v>
      </c>
      <c r="W556" s="3" t="s">
        <v>268</v>
      </c>
      <c r="X556" s="3" t="s">
        <v>105</v>
      </c>
      <c r="Y556" s="3" t="s">
        <v>268</v>
      </c>
      <c r="Z556" s="3" t="s">
        <v>269</v>
      </c>
      <c r="AA556" s="3" t="s">
        <v>55</v>
      </c>
      <c r="AB556" s="3" t="s">
        <v>56</v>
      </c>
      <c r="AC556" s="3" t="s">
        <v>215</v>
      </c>
    </row>
    <row r="557" spans="1:29" s="3" customFormat="1" x14ac:dyDescent="0.25">
      <c r="A557" s="3" t="s">
        <v>0</v>
      </c>
      <c r="B557" s="3" t="s">
        <v>10675</v>
      </c>
      <c r="C557" s="3" t="s">
        <v>10659</v>
      </c>
      <c r="D557" s="3" t="str">
        <f t="shared" si="141"/>
        <v>SWHC049-03 SEER Rated AC/HP_SFm</v>
      </c>
      <c r="F557" s="3" t="s">
        <v>279</v>
      </c>
      <c r="G557" s="3" t="str">
        <f t="shared" si="145"/>
        <v>RE-HV-HP-Pkg-lt65kBtuh-S20p0H10p0</v>
      </c>
      <c r="H557" s="3" t="s">
        <v>262</v>
      </c>
      <c r="I557" s="3" t="s">
        <v>263</v>
      </c>
      <c r="J557" s="3" t="s">
        <v>280</v>
      </c>
      <c r="K557" s="32" t="s">
        <v>265</v>
      </c>
      <c r="L557" s="32" t="s">
        <v>266</v>
      </c>
      <c r="M557" s="32" t="s">
        <v>281</v>
      </c>
      <c r="N557" s="3" t="str">
        <f t="shared" si="138"/>
        <v>SFm&amp;2&amp;rDXHP&amp;New&amp;dxHP_equip</v>
      </c>
      <c r="O557" s="3" t="s">
        <v>50</v>
      </c>
      <c r="P557" s="3">
        <v>2</v>
      </c>
      <c r="Q557" s="3" t="s">
        <v>57</v>
      </c>
      <c r="R557" s="3" t="s">
        <v>107</v>
      </c>
      <c r="S557" s="3" t="str">
        <f t="shared" si="147"/>
        <v>No</v>
      </c>
      <c r="T557" s="3" t="str">
        <f t="shared" si="139"/>
        <v>dxHP_equip</v>
      </c>
      <c r="U557" s="3" t="str">
        <f t="shared" si="146"/>
        <v>dxHP_equip</v>
      </c>
      <c r="V557" s="3" t="s">
        <v>105</v>
      </c>
      <c r="W557" s="3" t="s">
        <v>268</v>
      </c>
      <c r="X557" s="3" t="s">
        <v>105</v>
      </c>
      <c r="Y557" s="3" t="s">
        <v>268</v>
      </c>
      <c r="Z557" s="3" t="s">
        <v>269</v>
      </c>
      <c r="AA557" s="3" t="s">
        <v>55</v>
      </c>
      <c r="AB557" s="3" t="s">
        <v>56</v>
      </c>
      <c r="AC557" s="3" t="s">
        <v>215</v>
      </c>
    </row>
    <row r="558" spans="1:29" s="3" customFormat="1" x14ac:dyDescent="0.25">
      <c r="A558" s="3" t="s">
        <v>0</v>
      </c>
      <c r="B558" s="3" t="s">
        <v>10675</v>
      </c>
      <c r="C558" s="3" t="s">
        <v>10659</v>
      </c>
      <c r="D558" s="3" t="str">
        <f t="shared" si="141"/>
        <v>SWHC049-03 SEER Rated AC/HP_DMo</v>
      </c>
      <c r="F558" s="3" t="s">
        <v>279</v>
      </c>
      <c r="G558" s="3" t="str">
        <f t="shared" si="145"/>
        <v>RE-HV-HP-Pkg-lt65kBtuh-S20p0H10p0</v>
      </c>
      <c r="H558" s="3" t="s">
        <v>262</v>
      </c>
      <c r="I558" s="3" t="s">
        <v>263</v>
      </c>
      <c r="J558" s="3" t="s">
        <v>280</v>
      </c>
      <c r="K558" s="32" t="s">
        <v>265</v>
      </c>
      <c r="L558" s="32" t="s">
        <v>266</v>
      </c>
      <c r="M558" s="32" t="s">
        <v>281</v>
      </c>
      <c r="N558" s="3" t="str">
        <f t="shared" si="138"/>
        <v>DMo&amp;0&amp;rDXHP&amp;New&amp;dxHP_equip</v>
      </c>
      <c r="O558" s="3" t="s">
        <v>62</v>
      </c>
      <c r="P558" s="3">
        <v>0</v>
      </c>
      <c r="Q558" s="3" t="s">
        <v>57</v>
      </c>
      <c r="R558" s="3" t="s">
        <v>107</v>
      </c>
      <c r="S558" s="3" t="str">
        <f t="shared" si="147"/>
        <v>No</v>
      </c>
      <c r="T558" s="3" t="str">
        <f t="shared" si="139"/>
        <v>dxHP_equip</v>
      </c>
      <c r="U558" s="3" t="str">
        <f t="shared" si="146"/>
        <v>dxHP_equip</v>
      </c>
      <c r="V558" s="3" t="s">
        <v>105</v>
      </c>
      <c r="W558" s="3" t="s">
        <v>268</v>
      </c>
      <c r="X558" s="3" t="s">
        <v>105</v>
      </c>
      <c r="Y558" s="3" t="s">
        <v>268</v>
      </c>
      <c r="Z558" s="3" t="s">
        <v>269</v>
      </c>
      <c r="AA558" s="3" t="s">
        <v>55</v>
      </c>
      <c r="AB558" s="3" t="s">
        <v>56</v>
      </c>
      <c r="AC558" s="3" t="s">
        <v>215</v>
      </c>
    </row>
    <row r="559" spans="1:29" s="3" customFormat="1" x14ac:dyDescent="0.25">
      <c r="A559" s="3" t="s">
        <v>0</v>
      </c>
      <c r="B559" s="3" t="s">
        <v>10675</v>
      </c>
      <c r="C559" s="3" t="s">
        <v>10659</v>
      </c>
      <c r="D559" s="3" t="str">
        <f t="shared" si="141"/>
        <v>SWHC049-03 SEER Rated AC/HP_MFm</v>
      </c>
      <c r="F559" s="3" t="s">
        <v>279</v>
      </c>
      <c r="G559" s="3" t="str">
        <f t="shared" si="145"/>
        <v>RE-HV-HP-Pkg-lt65kBtuh-S20p0H10p0</v>
      </c>
      <c r="H559" s="3" t="s">
        <v>262</v>
      </c>
      <c r="I559" s="3" t="s">
        <v>263</v>
      </c>
      <c r="J559" s="3" t="s">
        <v>280</v>
      </c>
      <c r="K559" s="32" t="s">
        <v>265</v>
      </c>
      <c r="L559" s="32" t="s">
        <v>266</v>
      </c>
      <c r="M559" s="32" t="s">
        <v>281</v>
      </c>
      <c r="N559" s="3" t="str">
        <f t="shared" si="138"/>
        <v>MFm&amp;0&amp;rDXHP&amp;New&amp;dxHP_equip</v>
      </c>
      <c r="O559" s="3" t="s">
        <v>63</v>
      </c>
      <c r="P559" s="3">
        <v>0</v>
      </c>
      <c r="Q559" s="3" t="s">
        <v>57</v>
      </c>
      <c r="R559" s="3" t="s">
        <v>107</v>
      </c>
      <c r="S559" s="3" t="str">
        <f t="shared" si="147"/>
        <v>No</v>
      </c>
      <c r="T559" s="3" t="str">
        <f t="shared" si="139"/>
        <v>dxHP_equip</v>
      </c>
      <c r="U559" s="3" t="str">
        <f t="shared" si="146"/>
        <v>dxHP_equip</v>
      </c>
      <c r="V559" s="3" t="s">
        <v>105</v>
      </c>
      <c r="W559" s="3" t="s">
        <v>268</v>
      </c>
      <c r="X559" s="3" t="s">
        <v>105</v>
      </c>
      <c r="Y559" s="3" t="s">
        <v>268</v>
      </c>
      <c r="Z559" s="3" t="s">
        <v>269</v>
      </c>
      <c r="AA559" s="3" t="s">
        <v>55</v>
      </c>
      <c r="AB559" s="3" t="s">
        <v>56</v>
      </c>
      <c r="AC559" s="3" t="s">
        <v>215</v>
      </c>
    </row>
    <row r="560" spans="1:29" s="3" customFormat="1" x14ac:dyDescent="0.25">
      <c r="A560" s="3" t="s">
        <v>0</v>
      </c>
      <c r="B560" s="3" t="s">
        <v>10675</v>
      </c>
      <c r="C560" s="3" t="s">
        <v>10659</v>
      </c>
      <c r="D560" s="3" t="str">
        <f t="shared" si="141"/>
        <v>SWHC049-03 SEER Rated AC/HP_SFm</v>
      </c>
      <c r="F560" s="3" t="s">
        <v>282</v>
      </c>
      <c r="G560" s="3" t="str">
        <f t="shared" ref="G560:G607" si="148">F560</f>
        <v>RE-HV-HP-Pkg-lt65kBtuh-S21p0H10p5</v>
      </c>
      <c r="H560" s="3" t="s">
        <v>262</v>
      </c>
      <c r="I560" s="3" t="s">
        <v>263</v>
      </c>
      <c r="J560" s="3" t="s">
        <v>283</v>
      </c>
      <c r="K560" s="32" t="s">
        <v>265</v>
      </c>
      <c r="L560" s="32" t="s">
        <v>266</v>
      </c>
      <c r="M560" s="32" t="s">
        <v>284</v>
      </c>
      <c r="N560" s="3" t="str">
        <f t="shared" si="138"/>
        <v>SFm&amp;1&amp;rDXHP&amp;Ex&amp;dxHP_equip</v>
      </c>
      <c r="O560" s="3" t="s">
        <v>50</v>
      </c>
      <c r="P560" s="3">
        <v>1</v>
      </c>
      <c r="Q560" s="3" t="s">
        <v>57</v>
      </c>
      <c r="R560" s="3" t="s">
        <v>52</v>
      </c>
      <c r="S560" s="3" t="str">
        <f t="shared" si="147"/>
        <v>No</v>
      </c>
      <c r="T560" s="3" t="str">
        <f t="shared" si="139"/>
        <v>dxHP_equip</v>
      </c>
      <c r="U560" s="3" t="str">
        <f t="shared" si="146"/>
        <v>dxHP_equip</v>
      </c>
      <c r="V560" s="3" t="s">
        <v>105</v>
      </c>
      <c r="W560" s="3" t="s">
        <v>268</v>
      </c>
      <c r="X560" s="3" t="s">
        <v>105</v>
      </c>
      <c r="Y560" s="3" t="s">
        <v>268</v>
      </c>
      <c r="Z560" s="3" t="s">
        <v>269</v>
      </c>
      <c r="AA560" s="3" t="s">
        <v>55</v>
      </c>
      <c r="AB560" s="3" t="s">
        <v>56</v>
      </c>
      <c r="AC560" s="3" t="s">
        <v>215</v>
      </c>
    </row>
    <row r="561" spans="1:29" s="3" customFormat="1" x14ac:dyDescent="0.25">
      <c r="A561" s="3" t="s">
        <v>0</v>
      </c>
      <c r="B561" s="3" t="s">
        <v>10675</v>
      </c>
      <c r="C561" s="3" t="s">
        <v>10659</v>
      </c>
      <c r="D561" s="3" t="str">
        <f t="shared" si="141"/>
        <v>SWHC049-03 SEER Rated AC/HP_SFm</v>
      </c>
      <c r="F561" s="3" t="s">
        <v>282</v>
      </c>
      <c r="G561" s="3" t="str">
        <f t="shared" si="148"/>
        <v>RE-HV-HP-Pkg-lt65kBtuh-S21p0H10p5</v>
      </c>
      <c r="H561" s="3" t="s">
        <v>262</v>
      </c>
      <c r="I561" s="3" t="s">
        <v>263</v>
      </c>
      <c r="J561" s="3" t="s">
        <v>283</v>
      </c>
      <c r="K561" s="32" t="s">
        <v>265</v>
      </c>
      <c r="L561" s="32" t="s">
        <v>266</v>
      </c>
      <c r="M561" s="32" t="s">
        <v>284</v>
      </c>
      <c r="N561" s="3" t="str">
        <f t="shared" si="138"/>
        <v>SFm&amp;2&amp;rDXHP&amp;Ex&amp;dxHP_equip</v>
      </c>
      <c r="O561" s="3" t="s">
        <v>50</v>
      </c>
      <c r="P561" s="3">
        <v>2</v>
      </c>
      <c r="Q561" s="3" t="s">
        <v>57</v>
      </c>
      <c r="R561" s="3" t="s">
        <v>52</v>
      </c>
      <c r="S561" s="3" t="str">
        <f t="shared" si="147"/>
        <v>No</v>
      </c>
      <c r="T561" s="3" t="str">
        <f t="shared" si="139"/>
        <v>dxHP_equip</v>
      </c>
      <c r="U561" s="3" t="str">
        <f t="shared" si="146"/>
        <v>dxHP_equip</v>
      </c>
      <c r="V561" s="3" t="s">
        <v>105</v>
      </c>
      <c r="W561" s="3" t="s">
        <v>268</v>
      </c>
      <c r="X561" s="3" t="s">
        <v>105</v>
      </c>
      <c r="Y561" s="3" t="s">
        <v>268</v>
      </c>
      <c r="Z561" s="3" t="s">
        <v>269</v>
      </c>
      <c r="AA561" s="3" t="s">
        <v>55</v>
      </c>
      <c r="AB561" s="3" t="s">
        <v>56</v>
      </c>
      <c r="AC561" s="3" t="s">
        <v>215</v>
      </c>
    </row>
    <row r="562" spans="1:29" s="3" customFormat="1" x14ac:dyDescent="0.25">
      <c r="A562" s="3" t="s">
        <v>0</v>
      </c>
      <c r="B562" s="3" t="s">
        <v>10675</v>
      </c>
      <c r="C562" s="3" t="s">
        <v>10659</v>
      </c>
      <c r="D562" s="3" t="str">
        <f t="shared" si="141"/>
        <v>SWHC049-03 SEER Rated AC/HP_DMo</v>
      </c>
      <c r="F562" s="3" t="s">
        <v>282</v>
      </c>
      <c r="G562" s="3" t="str">
        <f t="shared" si="148"/>
        <v>RE-HV-HP-Pkg-lt65kBtuh-S21p0H10p5</v>
      </c>
      <c r="H562" s="3" t="s">
        <v>262</v>
      </c>
      <c r="I562" s="3" t="s">
        <v>263</v>
      </c>
      <c r="J562" s="3" t="s">
        <v>283</v>
      </c>
      <c r="K562" s="32" t="s">
        <v>265</v>
      </c>
      <c r="L562" s="32" t="s">
        <v>266</v>
      </c>
      <c r="M562" s="32" t="s">
        <v>284</v>
      </c>
      <c r="N562" s="3" t="str">
        <f t="shared" ref="N562:N625" si="149">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47"/>
        <v>No</v>
      </c>
      <c r="T562" s="3" t="str">
        <f t="shared" si="139"/>
        <v>dxHP_equip</v>
      </c>
      <c r="U562" s="3" t="str">
        <f t="shared" si="146"/>
        <v>dxHP_equip</v>
      </c>
      <c r="V562" s="3" t="s">
        <v>105</v>
      </c>
      <c r="W562" s="3" t="s">
        <v>268</v>
      </c>
      <c r="X562" s="3" t="s">
        <v>105</v>
      </c>
      <c r="Y562" s="3" t="s">
        <v>268</v>
      </c>
      <c r="Z562" s="3" t="s">
        <v>269</v>
      </c>
      <c r="AA562" s="3" t="s">
        <v>55</v>
      </c>
      <c r="AB562" s="3" t="s">
        <v>56</v>
      </c>
      <c r="AC562" s="3" t="s">
        <v>215</v>
      </c>
    </row>
    <row r="563" spans="1:29" s="3" customFormat="1" x14ac:dyDescent="0.25">
      <c r="A563" s="3" t="s">
        <v>0</v>
      </c>
      <c r="B563" s="3" t="s">
        <v>10675</v>
      </c>
      <c r="C563" s="3" t="s">
        <v>10659</v>
      </c>
      <c r="D563" s="3" t="str">
        <f t="shared" si="141"/>
        <v>SWHC049-03 SEER Rated AC/HP_MFm</v>
      </c>
      <c r="F563" s="3" t="s">
        <v>282</v>
      </c>
      <c r="G563" s="3" t="str">
        <f t="shared" si="148"/>
        <v>RE-HV-HP-Pkg-lt65kBtuh-S21p0H10p5</v>
      </c>
      <c r="H563" s="3" t="s">
        <v>262</v>
      </c>
      <c r="I563" s="3" t="s">
        <v>263</v>
      </c>
      <c r="J563" s="3" t="s">
        <v>283</v>
      </c>
      <c r="K563" s="32" t="s">
        <v>265</v>
      </c>
      <c r="L563" s="32" t="s">
        <v>266</v>
      </c>
      <c r="M563" s="32" t="s">
        <v>284</v>
      </c>
      <c r="N563" s="3" t="str">
        <f t="shared" si="149"/>
        <v>MFm&amp;0&amp;rDXHP&amp;Ex&amp;dxHP_equip</v>
      </c>
      <c r="O563" s="3" t="s">
        <v>63</v>
      </c>
      <c r="P563" s="3">
        <v>0</v>
      </c>
      <c r="Q563" s="3" t="s">
        <v>57</v>
      </c>
      <c r="R563" s="3" t="s">
        <v>52</v>
      </c>
      <c r="S563" s="3" t="str">
        <f t="shared" si="147"/>
        <v>No</v>
      </c>
      <c r="T563" s="3" t="str">
        <f t="shared" si="139"/>
        <v>dxHP_equip</v>
      </c>
      <c r="U563" s="3" t="str">
        <f t="shared" si="146"/>
        <v>dxHP_equip</v>
      </c>
      <c r="V563" s="3" t="s">
        <v>105</v>
      </c>
      <c r="W563" s="3" t="s">
        <v>268</v>
      </c>
      <c r="X563" s="3" t="s">
        <v>105</v>
      </c>
      <c r="Y563" s="3" t="s">
        <v>268</v>
      </c>
      <c r="Z563" s="3" t="s">
        <v>269</v>
      </c>
      <c r="AA563" s="3" t="s">
        <v>55</v>
      </c>
      <c r="AB563" s="3" t="s">
        <v>56</v>
      </c>
      <c r="AC563" s="3" t="s">
        <v>215</v>
      </c>
    </row>
    <row r="564" spans="1:29" s="3" customFormat="1" x14ac:dyDescent="0.25">
      <c r="A564" s="3" t="s">
        <v>0</v>
      </c>
      <c r="B564" s="3" t="s">
        <v>10675</v>
      </c>
      <c r="C564" s="3" t="s">
        <v>10659</v>
      </c>
      <c r="D564" s="3" t="str">
        <f t="shared" si="141"/>
        <v>SWHC049-03 SEER Rated AC/HP_SFm</v>
      </c>
      <c r="F564" s="3" t="s">
        <v>282</v>
      </c>
      <c r="G564" s="3" t="str">
        <f t="shared" si="148"/>
        <v>RE-HV-HP-Pkg-lt65kBtuh-S21p0H10p5</v>
      </c>
      <c r="H564" s="3" t="s">
        <v>262</v>
      </c>
      <c r="I564" s="3" t="s">
        <v>263</v>
      </c>
      <c r="J564" s="3" t="s">
        <v>283</v>
      </c>
      <c r="K564" s="32" t="s">
        <v>265</v>
      </c>
      <c r="L564" s="32" t="s">
        <v>266</v>
      </c>
      <c r="M564" s="32" t="s">
        <v>284</v>
      </c>
      <c r="N564" s="3" t="str">
        <f t="shared" si="149"/>
        <v>SFm&amp;1&amp;rDXHP&amp;New&amp;dxHP_equip</v>
      </c>
      <c r="O564" s="3" t="s">
        <v>50</v>
      </c>
      <c r="P564" s="3">
        <v>1</v>
      </c>
      <c r="Q564" s="3" t="s">
        <v>57</v>
      </c>
      <c r="R564" s="3" t="s">
        <v>107</v>
      </c>
      <c r="S564" s="3" t="str">
        <f t="shared" si="147"/>
        <v>No</v>
      </c>
      <c r="T564" s="3" t="str">
        <f t="shared" si="139"/>
        <v>dxHP_equip</v>
      </c>
      <c r="U564" s="3" t="str">
        <f t="shared" si="146"/>
        <v>dxHP_equip</v>
      </c>
      <c r="V564" s="3" t="s">
        <v>105</v>
      </c>
      <c r="W564" s="3" t="s">
        <v>268</v>
      </c>
      <c r="X564" s="3" t="s">
        <v>105</v>
      </c>
      <c r="Y564" s="3" t="s">
        <v>268</v>
      </c>
      <c r="Z564" s="3" t="s">
        <v>269</v>
      </c>
      <c r="AA564" s="3" t="s">
        <v>55</v>
      </c>
      <c r="AB564" s="3" t="s">
        <v>56</v>
      </c>
      <c r="AC564" s="3" t="s">
        <v>215</v>
      </c>
    </row>
    <row r="565" spans="1:29" s="3" customFormat="1" x14ac:dyDescent="0.25">
      <c r="A565" s="3" t="s">
        <v>0</v>
      </c>
      <c r="B565" s="3" t="s">
        <v>10675</v>
      </c>
      <c r="C565" s="3" t="s">
        <v>10659</v>
      </c>
      <c r="D565" s="3" t="str">
        <f t="shared" si="141"/>
        <v>SWHC049-03 SEER Rated AC/HP_SFm</v>
      </c>
      <c r="F565" s="3" t="s">
        <v>282</v>
      </c>
      <c r="G565" s="3" t="str">
        <f t="shared" si="148"/>
        <v>RE-HV-HP-Pkg-lt65kBtuh-S21p0H10p5</v>
      </c>
      <c r="H565" s="3" t="s">
        <v>262</v>
      </c>
      <c r="I565" s="3" t="s">
        <v>263</v>
      </c>
      <c r="J565" s="3" t="s">
        <v>283</v>
      </c>
      <c r="K565" s="32" t="s">
        <v>265</v>
      </c>
      <c r="L565" s="32" t="s">
        <v>266</v>
      </c>
      <c r="M565" s="32" t="s">
        <v>284</v>
      </c>
      <c r="N565" s="3" t="str">
        <f t="shared" si="149"/>
        <v>SFm&amp;2&amp;rDXHP&amp;New&amp;dxHP_equip</v>
      </c>
      <c r="O565" s="3" t="s">
        <v>50</v>
      </c>
      <c r="P565" s="3">
        <v>2</v>
      </c>
      <c r="Q565" s="3" t="s">
        <v>57</v>
      </c>
      <c r="R565" s="3" t="s">
        <v>107</v>
      </c>
      <c r="S565" s="3" t="str">
        <f t="shared" si="147"/>
        <v>No</v>
      </c>
      <c r="T565" s="3" t="str">
        <f t="shared" si="139"/>
        <v>dxHP_equip</v>
      </c>
      <c r="U565" s="3" t="str">
        <f t="shared" si="146"/>
        <v>dxHP_equip</v>
      </c>
      <c r="V565" s="3" t="s">
        <v>105</v>
      </c>
      <c r="W565" s="3" t="s">
        <v>268</v>
      </c>
      <c r="X565" s="3" t="s">
        <v>105</v>
      </c>
      <c r="Y565" s="3" t="s">
        <v>268</v>
      </c>
      <c r="Z565" s="3" t="s">
        <v>269</v>
      </c>
      <c r="AA565" s="3" t="s">
        <v>55</v>
      </c>
      <c r="AB565" s="3" t="s">
        <v>56</v>
      </c>
      <c r="AC565" s="3" t="s">
        <v>215</v>
      </c>
    </row>
    <row r="566" spans="1:29" s="3" customFormat="1" x14ac:dyDescent="0.25">
      <c r="A566" s="3" t="s">
        <v>0</v>
      </c>
      <c r="B566" s="3" t="s">
        <v>10675</v>
      </c>
      <c r="C566" s="3" t="s">
        <v>10659</v>
      </c>
      <c r="D566" s="3" t="str">
        <f t="shared" si="141"/>
        <v>SWHC049-03 SEER Rated AC/HP_DMo</v>
      </c>
      <c r="F566" s="3" t="s">
        <v>282</v>
      </c>
      <c r="G566" s="3" t="str">
        <f t="shared" si="148"/>
        <v>RE-HV-HP-Pkg-lt65kBtuh-S21p0H10p5</v>
      </c>
      <c r="H566" s="3" t="s">
        <v>262</v>
      </c>
      <c r="I566" s="3" t="s">
        <v>263</v>
      </c>
      <c r="J566" s="3" t="s">
        <v>283</v>
      </c>
      <c r="K566" s="32" t="s">
        <v>265</v>
      </c>
      <c r="L566" s="32" t="s">
        <v>266</v>
      </c>
      <c r="M566" s="32" t="s">
        <v>284</v>
      </c>
      <c r="N566" s="3" t="str">
        <f t="shared" si="149"/>
        <v>DMo&amp;0&amp;rDXHP&amp;New&amp;dxHP_equip</v>
      </c>
      <c r="O566" s="3" t="s">
        <v>62</v>
      </c>
      <c r="P566" s="3">
        <v>0</v>
      </c>
      <c r="Q566" s="3" t="s">
        <v>57</v>
      </c>
      <c r="R566" s="3" t="s">
        <v>107</v>
      </c>
      <c r="S566" s="3" t="str">
        <f t="shared" si="147"/>
        <v>No</v>
      </c>
      <c r="T566" s="3" t="str">
        <f t="shared" si="139"/>
        <v>dxHP_equip</v>
      </c>
      <c r="U566" s="3" t="str">
        <f t="shared" si="146"/>
        <v>dxHP_equip</v>
      </c>
      <c r="V566" s="3" t="s">
        <v>105</v>
      </c>
      <c r="W566" s="3" t="s">
        <v>268</v>
      </c>
      <c r="X566" s="3" t="s">
        <v>105</v>
      </c>
      <c r="Y566" s="3" t="s">
        <v>268</v>
      </c>
      <c r="Z566" s="3" t="s">
        <v>269</v>
      </c>
      <c r="AA566" s="3" t="s">
        <v>55</v>
      </c>
      <c r="AB566" s="3" t="s">
        <v>56</v>
      </c>
      <c r="AC566" s="3" t="s">
        <v>215</v>
      </c>
    </row>
    <row r="567" spans="1:29" s="3" customFormat="1" x14ac:dyDescent="0.25">
      <c r="A567" s="3" t="s">
        <v>0</v>
      </c>
      <c r="B567" s="3" t="s">
        <v>10675</v>
      </c>
      <c r="C567" s="3" t="s">
        <v>10659</v>
      </c>
      <c r="D567" s="3" t="str">
        <f t="shared" si="141"/>
        <v>SWHC049-03 SEER Rated AC/HP_MFm</v>
      </c>
      <c r="F567" s="3" t="s">
        <v>282</v>
      </c>
      <c r="G567" s="3" t="str">
        <f t="shared" si="148"/>
        <v>RE-HV-HP-Pkg-lt65kBtuh-S21p0H10p5</v>
      </c>
      <c r="H567" s="3" t="s">
        <v>262</v>
      </c>
      <c r="I567" s="3" t="s">
        <v>263</v>
      </c>
      <c r="J567" s="3" t="s">
        <v>283</v>
      </c>
      <c r="K567" s="32" t="s">
        <v>265</v>
      </c>
      <c r="L567" s="32" t="s">
        <v>266</v>
      </c>
      <c r="M567" s="32" t="s">
        <v>284</v>
      </c>
      <c r="N567" s="3" t="str">
        <f t="shared" si="149"/>
        <v>MFm&amp;0&amp;rDXHP&amp;New&amp;dxHP_equip</v>
      </c>
      <c r="O567" s="3" t="s">
        <v>63</v>
      </c>
      <c r="P567" s="3">
        <v>0</v>
      </c>
      <c r="Q567" s="3" t="s">
        <v>57</v>
      </c>
      <c r="R567" s="3" t="s">
        <v>107</v>
      </c>
      <c r="S567" s="3" t="str">
        <f t="shared" si="147"/>
        <v>No</v>
      </c>
      <c r="T567" s="3" t="str">
        <f t="shared" si="139"/>
        <v>dxHP_equip</v>
      </c>
      <c r="U567" s="3" t="str">
        <f t="shared" si="146"/>
        <v>dxHP_equip</v>
      </c>
      <c r="V567" s="3" t="s">
        <v>105</v>
      </c>
      <c r="W567" s="3" t="s">
        <v>268</v>
      </c>
      <c r="X567" s="3" t="s">
        <v>105</v>
      </c>
      <c r="Y567" s="3" t="s">
        <v>268</v>
      </c>
      <c r="Z567" s="3" t="s">
        <v>269</v>
      </c>
      <c r="AA567" s="3" t="s">
        <v>55</v>
      </c>
      <c r="AB567" s="3" t="s">
        <v>56</v>
      </c>
      <c r="AC567" s="3" t="s">
        <v>215</v>
      </c>
    </row>
    <row r="568" spans="1:29" s="3" customFormat="1" x14ac:dyDescent="0.25">
      <c r="A568" s="3" t="s">
        <v>0</v>
      </c>
      <c r="B568" s="3" t="s">
        <v>10675</v>
      </c>
      <c r="C568" s="3" t="s">
        <v>10659</v>
      </c>
      <c r="D568" s="3" t="str">
        <f t="shared" si="141"/>
        <v>SWHC049-03 SEER Rated AC/HP_SFm</v>
      </c>
      <c r="F568" s="3" t="s">
        <v>285</v>
      </c>
      <c r="G568" s="3" t="str">
        <f t="shared" si="148"/>
        <v>RE-HV-HP-Splt-45to65kBtuh-S16p0H9p0</v>
      </c>
      <c r="H568" s="3" t="s">
        <v>286</v>
      </c>
      <c r="I568" s="3" t="s">
        <v>287</v>
      </c>
      <c r="J568" s="3" t="s">
        <v>288</v>
      </c>
      <c r="K568" s="32" t="s">
        <v>265</v>
      </c>
      <c r="L568" s="32" t="s">
        <v>289</v>
      </c>
      <c r="M568" s="32" t="s">
        <v>267</v>
      </c>
      <c r="N568" s="3" t="str">
        <f t="shared" si="149"/>
        <v>SFm&amp;1&amp;rDXHP&amp;Ex&amp;dxHP_equip</v>
      </c>
      <c r="O568" s="3" t="s">
        <v>50</v>
      </c>
      <c r="P568" s="3">
        <v>1</v>
      </c>
      <c r="Q568" s="3" t="s">
        <v>57</v>
      </c>
      <c r="R568" s="3" t="s">
        <v>52</v>
      </c>
      <c r="S568" s="3" t="str">
        <f t="shared" si="147"/>
        <v>No</v>
      </c>
      <c r="T568" s="3" t="str">
        <f t="shared" si="139"/>
        <v>dxHP_equip</v>
      </c>
      <c r="U568" s="3" t="str">
        <f t="shared" si="146"/>
        <v>dxHP_equip</v>
      </c>
      <c r="V568" s="3" t="s">
        <v>105</v>
      </c>
      <c r="W568" s="3" t="s">
        <v>106</v>
      </c>
      <c r="X568" s="3" t="s">
        <v>105</v>
      </c>
      <c r="Y568" s="3" t="s">
        <v>106</v>
      </c>
      <c r="Z568" s="3" t="s">
        <v>251</v>
      </c>
      <c r="AA568" s="3" t="s">
        <v>55</v>
      </c>
      <c r="AB568" s="3" t="s">
        <v>56</v>
      </c>
      <c r="AC568" s="3" t="s">
        <v>215</v>
      </c>
    </row>
    <row r="569" spans="1:29" s="3" customFormat="1" x14ac:dyDescent="0.25">
      <c r="A569" s="3" t="s">
        <v>0</v>
      </c>
      <c r="B569" s="3" t="s">
        <v>10675</v>
      </c>
      <c r="C569" s="3" t="s">
        <v>10659</v>
      </c>
      <c r="D569" s="3" t="str">
        <f t="shared" si="141"/>
        <v>SWHC049-03 SEER Rated AC/HP_SFm</v>
      </c>
      <c r="F569" s="3" t="s">
        <v>285</v>
      </c>
      <c r="G569" s="3" t="str">
        <f t="shared" si="148"/>
        <v>RE-HV-HP-Splt-45to65kBtuh-S16p0H9p0</v>
      </c>
      <c r="H569" s="3" t="s">
        <v>286</v>
      </c>
      <c r="I569" s="3" t="s">
        <v>287</v>
      </c>
      <c r="J569" s="3" t="s">
        <v>288</v>
      </c>
      <c r="K569" s="32" t="s">
        <v>265</v>
      </c>
      <c r="L569" s="32" t="s">
        <v>289</v>
      </c>
      <c r="M569" s="32" t="s">
        <v>267</v>
      </c>
      <c r="N569" s="3" t="str">
        <f t="shared" si="149"/>
        <v>SFm&amp;2&amp;rDXHP&amp;Ex&amp;dxHP_equip</v>
      </c>
      <c r="O569" s="3" t="s">
        <v>50</v>
      </c>
      <c r="P569" s="3">
        <v>2</v>
      </c>
      <c r="Q569" s="3" t="s">
        <v>57</v>
      </c>
      <c r="R569" s="3" t="s">
        <v>52</v>
      </c>
      <c r="S569" s="3" t="str">
        <f t="shared" si="147"/>
        <v>No</v>
      </c>
      <c r="T569" s="3" t="str">
        <f t="shared" ref="T569:T632" si="150">V569</f>
        <v>dxHP_equip</v>
      </c>
      <c r="U569" s="3" t="str">
        <f t="shared" si="146"/>
        <v>dxHP_equip</v>
      </c>
      <c r="V569" s="3" t="s">
        <v>105</v>
      </c>
      <c r="W569" s="3" t="s">
        <v>106</v>
      </c>
      <c r="X569" s="3" t="s">
        <v>105</v>
      </c>
      <c r="Y569" s="3" t="s">
        <v>106</v>
      </c>
      <c r="Z569" s="3" t="s">
        <v>251</v>
      </c>
      <c r="AA569" s="3" t="s">
        <v>55</v>
      </c>
      <c r="AB569" s="3" t="s">
        <v>56</v>
      </c>
      <c r="AC569" s="3" t="s">
        <v>215</v>
      </c>
    </row>
    <row r="570" spans="1:29" s="3" customFormat="1" x14ac:dyDescent="0.25">
      <c r="A570" s="3" t="s">
        <v>0</v>
      </c>
      <c r="B570" s="3" t="s">
        <v>10675</v>
      </c>
      <c r="C570" s="3" t="s">
        <v>10659</v>
      </c>
      <c r="D570" s="3" t="str">
        <f t="shared" si="141"/>
        <v>SWHC049-03 SEER Rated AC/HP_DMo</v>
      </c>
      <c r="F570" s="3" t="s">
        <v>285</v>
      </c>
      <c r="G570" s="3" t="str">
        <f t="shared" si="148"/>
        <v>RE-HV-HP-Splt-45to65kBtuh-S16p0H9p0</v>
      </c>
      <c r="H570" s="3" t="s">
        <v>286</v>
      </c>
      <c r="I570" s="3" t="s">
        <v>287</v>
      </c>
      <c r="J570" s="3" t="s">
        <v>288</v>
      </c>
      <c r="K570" s="32" t="s">
        <v>265</v>
      </c>
      <c r="L570" s="32" t="s">
        <v>289</v>
      </c>
      <c r="M570" s="32" t="s">
        <v>267</v>
      </c>
      <c r="N570" s="3" t="str">
        <f t="shared" si="149"/>
        <v>DMo&amp;0&amp;rDXHP&amp;Ex&amp;dxHP_equip</v>
      </c>
      <c r="O570" s="3" t="s">
        <v>62</v>
      </c>
      <c r="P570" s="3">
        <v>0</v>
      </c>
      <c r="Q570" s="3" t="s">
        <v>57</v>
      </c>
      <c r="R570" s="3" t="s">
        <v>52</v>
      </c>
      <c r="S570" s="3" t="str">
        <f t="shared" si="147"/>
        <v>No</v>
      </c>
      <c r="T570" s="3" t="str">
        <f t="shared" si="150"/>
        <v>dxHP_equip</v>
      </c>
      <c r="U570" s="3" t="str">
        <f t="shared" si="146"/>
        <v>dxHP_equip</v>
      </c>
      <c r="V570" s="3" t="s">
        <v>105</v>
      </c>
      <c r="W570" s="3" t="s">
        <v>106</v>
      </c>
      <c r="X570" s="3" t="s">
        <v>105</v>
      </c>
      <c r="Y570" s="3" t="s">
        <v>106</v>
      </c>
      <c r="Z570" s="3" t="s">
        <v>251</v>
      </c>
      <c r="AA570" s="3" t="s">
        <v>55</v>
      </c>
      <c r="AB570" s="3" t="s">
        <v>56</v>
      </c>
      <c r="AC570" s="3" t="s">
        <v>215</v>
      </c>
    </row>
    <row r="571" spans="1:29" s="3" customFormat="1" x14ac:dyDescent="0.25">
      <c r="A571" s="3" t="s">
        <v>0</v>
      </c>
      <c r="B571" s="3" t="s">
        <v>10675</v>
      </c>
      <c r="C571" s="3" t="s">
        <v>10659</v>
      </c>
      <c r="D571" s="3" t="str">
        <f t="shared" si="141"/>
        <v>SWHC049-03 SEER Rated AC/HP_MFm</v>
      </c>
      <c r="F571" s="3" t="s">
        <v>285</v>
      </c>
      <c r="G571" s="3" t="str">
        <f t="shared" si="148"/>
        <v>RE-HV-HP-Splt-45to65kBtuh-S16p0H9p0</v>
      </c>
      <c r="H571" s="3" t="s">
        <v>286</v>
      </c>
      <c r="I571" s="3" t="s">
        <v>287</v>
      </c>
      <c r="J571" s="3" t="s">
        <v>288</v>
      </c>
      <c r="K571" s="32" t="s">
        <v>265</v>
      </c>
      <c r="L571" s="32" t="s">
        <v>289</v>
      </c>
      <c r="M571" s="32" t="s">
        <v>267</v>
      </c>
      <c r="N571" s="3" t="str">
        <f t="shared" si="149"/>
        <v>MFm&amp;0&amp;rDXHP&amp;Ex&amp;dxHP_equip</v>
      </c>
      <c r="O571" s="3" t="s">
        <v>63</v>
      </c>
      <c r="P571" s="3">
        <v>0</v>
      </c>
      <c r="Q571" s="3" t="s">
        <v>57</v>
      </c>
      <c r="R571" s="3" t="s">
        <v>52</v>
      </c>
      <c r="S571" s="3" t="str">
        <f t="shared" si="147"/>
        <v>No</v>
      </c>
      <c r="T571" s="3" t="str">
        <f t="shared" si="150"/>
        <v>dxHP_equip</v>
      </c>
      <c r="U571" s="3" t="str">
        <f t="shared" si="146"/>
        <v>dxHP_equip</v>
      </c>
      <c r="V571" s="3" t="s">
        <v>105</v>
      </c>
      <c r="W571" s="3" t="s">
        <v>106</v>
      </c>
      <c r="X571" s="3" t="s">
        <v>105</v>
      </c>
      <c r="Y571" s="3" t="s">
        <v>106</v>
      </c>
      <c r="Z571" s="3" t="s">
        <v>251</v>
      </c>
      <c r="AA571" s="3" t="s">
        <v>55</v>
      </c>
      <c r="AB571" s="3" t="s">
        <v>56</v>
      </c>
      <c r="AC571" s="3" t="s">
        <v>215</v>
      </c>
    </row>
    <row r="572" spans="1:29" s="3" customFormat="1" x14ac:dyDescent="0.25">
      <c r="A572" s="3" t="s">
        <v>0</v>
      </c>
      <c r="B572" s="3" t="s">
        <v>10675</v>
      </c>
      <c r="C572" s="3" t="s">
        <v>10659</v>
      </c>
      <c r="D572" s="3" t="str">
        <f t="shared" si="141"/>
        <v>SWHC049-03 SEER Rated AC/HP_SFm</v>
      </c>
      <c r="F572" s="3" t="s">
        <v>285</v>
      </c>
      <c r="G572" s="3" t="str">
        <f t="shared" si="148"/>
        <v>RE-HV-HP-Splt-45to65kBtuh-S16p0H9p0</v>
      </c>
      <c r="H572" s="3" t="s">
        <v>286</v>
      </c>
      <c r="I572" s="3" t="s">
        <v>287</v>
      </c>
      <c r="J572" s="3" t="s">
        <v>288</v>
      </c>
      <c r="K572" s="32" t="s">
        <v>265</v>
      </c>
      <c r="L572" s="32" t="s">
        <v>289</v>
      </c>
      <c r="M572" s="32" t="s">
        <v>267</v>
      </c>
      <c r="N572" s="3" t="str">
        <f t="shared" si="149"/>
        <v>SFm&amp;1&amp;rDXHP&amp;New&amp;dxHP_equip</v>
      </c>
      <c r="O572" s="3" t="s">
        <v>50</v>
      </c>
      <c r="P572" s="3">
        <v>1</v>
      </c>
      <c r="Q572" s="3" t="s">
        <v>57</v>
      </c>
      <c r="R572" s="3" t="s">
        <v>107</v>
      </c>
      <c r="S572" s="3" t="str">
        <f t="shared" si="147"/>
        <v>No</v>
      </c>
      <c r="T572" s="3" t="str">
        <f t="shared" si="150"/>
        <v>dxHP_equip</v>
      </c>
      <c r="U572" s="3" t="str">
        <f t="shared" si="146"/>
        <v>dxHP_equip</v>
      </c>
      <c r="V572" s="3" t="s">
        <v>105</v>
      </c>
      <c r="W572" s="3" t="s">
        <v>106</v>
      </c>
      <c r="X572" s="3" t="s">
        <v>105</v>
      </c>
      <c r="Y572" s="3" t="s">
        <v>106</v>
      </c>
      <c r="Z572" s="3" t="s">
        <v>251</v>
      </c>
      <c r="AA572" s="3" t="s">
        <v>55</v>
      </c>
      <c r="AB572" s="3" t="s">
        <v>56</v>
      </c>
      <c r="AC572" s="3" t="s">
        <v>215</v>
      </c>
    </row>
    <row r="573" spans="1:29" s="3" customFormat="1" x14ac:dyDescent="0.25">
      <c r="A573" s="3" t="s">
        <v>0</v>
      </c>
      <c r="B573" s="3" t="s">
        <v>10675</v>
      </c>
      <c r="C573" s="3" t="s">
        <v>10659</v>
      </c>
      <c r="D573" s="3" t="str">
        <f t="shared" si="141"/>
        <v>SWHC049-03 SEER Rated AC/HP_SFm</v>
      </c>
      <c r="F573" s="3" t="s">
        <v>285</v>
      </c>
      <c r="G573" s="3" t="str">
        <f t="shared" si="148"/>
        <v>RE-HV-HP-Splt-45to65kBtuh-S16p0H9p0</v>
      </c>
      <c r="H573" s="3" t="s">
        <v>286</v>
      </c>
      <c r="I573" s="3" t="s">
        <v>287</v>
      </c>
      <c r="J573" s="3" t="s">
        <v>288</v>
      </c>
      <c r="K573" s="32" t="s">
        <v>265</v>
      </c>
      <c r="L573" s="32" t="s">
        <v>289</v>
      </c>
      <c r="M573" s="32" t="s">
        <v>267</v>
      </c>
      <c r="N573" s="3" t="str">
        <f t="shared" si="149"/>
        <v>SFm&amp;2&amp;rDXHP&amp;New&amp;dxHP_equip</v>
      </c>
      <c r="O573" s="3" t="s">
        <v>50</v>
      </c>
      <c r="P573" s="3">
        <v>2</v>
      </c>
      <c r="Q573" s="3" t="s">
        <v>57</v>
      </c>
      <c r="R573" s="3" t="s">
        <v>107</v>
      </c>
      <c r="S573" s="3" t="str">
        <f t="shared" si="147"/>
        <v>No</v>
      </c>
      <c r="T573" s="3" t="str">
        <f t="shared" si="150"/>
        <v>dxHP_equip</v>
      </c>
      <c r="U573" s="3" t="str">
        <f t="shared" si="146"/>
        <v>dxHP_equip</v>
      </c>
      <c r="V573" s="3" t="s">
        <v>105</v>
      </c>
      <c r="W573" s="3" t="s">
        <v>106</v>
      </c>
      <c r="X573" s="3" t="s">
        <v>105</v>
      </c>
      <c r="Y573" s="3" t="s">
        <v>106</v>
      </c>
      <c r="Z573" s="3" t="s">
        <v>251</v>
      </c>
      <c r="AA573" s="3" t="s">
        <v>55</v>
      </c>
      <c r="AB573" s="3" t="s">
        <v>56</v>
      </c>
      <c r="AC573" s="3" t="s">
        <v>215</v>
      </c>
    </row>
    <row r="574" spans="1:29" s="3" customFormat="1" x14ac:dyDescent="0.25">
      <c r="A574" s="3" t="s">
        <v>0</v>
      </c>
      <c r="B574" s="3" t="s">
        <v>10675</v>
      </c>
      <c r="C574" s="3" t="s">
        <v>10659</v>
      </c>
      <c r="D574" s="3" t="str">
        <f t="shared" si="141"/>
        <v>SWHC049-03 SEER Rated AC/HP_DMo</v>
      </c>
      <c r="F574" s="3" t="s">
        <v>285</v>
      </c>
      <c r="G574" s="3" t="str">
        <f t="shared" si="148"/>
        <v>RE-HV-HP-Splt-45to65kBtuh-S16p0H9p0</v>
      </c>
      <c r="H574" s="3" t="s">
        <v>286</v>
      </c>
      <c r="I574" s="3" t="s">
        <v>287</v>
      </c>
      <c r="J574" s="3" t="s">
        <v>288</v>
      </c>
      <c r="K574" s="32" t="s">
        <v>265</v>
      </c>
      <c r="L574" s="32" t="s">
        <v>289</v>
      </c>
      <c r="M574" s="32" t="s">
        <v>267</v>
      </c>
      <c r="N574" s="3" t="str">
        <f t="shared" si="149"/>
        <v>DMo&amp;0&amp;rDXHP&amp;New&amp;dxHP_equip</v>
      </c>
      <c r="O574" s="3" t="s">
        <v>62</v>
      </c>
      <c r="P574" s="3">
        <v>0</v>
      </c>
      <c r="Q574" s="3" t="s">
        <v>57</v>
      </c>
      <c r="R574" s="3" t="s">
        <v>107</v>
      </c>
      <c r="S574" s="3" t="str">
        <f t="shared" si="147"/>
        <v>No</v>
      </c>
      <c r="T574" s="3" t="str">
        <f t="shared" si="150"/>
        <v>dxHP_equip</v>
      </c>
      <c r="U574" s="3" t="str">
        <f t="shared" si="146"/>
        <v>dxHP_equip</v>
      </c>
      <c r="V574" s="3" t="s">
        <v>105</v>
      </c>
      <c r="W574" s="3" t="s">
        <v>106</v>
      </c>
      <c r="X574" s="3" t="s">
        <v>105</v>
      </c>
      <c r="Y574" s="3" t="s">
        <v>106</v>
      </c>
      <c r="Z574" s="3" t="s">
        <v>251</v>
      </c>
      <c r="AA574" s="3" t="s">
        <v>55</v>
      </c>
      <c r="AB574" s="3" t="s">
        <v>56</v>
      </c>
      <c r="AC574" s="3" t="s">
        <v>215</v>
      </c>
    </row>
    <row r="575" spans="1:29" s="3" customFormat="1" x14ac:dyDescent="0.25">
      <c r="A575" s="3" t="s">
        <v>0</v>
      </c>
      <c r="B575" s="3" t="s">
        <v>10675</v>
      </c>
      <c r="C575" s="3" t="s">
        <v>10659</v>
      </c>
      <c r="D575" s="3" t="str">
        <f t="shared" si="141"/>
        <v>SWHC049-03 SEER Rated AC/HP_MFm</v>
      </c>
      <c r="F575" s="3" t="s">
        <v>285</v>
      </c>
      <c r="G575" s="3" t="str">
        <f t="shared" si="148"/>
        <v>RE-HV-HP-Splt-45to65kBtuh-S16p0H9p0</v>
      </c>
      <c r="H575" s="3" t="s">
        <v>286</v>
      </c>
      <c r="I575" s="3" t="s">
        <v>287</v>
      </c>
      <c r="J575" s="3" t="s">
        <v>288</v>
      </c>
      <c r="K575" s="32" t="s">
        <v>265</v>
      </c>
      <c r="L575" s="32" t="s">
        <v>289</v>
      </c>
      <c r="M575" s="32" t="s">
        <v>267</v>
      </c>
      <c r="N575" s="3" t="str">
        <f t="shared" si="149"/>
        <v>MFm&amp;0&amp;rDXHP&amp;New&amp;dxHP_equip</v>
      </c>
      <c r="O575" s="3" t="s">
        <v>63</v>
      </c>
      <c r="P575" s="3">
        <v>0</v>
      </c>
      <c r="Q575" s="3" t="s">
        <v>57</v>
      </c>
      <c r="R575" s="3" t="s">
        <v>107</v>
      </c>
      <c r="S575" s="3" t="str">
        <f t="shared" si="147"/>
        <v>No</v>
      </c>
      <c r="T575" s="3" t="str">
        <f t="shared" si="150"/>
        <v>dxHP_equip</v>
      </c>
      <c r="U575" s="3" t="str">
        <f t="shared" si="146"/>
        <v>dxHP_equip</v>
      </c>
      <c r="V575" s="3" t="s">
        <v>105</v>
      </c>
      <c r="W575" s="3" t="s">
        <v>106</v>
      </c>
      <c r="X575" s="3" t="s">
        <v>105</v>
      </c>
      <c r="Y575" s="3" t="s">
        <v>106</v>
      </c>
      <c r="Z575" s="3" t="s">
        <v>251</v>
      </c>
      <c r="AA575" s="3" t="s">
        <v>55</v>
      </c>
      <c r="AB575" s="3" t="s">
        <v>56</v>
      </c>
      <c r="AC575" s="3" t="s">
        <v>215</v>
      </c>
    </row>
    <row r="576" spans="1:29" s="3" customFormat="1" x14ac:dyDescent="0.25">
      <c r="A576" s="3" t="s">
        <v>0</v>
      </c>
      <c r="B576" s="3" t="s">
        <v>10675</v>
      </c>
      <c r="C576" s="3" t="s">
        <v>10659</v>
      </c>
      <c r="D576" s="3" t="str">
        <f t="shared" si="141"/>
        <v>SWHC049-03 SEER Rated AC/HP_SFm</v>
      </c>
      <c r="F576" s="3" t="s">
        <v>290</v>
      </c>
      <c r="G576" s="3" t="str">
        <f t="shared" si="148"/>
        <v>RE-HV-HP-Splt-45to65kBtuh-S17p0H9p4</v>
      </c>
      <c r="H576" s="3" t="s">
        <v>286</v>
      </c>
      <c r="I576" s="3" t="s">
        <v>287</v>
      </c>
      <c r="J576" s="3" t="s">
        <v>291</v>
      </c>
      <c r="K576" s="32" t="s">
        <v>265</v>
      </c>
      <c r="L576" s="32" t="s">
        <v>289</v>
      </c>
      <c r="M576" s="32" t="s">
        <v>272</v>
      </c>
      <c r="N576" s="3" t="str">
        <f t="shared" si="149"/>
        <v>SFm&amp;1&amp;rDXHP&amp;Ex&amp;dxHP_equip</v>
      </c>
      <c r="O576" s="3" t="s">
        <v>50</v>
      </c>
      <c r="P576" s="3">
        <v>1</v>
      </c>
      <c r="Q576" s="3" t="s">
        <v>57</v>
      </c>
      <c r="R576" s="3" t="s">
        <v>52</v>
      </c>
      <c r="S576" s="3" t="str">
        <f t="shared" si="147"/>
        <v>No</v>
      </c>
      <c r="T576" s="3" t="str">
        <f t="shared" si="150"/>
        <v>dxHP_equip</v>
      </c>
      <c r="U576" s="3" t="str">
        <f t="shared" si="146"/>
        <v>dxHP_equip</v>
      </c>
      <c r="V576" s="3" t="s">
        <v>105</v>
      </c>
      <c r="W576" s="3" t="s">
        <v>106</v>
      </c>
      <c r="X576" s="3" t="s">
        <v>105</v>
      </c>
      <c r="Y576" s="3" t="s">
        <v>106</v>
      </c>
      <c r="Z576" s="3" t="s">
        <v>251</v>
      </c>
      <c r="AA576" s="3" t="s">
        <v>55</v>
      </c>
      <c r="AB576" s="3" t="s">
        <v>56</v>
      </c>
      <c r="AC576" s="3" t="s">
        <v>215</v>
      </c>
    </row>
    <row r="577" spans="1:29" s="3" customFormat="1" x14ac:dyDescent="0.25">
      <c r="A577" s="3" t="s">
        <v>0</v>
      </c>
      <c r="B577" s="3" t="s">
        <v>10675</v>
      </c>
      <c r="C577" s="3" t="s">
        <v>10659</v>
      </c>
      <c r="D577" s="3" t="str">
        <f t="shared" si="141"/>
        <v>SWHC049-03 SEER Rated AC/HP_SFm</v>
      </c>
      <c r="F577" s="3" t="s">
        <v>290</v>
      </c>
      <c r="G577" s="3" t="str">
        <f t="shared" si="148"/>
        <v>RE-HV-HP-Splt-45to65kBtuh-S17p0H9p4</v>
      </c>
      <c r="H577" s="3" t="s">
        <v>286</v>
      </c>
      <c r="I577" s="3" t="s">
        <v>287</v>
      </c>
      <c r="J577" s="3" t="s">
        <v>291</v>
      </c>
      <c r="K577" s="32" t="s">
        <v>265</v>
      </c>
      <c r="L577" s="32" t="s">
        <v>289</v>
      </c>
      <c r="M577" s="32" t="s">
        <v>272</v>
      </c>
      <c r="N577" s="3" t="str">
        <f t="shared" si="149"/>
        <v>SFm&amp;2&amp;rDXHP&amp;Ex&amp;dxHP_equip</v>
      </c>
      <c r="O577" s="3" t="s">
        <v>50</v>
      </c>
      <c r="P577" s="3">
        <v>2</v>
      </c>
      <c r="Q577" s="3" t="s">
        <v>57</v>
      </c>
      <c r="R577" s="3" t="s">
        <v>52</v>
      </c>
      <c r="S577" s="3" t="str">
        <f t="shared" si="147"/>
        <v>No</v>
      </c>
      <c r="T577" s="3" t="str">
        <f t="shared" si="150"/>
        <v>dxHP_equip</v>
      </c>
      <c r="U577" s="3" t="str">
        <f t="shared" si="146"/>
        <v>dxHP_equip</v>
      </c>
      <c r="V577" s="3" t="s">
        <v>105</v>
      </c>
      <c r="W577" s="3" t="s">
        <v>106</v>
      </c>
      <c r="X577" s="3" t="s">
        <v>105</v>
      </c>
      <c r="Y577" s="3" t="s">
        <v>106</v>
      </c>
      <c r="Z577" s="3" t="s">
        <v>251</v>
      </c>
      <c r="AA577" s="3" t="s">
        <v>55</v>
      </c>
      <c r="AB577" s="3" t="s">
        <v>56</v>
      </c>
      <c r="AC577" s="3" t="s">
        <v>215</v>
      </c>
    </row>
    <row r="578" spans="1:29" s="3" customFormat="1" x14ac:dyDescent="0.25">
      <c r="A578" s="3" t="s">
        <v>0</v>
      </c>
      <c r="B578" s="3" t="s">
        <v>10675</v>
      </c>
      <c r="C578" s="3" t="s">
        <v>10659</v>
      </c>
      <c r="D578" s="3" t="str">
        <f t="shared" si="141"/>
        <v>SWHC049-03 SEER Rated AC/HP_DMo</v>
      </c>
      <c r="F578" s="3" t="s">
        <v>290</v>
      </c>
      <c r="G578" s="3" t="str">
        <f t="shared" si="148"/>
        <v>RE-HV-HP-Splt-45to65kBtuh-S17p0H9p4</v>
      </c>
      <c r="H578" s="3" t="s">
        <v>286</v>
      </c>
      <c r="I578" s="3" t="s">
        <v>287</v>
      </c>
      <c r="J578" s="3" t="s">
        <v>291</v>
      </c>
      <c r="K578" s="32" t="s">
        <v>265</v>
      </c>
      <c r="L578" s="32" t="s">
        <v>289</v>
      </c>
      <c r="M578" s="32" t="s">
        <v>272</v>
      </c>
      <c r="N578" s="3" t="str">
        <f t="shared" si="149"/>
        <v>DMo&amp;0&amp;rDXHP&amp;Ex&amp;dxHP_equip</v>
      </c>
      <c r="O578" s="3" t="s">
        <v>62</v>
      </c>
      <c r="P578" s="3">
        <v>0</v>
      </c>
      <c r="Q578" s="3" t="s">
        <v>57</v>
      </c>
      <c r="R578" s="3" t="s">
        <v>52</v>
      </c>
      <c r="S578" s="3" t="str">
        <f t="shared" si="147"/>
        <v>No</v>
      </c>
      <c r="T578" s="3" t="str">
        <f t="shared" si="150"/>
        <v>dxHP_equip</v>
      </c>
      <c r="U578" s="3" t="str">
        <f t="shared" si="146"/>
        <v>dxHP_equip</v>
      </c>
      <c r="V578" s="3" t="s">
        <v>105</v>
      </c>
      <c r="W578" s="3" t="s">
        <v>106</v>
      </c>
      <c r="X578" s="3" t="s">
        <v>105</v>
      </c>
      <c r="Y578" s="3" t="s">
        <v>106</v>
      </c>
      <c r="Z578" s="3" t="s">
        <v>251</v>
      </c>
      <c r="AA578" s="3" t="s">
        <v>55</v>
      </c>
      <c r="AB578" s="3" t="s">
        <v>56</v>
      </c>
      <c r="AC578" s="3" t="s">
        <v>215</v>
      </c>
    </row>
    <row r="579" spans="1:29" s="3" customFormat="1" x14ac:dyDescent="0.25">
      <c r="A579" s="3" t="s">
        <v>0</v>
      </c>
      <c r="B579" s="3" t="s">
        <v>10675</v>
      </c>
      <c r="C579" s="3" t="s">
        <v>10659</v>
      </c>
      <c r="D579" s="3" t="str">
        <f t="shared" si="141"/>
        <v>SWHC049-03 SEER Rated AC/HP_MFm</v>
      </c>
      <c r="F579" s="3" t="s">
        <v>290</v>
      </c>
      <c r="G579" s="3" t="str">
        <f t="shared" si="148"/>
        <v>RE-HV-HP-Splt-45to65kBtuh-S17p0H9p4</v>
      </c>
      <c r="H579" s="3" t="s">
        <v>286</v>
      </c>
      <c r="I579" s="3" t="s">
        <v>287</v>
      </c>
      <c r="J579" s="3" t="s">
        <v>291</v>
      </c>
      <c r="K579" s="32" t="s">
        <v>265</v>
      </c>
      <c r="L579" s="32" t="s">
        <v>289</v>
      </c>
      <c r="M579" s="32" t="s">
        <v>272</v>
      </c>
      <c r="N579" s="3" t="str">
        <f t="shared" si="149"/>
        <v>MFm&amp;0&amp;rDXHP&amp;Ex&amp;dxHP_equip</v>
      </c>
      <c r="O579" s="3" t="s">
        <v>63</v>
      </c>
      <c r="P579" s="3">
        <v>0</v>
      </c>
      <c r="Q579" s="3" t="s">
        <v>57</v>
      </c>
      <c r="R579" s="3" t="s">
        <v>52</v>
      </c>
      <c r="S579" s="3" t="str">
        <f t="shared" si="147"/>
        <v>No</v>
      </c>
      <c r="T579" s="3" t="str">
        <f t="shared" si="150"/>
        <v>dxHP_equip</v>
      </c>
      <c r="U579" s="3" t="str">
        <f t="shared" si="146"/>
        <v>dxHP_equip</v>
      </c>
      <c r="V579" s="3" t="s">
        <v>105</v>
      </c>
      <c r="W579" s="3" t="s">
        <v>106</v>
      </c>
      <c r="X579" s="3" t="s">
        <v>105</v>
      </c>
      <c r="Y579" s="3" t="s">
        <v>106</v>
      </c>
      <c r="Z579" s="3" t="s">
        <v>251</v>
      </c>
      <c r="AA579" s="3" t="s">
        <v>55</v>
      </c>
      <c r="AB579" s="3" t="s">
        <v>56</v>
      </c>
      <c r="AC579" s="3" t="s">
        <v>215</v>
      </c>
    </row>
    <row r="580" spans="1:29" s="3" customFormat="1" x14ac:dyDescent="0.25">
      <c r="A580" s="3" t="s">
        <v>0</v>
      </c>
      <c r="B580" s="3" t="s">
        <v>10675</v>
      </c>
      <c r="C580" s="3" t="s">
        <v>10659</v>
      </c>
      <c r="D580" s="3" t="str">
        <f t="shared" si="141"/>
        <v>SWHC049-03 SEER Rated AC/HP_SFm</v>
      </c>
      <c r="F580" s="3" t="s">
        <v>290</v>
      </c>
      <c r="G580" s="3" t="str">
        <f t="shared" si="148"/>
        <v>RE-HV-HP-Splt-45to65kBtuh-S17p0H9p4</v>
      </c>
      <c r="H580" s="3" t="s">
        <v>286</v>
      </c>
      <c r="I580" s="3" t="s">
        <v>287</v>
      </c>
      <c r="J580" s="3" t="s">
        <v>291</v>
      </c>
      <c r="K580" s="32" t="s">
        <v>265</v>
      </c>
      <c r="L580" s="32" t="s">
        <v>289</v>
      </c>
      <c r="M580" s="32" t="s">
        <v>272</v>
      </c>
      <c r="N580" s="3" t="str">
        <f t="shared" si="149"/>
        <v>SFm&amp;1&amp;rDXHP&amp;New&amp;dxHP_equip</v>
      </c>
      <c r="O580" s="3" t="s">
        <v>50</v>
      </c>
      <c r="P580" s="3">
        <v>1</v>
      </c>
      <c r="Q580" s="3" t="s">
        <v>57</v>
      </c>
      <c r="R580" s="3" t="s">
        <v>107</v>
      </c>
      <c r="S580" s="3" t="str">
        <f t="shared" si="147"/>
        <v>No</v>
      </c>
      <c r="T580" s="3" t="str">
        <f t="shared" si="150"/>
        <v>dxHP_equip</v>
      </c>
      <c r="U580" s="3" t="str">
        <f t="shared" si="146"/>
        <v>dxHP_equip</v>
      </c>
      <c r="V580" s="3" t="s">
        <v>105</v>
      </c>
      <c r="W580" s="3" t="s">
        <v>106</v>
      </c>
      <c r="X580" s="3" t="s">
        <v>105</v>
      </c>
      <c r="Y580" s="3" t="s">
        <v>106</v>
      </c>
      <c r="Z580" s="3" t="s">
        <v>251</v>
      </c>
      <c r="AA580" s="3" t="s">
        <v>55</v>
      </c>
      <c r="AB580" s="3" t="s">
        <v>56</v>
      </c>
      <c r="AC580" s="3" t="s">
        <v>215</v>
      </c>
    </row>
    <row r="581" spans="1:29" s="3" customFormat="1" x14ac:dyDescent="0.25">
      <c r="A581" s="3" t="s">
        <v>0</v>
      </c>
      <c r="B581" s="3" t="s">
        <v>10675</v>
      </c>
      <c r="C581" s="3" t="s">
        <v>10659</v>
      </c>
      <c r="D581" s="3" t="str">
        <f t="shared" si="141"/>
        <v>SWHC049-03 SEER Rated AC/HP_SFm</v>
      </c>
      <c r="F581" s="3" t="s">
        <v>290</v>
      </c>
      <c r="G581" s="3" t="str">
        <f t="shared" si="148"/>
        <v>RE-HV-HP-Splt-45to65kBtuh-S17p0H9p4</v>
      </c>
      <c r="H581" s="3" t="s">
        <v>286</v>
      </c>
      <c r="I581" s="3" t="s">
        <v>287</v>
      </c>
      <c r="J581" s="3" t="s">
        <v>291</v>
      </c>
      <c r="K581" s="32" t="s">
        <v>265</v>
      </c>
      <c r="L581" s="32" t="s">
        <v>289</v>
      </c>
      <c r="M581" s="32" t="s">
        <v>272</v>
      </c>
      <c r="N581" s="3" t="str">
        <f t="shared" si="149"/>
        <v>SFm&amp;2&amp;rDXHP&amp;New&amp;dxHP_equip</v>
      </c>
      <c r="O581" s="3" t="s">
        <v>50</v>
      </c>
      <c r="P581" s="3">
        <v>2</v>
      </c>
      <c r="Q581" s="3" t="s">
        <v>57</v>
      </c>
      <c r="R581" s="3" t="s">
        <v>107</v>
      </c>
      <c r="S581" s="3" t="str">
        <f t="shared" si="147"/>
        <v>No</v>
      </c>
      <c r="T581" s="3" t="str">
        <f t="shared" si="150"/>
        <v>dxHP_equip</v>
      </c>
      <c r="U581" s="3" t="str">
        <f t="shared" si="146"/>
        <v>dxHP_equip</v>
      </c>
      <c r="V581" s="3" t="s">
        <v>105</v>
      </c>
      <c r="W581" s="3" t="s">
        <v>106</v>
      </c>
      <c r="X581" s="3" t="s">
        <v>105</v>
      </c>
      <c r="Y581" s="3" t="s">
        <v>106</v>
      </c>
      <c r="Z581" s="3" t="s">
        <v>251</v>
      </c>
      <c r="AA581" s="3" t="s">
        <v>55</v>
      </c>
      <c r="AB581" s="3" t="s">
        <v>56</v>
      </c>
      <c r="AC581" s="3" t="s">
        <v>215</v>
      </c>
    </row>
    <row r="582" spans="1:29" s="3" customFormat="1" x14ac:dyDescent="0.25">
      <c r="A582" s="3" t="s">
        <v>0</v>
      </c>
      <c r="B582" s="3" t="s">
        <v>10675</v>
      </c>
      <c r="C582" s="3" t="s">
        <v>10659</v>
      </c>
      <c r="D582" s="3" t="str">
        <f t="shared" si="141"/>
        <v>SWHC049-03 SEER Rated AC/HP_DMo</v>
      </c>
      <c r="F582" s="3" t="s">
        <v>290</v>
      </c>
      <c r="G582" s="3" t="str">
        <f t="shared" si="148"/>
        <v>RE-HV-HP-Splt-45to65kBtuh-S17p0H9p4</v>
      </c>
      <c r="H582" s="3" t="s">
        <v>286</v>
      </c>
      <c r="I582" s="3" t="s">
        <v>287</v>
      </c>
      <c r="J582" s="3" t="s">
        <v>291</v>
      </c>
      <c r="K582" s="32" t="s">
        <v>265</v>
      </c>
      <c r="L582" s="32" t="s">
        <v>289</v>
      </c>
      <c r="M582" s="32" t="s">
        <v>272</v>
      </c>
      <c r="N582" s="3" t="str">
        <f t="shared" si="149"/>
        <v>DMo&amp;0&amp;rDXHP&amp;New&amp;dxHP_equip</v>
      </c>
      <c r="O582" s="3" t="s">
        <v>62</v>
      </c>
      <c r="P582" s="3">
        <v>0</v>
      </c>
      <c r="Q582" s="3" t="s">
        <v>57</v>
      </c>
      <c r="R582" s="3" t="s">
        <v>107</v>
      </c>
      <c r="S582" s="3" t="str">
        <f t="shared" si="147"/>
        <v>No</v>
      </c>
      <c r="T582" s="3" t="str">
        <f t="shared" si="150"/>
        <v>dxHP_equip</v>
      </c>
      <c r="U582" s="3" t="str">
        <f t="shared" si="146"/>
        <v>dxHP_equip</v>
      </c>
      <c r="V582" s="3" t="s">
        <v>105</v>
      </c>
      <c r="W582" s="3" t="s">
        <v>106</v>
      </c>
      <c r="X582" s="3" t="s">
        <v>105</v>
      </c>
      <c r="Y582" s="3" t="s">
        <v>106</v>
      </c>
      <c r="Z582" s="3" t="s">
        <v>251</v>
      </c>
      <c r="AA582" s="3" t="s">
        <v>55</v>
      </c>
      <c r="AB582" s="3" t="s">
        <v>56</v>
      </c>
      <c r="AC582" s="3" t="s">
        <v>215</v>
      </c>
    </row>
    <row r="583" spans="1:29" s="3" customFormat="1" x14ac:dyDescent="0.25">
      <c r="A583" s="3" t="s">
        <v>0</v>
      </c>
      <c r="B583" s="3" t="s">
        <v>10675</v>
      </c>
      <c r="C583" s="3" t="s">
        <v>10659</v>
      </c>
      <c r="D583" s="3" t="str">
        <f t="shared" ref="D583:D646" si="151">_xlfn.CONCAT(C583, " ", A583,"_",O583)</f>
        <v>SWHC049-03 SEER Rated AC/HP_MFm</v>
      </c>
      <c r="F583" s="3" t="s">
        <v>290</v>
      </c>
      <c r="G583" s="3" t="str">
        <f t="shared" si="148"/>
        <v>RE-HV-HP-Splt-45to65kBtuh-S17p0H9p4</v>
      </c>
      <c r="H583" s="3" t="s">
        <v>286</v>
      </c>
      <c r="I583" s="3" t="s">
        <v>287</v>
      </c>
      <c r="J583" s="3" t="s">
        <v>291</v>
      </c>
      <c r="K583" s="32" t="s">
        <v>265</v>
      </c>
      <c r="L583" s="32" t="s">
        <v>289</v>
      </c>
      <c r="M583" s="32" t="s">
        <v>272</v>
      </c>
      <c r="N583" s="3" t="str">
        <f t="shared" si="149"/>
        <v>MFm&amp;0&amp;rDXHP&amp;New&amp;dxHP_equip</v>
      </c>
      <c r="O583" s="3" t="s">
        <v>63</v>
      </c>
      <c r="P583" s="3">
        <v>0</v>
      </c>
      <c r="Q583" s="3" t="s">
        <v>57</v>
      </c>
      <c r="R583" s="3" t="s">
        <v>107</v>
      </c>
      <c r="S583" s="3" t="str">
        <f t="shared" si="147"/>
        <v>No</v>
      </c>
      <c r="T583" s="3" t="str">
        <f t="shared" si="150"/>
        <v>dxHP_equip</v>
      </c>
      <c r="U583" s="3" t="str">
        <f t="shared" si="146"/>
        <v>dxHP_equip</v>
      </c>
      <c r="V583" s="3" t="s">
        <v>105</v>
      </c>
      <c r="W583" s="3" t="s">
        <v>106</v>
      </c>
      <c r="X583" s="3" t="s">
        <v>105</v>
      </c>
      <c r="Y583" s="3" t="s">
        <v>106</v>
      </c>
      <c r="Z583" s="3" t="s">
        <v>251</v>
      </c>
      <c r="AA583" s="3" t="s">
        <v>55</v>
      </c>
      <c r="AB583" s="3" t="s">
        <v>56</v>
      </c>
      <c r="AC583" s="3" t="s">
        <v>215</v>
      </c>
    </row>
    <row r="584" spans="1:29" s="3" customFormat="1" x14ac:dyDescent="0.25">
      <c r="A584" s="3" t="s">
        <v>0</v>
      </c>
      <c r="B584" s="3" t="s">
        <v>10675</v>
      </c>
      <c r="C584" s="3" t="s">
        <v>10659</v>
      </c>
      <c r="D584" s="3" t="str">
        <f t="shared" si="151"/>
        <v>SWHC049-03 SEER Rated AC/HP_SFm</v>
      </c>
      <c r="F584" s="3" t="s">
        <v>292</v>
      </c>
      <c r="G584" s="3" t="str">
        <f t="shared" si="148"/>
        <v>RE-HV-HP-Splt-45to65kBtuh-S18p0H9p5</v>
      </c>
      <c r="H584" s="3" t="s">
        <v>286</v>
      </c>
      <c r="I584" s="3" t="s">
        <v>287</v>
      </c>
      <c r="J584" s="3" t="s">
        <v>293</v>
      </c>
      <c r="K584" s="32" t="s">
        <v>265</v>
      </c>
      <c r="L584" s="32" t="s">
        <v>289</v>
      </c>
      <c r="M584" s="32" t="s">
        <v>275</v>
      </c>
      <c r="N584" s="3" t="str">
        <f t="shared" si="149"/>
        <v>SFm&amp;1&amp;rDXHP&amp;Ex&amp;dxHP_equip</v>
      </c>
      <c r="O584" s="3" t="s">
        <v>50</v>
      </c>
      <c r="P584" s="3">
        <v>1</v>
      </c>
      <c r="Q584" s="3" t="s">
        <v>57</v>
      </c>
      <c r="R584" s="3" t="s">
        <v>52</v>
      </c>
      <c r="S584" s="3" t="str">
        <f t="shared" si="147"/>
        <v>No</v>
      </c>
      <c r="T584" s="3" t="str">
        <f t="shared" si="150"/>
        <v>dxHP_equip</v>
      </c>
      <c r="U584" s="3" t="str">
        <f t="shared" si="146"/>
        <v>dxHP_equip</v>
      </c>
      <c r="V584" s="3" t="s">
        <v>105</v>
      </c>
      <c r="W584" s="3" t="s">
        <v>106</v>
      </c>
      <c r="X584" s="3" t="s">
        <v>105</v>
      </c>
      <c r="Y584" s="3" t="s">
        <v>106</v>
      </c>
      <c r="Z584" s="3" t="s">
        <v>251</v>
      </c>
      <c r="AA584" s="3" t="s">
        <v>55</v>
      </c>
      <c r="AB584" s="3" t="s">
        <v>56</v>
      </c>
      <c r="AC584" s="3" t="s">
        <v>215</v>
      </c>
    </row>
    <row r="585" spans="1:29" s="3" customFormat="1" x14ac:dyDescent="0.25">
      <c r="A585" s="3" t="s">
        <v>0</v>
      </c>
      <c r="B585" s="3" t="s">
        <v>10675</v>
      </c>
      <c r="C585" s="3" t="s">
        <v>10659</v>
      </c>
      <c r="D585" s="3" t="str">
        <f t="shared" si="151"/>
        <v>SWHC049-03 SEER Rated AC/HP_SFm</v>
      </c>
      <c r="F585" s="3" t="s">
        <v>292</v>
      </c>
      <c r="G585" s="3" t="str">
        <f t="shared" si="148"/>
        <v>RE-HV-HP-Splt-45to65kBtuh-S18p0H9p5</v>
      </c>
      <c r="H585" s="3" t="s">
        <v>286</v>
      </c>
      <c r="I585" s="3" t="s">
        <v>287</v>
      </c>
      <c r="J585" s="3" t="s">
        <v>293</v>
      </c>
      <c r="K585" s="32" t="s">
        <v>265</v>
      </c>
      <c r="L585" s="32" t="s">
        <v>289</v>
      </c>
      <c r="M585" s="32" t="s">
        <v>275</v>
      </c>
      <c r="N585" s="3" t="str">
        <f t="shared" si="149"/>
        <v>SFm&amp;2&amp;rDXHP&amp;Ex&amp;dxHP_equip</v>
      </c>
      <c r="O585" s="3" t="s">
        <v>50</v>
      </c>
      <c r="P585" s="3">
        <v>2</v>
      </c>
      <c r="Q585" s="3" t="s">
        <v>57</v>
      </c>
      <c r="R585" s="3" t="s">
        <v>52</v>
      </c>
      <c r="S585" s="3" t="str">
        <f t="shared" si="147"/>
        <v>No</v>
      </c>
      <c r="T585" s="3" t="str">
        <f t="shared" si="150"/>
        <v>dxHP_equip</v>
      </c>
      <c r="U585" s="3" t="str">
        <f t="shared" si="146"/>
        <v>dxHP_equip</v>
      </c>
      <c r="V585" s="3" t="s">
        <v>105</v>
      </c>
      <c r="W585" s="3" t="s">
        <v>106</v>
      </c>
      <c r="X585" s="3" t="s">
        <v>105</v>
      </c>
      <c r="Y585" s="3" t="s">
        <v>106</v>
      </c>
      <c r="Z585" s="3" t="s">
        <v>251</v>
      </c>
      <c r="AA585" s="3" t="s">
        <v>55</v>
      </c>
      <c r="AB585" s="3" t="s">
        <v>56</v>
      </c>
      <c r="AC585" s="3" t="s">
        <v>215</v>
      </c>
    </row>
    <row r="586" spans="1:29" s="3" customFormat="1" x14ac:dyDescent="0.25">
      <c r="A586" s="3" t="s">
        <v>0</v>
      </c>
      <c r="B586" s="3" t="s">
        <v>10675</v>
      </c>
      <c r="C586" s="3" t="s">
        <v>10659</v>
      </c>
      <c r="D586" s="3" t="str">
        <f t="shared" si="151"/>
        <v>SWHC049-03 SEER Rated AC/HP_DMo</v>
      </c>
      <c r="F586" s="3" t="s">
        <v>292</v>
      </c>
      <c r="G586" s="3" t="str">
        <f t="shared" si="148"/>
        <v>RE-HV-HP-Splt-45to65kBtuh-S18p0H9p5</v>
      </c>
      <c r="H586" s="3" t="s">
        <v>286</v>
      </c>
      <c r="I586" s="3" t="s">
        <v>287</v>
      </c>
      <c r="J586" s="3" t="s">
        <v>293</v>
      </c>
      <c r="K586" s="32" t="s">
        <v>265</v>
      </c>
      <c r="L586" s="32" t="s">
        <v>289</v>
      </c>
      <c r="M586" s="32" t="s">
        <v>275</v>
      </c>
      <c r="N586" s="3" t="str">
        <f t="shared" si="149"/>
        <v>DMo&amp;0&amp;rDXHP&amp;Ex&amp;dxHP_equip</v>
      </c>
      <c r="O586" s="3" t="s">
        <v>62</v>
      </c>
      <c r="P586" s="3">
        <v>0</v>
      </c>
      <c r="Q586" s="3" t="s">
        <v>57</v>
      </c>
      <c r="R586" s="3" t="s">
        <v>52</v>
      </c>
      <c r="S586" s="3" t="str">
        <f t="shared" si="147"/>
        <v>No</v>
      </c>
      <c r="T586" s="3" t="str">
        <f t="shared" si="150"/>
        <v>dxHP_equip</v>
      </c>
      <c r="U586" s="3" t="str">
        <f t="shared" si="146"/>
        <v>dxHP_equip</v>
      </c>
      <c r="V586" s="3" t="s">
        <v>105</v>
      </c>
      <c r="W586" s="3" t="s">
        <v>106</v>
      </c>
      <c r="X586" s="3" t="s">
        <v>105</v>
      </c>
      <c r="Y586" s="3" t="s">
        <v>106</v>
      </c>
      <c r="Z586" s="3" t="s">
        <v>251</v>
      </c>
      <c r="AA586" s="3" t="s">
        <v>55</v>
      </c>
      <c r="AB586" s="3" t="s">
        <v>56</v>
      </c>
      <c r="AC586" s="3" t="s">
        <v>215</v>
      </c>
    </row>
    <row r="587" spans="1:29" s="3" customFormat="1" x14ac:dyDescent="0.25">
      <c r="A587" s="3" t="s">
        <v>0</v>
      </c>
      <c r="B587" s="3" t="s">
        <v>10675</v>
      </c>
      <c r="C587" s="3" t="s">
        <v>10659</v>
      </c>
      <c r="D587" s="3" t="str">
        <f t="shared" si="151"/>
        <v>SWHC049-03 SEER Rated AC/HP_MFm</v>
      </c>
      <c r="F587" s="3" t="s">
        <v>292</v>
      </c>
      <c r="G587" s="3" t="str">
        <f t="shared" si="148"/>
        <v>RE-HV-HP-Splt-45to65kBtuh-S18p0H9p5</v>
      </c>
      <c r="H587" s="3" t="s">
        <v>286</v>
      </c>
      <c r="I587" s="3" t="s">
        <v>287</v>
      </c>
      <c r="J587" s="3" t="s">
        <v>293</v>
      </c>
      <c r="K587" s="32" t="s">
        <v>265</v>
      </c>
      <c r="L587" s="32" t="s">
        <v>289</v>
      </c>
      <c r="M587" s="32" t="s">
        <v>275</v>
      </c>
      <c r="N587" s="3" t="str">
        <f t="shared" si="149"/>
        <v>MFm&amp;0&amp;rDXHP&amp;Ex&amp;dxHP_equip</v>
      </c>
      <c r="O587" s="3" t="s">
        <v>63</v>
      </c>
      <c r="P587" s="3">
        <v>0</v>
      </c>
      <c r="Q587" s="3" t="s">
        <v>57</v>
      </c>
      <c r="R587" s="3" t="s">
        <v>52</v>
      </c>
      <c r="S587" s="3" t="str">
        <f t="shared" si="147"/>
        <v>No</v>
      </c>
      <c r="T587" s="3" t="str">
        <f t="shared" si="150"/>
        <v>dxHP_equip</v>
      </c>
      <c r="U587" s="3" t="str">
        <f t="shared" si="146"/>
        <v>dxHP_equip</v>
      </c>
      <c r="V587" s="3" t="s">
        <v>105</v>
      </c>
      <c r="W587" s="3" t="s">
        <v>106</v>
      </c>
      <c r="X587" s="3" t="s">
        <v>105</v>
      </c>
      <c r="Y587" s="3" t="s">
        <v>106</v>
      </c>
      <c r="Z587" s="3" t="s">
        <v>251</v>
      </c>
      <c r="AA587" s="3" t="s">
        <v>55</v>
      </c>
      <c r="AB587" s="3" t="s">
        <v>56</v>
      </c>
      <c r="AC587" s="3" t="s">
        <v>215</v>
      </c>
    </row>
    <row r="588" spans="1:29" s="3" customFormat="1" x14ac:dyDescent="0.25">
      <c r="A588" s="3" t="s">
        <v>0</v>
      </c>
      <c r="B588" s="3" t="s">
        <v>10675</v>
      </c>
      <c r="C588" s="3" t="s">
        <v>10659</v>
      </c>
      <c r="D588" s="3" t="str">
        <f t="shared" si="151"/>
        <v>SWHC049-03 SEER Rated AC/HP_SFm</v>
      </c>
      <c r="F588" s="3" t="s">
        <v>292</v>
      </c>
      <c r="G588" s="3" t="str">
        <f t="shared" si="148"/>
        <v>RE-HV-HP-Splt-45to65kBtuh-S18p0H9p5</v>
      </c>
      <c r="H588" s="3" t="s">
        <v>286</v>
      </c>
      <c r="I588" s="3" t="s">
        <v>287</v>
      </c>
      <c r="J588" s="3" t="s">
        <v>293</v>
      </c>
      <c r="K588" s="32" t="s">
        <v>265</v>
      </c>
      <c r="L588" s="32" t="s">
        <v>289</v>
      </c>
      <c r="M588" s="32" t="s">
        <v>275</v>
      </c>
      <c r="N588" s="3" t="str">
        <f t="shared" si="149"/>
        <v>SFm&amp;1&amp;rDXHP&amp;New&amp;dxHP_equip</v>
      </c>
      <c r="O588" s="3" t="s">
        <v>50</v>
      </c>
      <c r="P588" s="3">
        <v>1</v>
      </c>
      <c r="Q588" s="3" t="s">
        <v>57</v>
      </c>
      <c r="R588" s="3" t="s">
        <v>107</v>
      </c>
      <c r="S588" s="3" t="str">
        <f t="shared" si="147"/>
        <v>No</v>
      </c>
      <c r="T588" s="3" t="str">
        <f t="shared" si="150"/>
        <v>dxHP_equip</v>
      </c>
      <c r="U588" s="3" t="str">
        <f t="shared" si="146"/>
        <v>dxHP_equip</v>
      </c>
      <c r="V588" s="3" t="s">
        <v>105</v>
      </c>
      <c r="W588" s="3" t="s">
        <v>106</v>
      </c>
      <c r="X588" s="3" t="s">
        <v>105</v>
      </c>
      <c r="Y588" s="3" t="s">
        <v>106</v>
      </c>
      <c r="Z588" s="3" t="s">
        <v>251</v>
      </c>
      <c r="AA588" s="3" t="s">
        <v>55</v>
      </c>
      <c r="AB588" s="3" t="s">
        <v>56</v>
      </c>
      <c r="AC588" s="3" t="s">
        <v>215</v>
      </c>
    </row>
    <row r="589" spans="1:29" s="3" customFormat="1" x14ac:dyDescent="0.25">
      <c r="A589" s="3" t="s">
        <v>0</v>
      </c>
      <c r="B589" s="3" t="s">
        <v>10675</v>
      </c>
      <c r="C589" s="3" t="s">
        <v>10659</v>
      </c>
      <c r="D589" s="3" t="str">
        <f t="shared" si="151"/>
        <v>SWHC049-03 SEER Rated AC/HP_SFm</v>
      </c>
      <c r="F589" s="3" t="s">
        <v>292</v>
      </c>
      <c r="G589" s="3" t="str">
        <f t="shared" si="148"/>
        <v>RE-HV-HP-Splt-45to65kBtuh-S18p0H9p5</v>
      </c>
      <c r="H589" s="3" t="s">
        <v>286</v>
      </c>
      <c r="I589" s="3" t="s">
        <v>287</v>
      </c>
      <c r="J589" s="3" t="s">
        <v>293</v>
      </c>
      <c r="K589" s="32" t="s">
        <v>265</v>
      </c>
      <c r="L589" s="32" t="s">
        <v>289</v>
      </c>
      <c r="M589" s="32" t="s">
        <v>275</v>
      </c>
      <c r="N589" s="3" t="str">
        <f t="shared" si="149"/>
        <v>SFm&amp;2&amp;rDXHP&amp;New&amp;dxHP_equip</v>
      </c>
      <c r="O589" s="3" t="s">
        <v>50</v>
      </c>
      <c r="P589" s="3">
        <v>2</v>
      </c>
      <c r="Q589" s="3" t="s">
        <v>57</v>
      </c>
      <c r="R589" s="3" t="s">
        <v>107</v>
      </c>
      <c r="S589" s="3" t="str">
        <f t="shared" si="147"/>
        <v>No</v>
      </c>
      <c r="T589" s="3" t="str">
        <f t="shared" si="150"/>
        <v>dxHP_equip</v>
      </c>
      <c r="U589" s="3" t="str">
        <f t="shared" si="146"/>
        <v>dxHP_equip</v>
      </c>
      <c r="V589" s="3" t="s">
        <v>105</v>
      </c>
      <c r="W589" s="3" t="s">
        <v>106</v>
      </c>
      <c r="X589" s="3" t="s">
        <v>105</v>
      </c>
      <c r="Y589" s="3" t="s">
        <v>106</v>
      </c>
      <c r="Z589" s="3" t="s">
        <v>251</v>
      </c>
      <c r="AA589" s="3" t="s">
        <v>55</v>
      </c>
      <c r="AB589" s="3" t="s">
        <v>56</v>
      </c>
      <c r="AC589" s="3" t="s">
        <v>215</v>
      </c>
    </row>
    <row r="590" spans="1:29" s="3" customFormat="1" x14ac:dyDescent="0.25">
      <c r="A590" s="3" t="s">
        <v>0</v>
      </c>
      <c r="B590" s="3" t="s">
        <v>10675</v>
      </c>
      <c r="C590" s="3" t="s">
        <v>10659</v>
      </c>
      <c r="D590" s="3" t="str">
        <f t="shared" si="151"/>
        <v>SWHC049-03 SEER Rated AC/HP_DMo</v>
      </c>
      <c r="F590" s="3" t="s">
        <v>292</v>
      </c>
      <c r="G590" s="3" t="str">
        <f t="shared" si="148"/>
        <v>RE-HV-HP-Splt-45to65kBtuh-S18p0H9p5</v>
      </c>
      <c r="H590" s="3" t="s">
        <v>286</v>
      </c>
      <c r="I590" s="3" t="s">
        <v>287</v>
      </c>
      <c r="J590" s="3" t="s">
        <v>293</v>
      </c>
      <c r="K590" s="32" t="s">
        <v>265</v>
      </c>
      <c r="L590" s="32" t="s">
        <v>289</v>
      </c>
      <c r="M590" s="32" t="s">
        <v>275</v>
      </c>
      <c r="N590" s="3" t="str">
        <f t="shared" si="149"/>
        <v>DMo&amp;0&amp;rDXHP&amp;New&amp;dxHP_equip</v>
      </c>
      <c r="O590" s="3" t="s">
        <v>62</v>
      </c>
      <c r="P590" s="3">
        <v>0</v>
      </c>
      <c r="Q590" s="3" t="s">
        <v>57</v>
      </c>
      <c r="R590" s="3" t="s">
        <v>107</v>
      </c>
      <c r="S590" s="3" t="str">
        <f t="shared" si="147"/>
        <v>No</v>
      </c>
      <c r="T590" s="3" t="str">
        <f t="shared" si="150"/>
        <v>dxHP_equip</v>
      </c>
      <c r="U590" s="3" t="str">
        <f t="shared" si="146"/>
        <v>dxHP_equip</v>
      </c>
      <c r="V590" s="3" t="s">
        <v>105</v>
      </c>
      <c r="W590" s="3" t="s">
        <v>106</v>
      </c>
      <c r="X590" s="3" t="s">
        <v>105</v>
      </c>
      <c r="Y590" s="3" t="s">
        <v>106</v>
      </c>
      <c r="Z590" s="3" t="s">
        <v>251</v>
      </c>
      <c r="AA590" s="3" t="s">
        <v>55</v>
      </c>
      <c r="AB590" s="3" t="s">
        <v>56</v>
      </c>
      <c r="AC590" s="3" t="s">
        <v>215</v>
      </c>
    </row>
    <row r="591" spans="1:29" s="3" customFormat="1" x14ac:dyDescent="0.25">
      <c r="A591" s="3" t="s">
        <v>0</v>
      </c>
      <c r="B591" s="3" t="s">
        <v>10675</v>
      </c>
      <c r="C591" s="3" t="s">
        <v>10659</v>
      </c>
      <c r="D591" s="3" t="str">
        <f t="shared" si="151"/>
        <v>SWHC049-03 SEER Rated AC/HP_MFm</v>
      </c>
      <c r="F591" s="3" t="s">
        <v>292</v>
      </c>
      <c r="G591" s="3" t="str">
        <f t="shared" si="148"/>
        <v>RE-HV-HP-Splt-45to65kBtuh-S18p0H9p5</v>
      </c>
      <c r="H591" s="3" t="s">
        <v>286</v>
      </c>
      <c r="I591" s="3" t="s">
        <v>287</v>
      </c>
      <c r="J591" s="3" t="s">
        <v>293</v>
      </c>
      <c r="K591" s="32" t="s">
        <v>265</v>
      </c>
      <c r="L591" s="32" t="s">
        <v>289</v>
      </c>
      <c r="M591" s="32" t="s">
        <v>275</v>
      </c>
      <c r="N591" s="3" t="str">
        <f t="shared" si="149"/>
        <v>MFm&amp;0&amp;rDXHP&amp;New&amp;dxHP_equip</v>
      </c>
      <c r="O591" s="3" t="s">
        <v>63</v>
      </c>
      <c r="P591" s="3">
        <v>0</v>
      </c>
      <c r="Q591" s="3" t="s">
        <v>57</v>
      </c>
      <c r="R591" s="3" t="s">
        <v>107</v>
      </c>
      <c r="S591" s="3" t="str">
        <f t="shared" si="147"/>
        <v>No</v>
      </c>
      <c r="T591" s="3" t="str">
        <f t="shared" si="150"/>
        <v>dxHP_equip</v>
      </c>
      <c r="U591" s="3" t="str">
        <f t="shared" si="146"/>
        <v>dxHP_equip</v>
      </c>
      <c r="V591" s="3" t="s">
        <v>105</v>
      </c>
      <c r="W591" s="3" t="s">
        <v>106</v>
      </c>
      <c r="X591" s="3" t="s">
        <v>105</v>
      </c>
      <c r="Y591" s="3" t="s">
        <v>106</v>
      </c>
      <c r="Z591" s="3" t="s">
        <v>251</v>
      </c>
      <c r="AA591" s="3" t="s">
        <v>55</v>
      </c>
      <c r="AB591" s="3" t="s">
        <v>56</v>
      </c>
      <c r="AC591" s="3" t="s">
        <v>215</v>
      </c>
    </row>
    <row r="592" spans="1:29" s="3" customFormat="1" x14ac:dyDescent="0.25">
      <c r="A592" s="3" t="s">
        <v>0</v>
      </c>
      <c r="B592" s="3" t="s">
        <v>10675</v>
      </c>
      <c r="C592" s="3" t="s">
        <v>10659</v>
      </c>
      <c r="D592" s="3" t="str">
        <f t="shared" si="151"/>
        <v>SWHC049-03 SEER Rated AC/HP_SFm</v>
      </c>
      <c r="F592" s="3" t="s">
        <v>294</v>
      </c>
      <c r="G592" s="3" t="str">
        <f t="shared" si="148"/>
        <v>RE-HV-HP-Splt-45to65kBtuh-S19p0H9p5</v>
      </c>
      <c r="H592" s="3" t="s">
        <v>286</v>
      </c>
      <c r="I592" s="3" t="s">
        <v>287</v>
      </c>
      <c r="J592" s="3" t="s">
        <v>295</v>
      </c>
      <c r="K592" s="32" t="s">
        <v>265</v>
      </c>
      <c r="L592" s="32" t="s">
        <v>289</v>
      </c>
      <c r="M592" s="32" t="s">
        <v>278</v>
      </c>
      <c r="N592" s="3" t="str">
        <f t="shared" si="149"/>
        <v>SFm&amp;1&amp;rDXHP&amp;Ex&amp;dxHP_equip</v>
      </c>
      <c r="O592" s="3" t="s">
        <v>50</v>
      </c>
      <c r="P592" s="3">
        <v>1</v>
      </c>
      <c r="Q592" s="3" t="s">
        <v>57</v>
      </c>
      <c r="R592" s="3" t="s">
        <v>52</v>
      </c>
      <c r="S592" s="3" t="str">
        <f t="shared" si="147"/>
        <v>No</v>
      </c>
      <c r="T592" s="3" t="str">
        <f t="shared" si="150"/>
        <v>dxHP_equip</v>
      </c>
      <c r="U592" s="3" t="str">
        <f t="shared" si="146"/>
        <v>dxHP_equip</v>
      </c>
      <c r="V592" s="3" t="s">
        <v>105</v>
      </c>
      <c r="W592" s="3" t="s">
        <v>106</v>
      </c>
      <c r="X592" s="3" t="s">
        <v>105</v>
      </c>
      <c r="Y592" s="3" t="s">
        <v>106</v>
      </c>
      <c r="Z592" s="3" t="s">
        <v>251</v>
      </c>
      <c r="AA592" s="3" t="s">
        <v>55</v>
      </c>
      <c r="AB592" s="3" t="s">
        <v>56</v>
      </c>
      <c r="AC592" s="3" t="s">
        <v>215</v>
      </c>
    </row>
    <row r="593" spans="1:29" s="3" customFormat="1" x14ac:dyDescent="0.25">
      <c r="A593" s="3" t="s">
        <v>0</v>
      </c>
      <c r="B593" s="3" t="s">
        <v>10675</v>
      </c>
      <c r="C593" s="3" t="s">
        <v>10659</v>
      </c>
      <c r="D593" s="3" t="str">
        <f t="shared" si="151"/>
        <v>SWHC049-03 SEER Rated AC/HP_SFm</v>
      </c>
      <c r="F593" s="3" t="s">
        <v>294</v>
      </c>
      <c r="G593" s="3" t="str">
        <f t="shared" si="148"/>
        <v>RE-HV-HP-Splt-45to65kBtuh-S19p0H9p5</v>
      </c>
      <c r="H593" s="3" t="s">
        <v>286</v>
      </c>
      <c r="I593" s="3" t="s">
        <v>287</v>
      </c>
      <c r="J593" s="3" t="s">
        <v>295</v>
      </c>
      <c r="K593" s="32" t="s">
        <v>265</v>
      </c>
      <c r="L593" s="32" t="s">
        <v>289</v>
      </c>
      <c r="M593" s="32" t="s">
        <v>278</v>
      </c>
      <c r="N593" s="3" t="str">
        <f t="shared" si="149"/>
        <v>SFm&amp;2&amp;rDXHP&amp;Ex&amp;dxHP_equip</v>
      </c>
      <c r="O593" s="3" t="s">
        <v>50</v>
      </c>
      <c r="P593" s="3">
        <v>2</v>
      </c>
      <c r="Q593" s="3" t="s">
        <v>57</v>
      </c>
      <c r="R593" s="3" t="s">
        <v>52</v>
      </c>
      <c r="S593" s="3" t="str">
        <f t="shared" si="147"/>
        <v>No</v>
      </c>
      <c r="T593" s="3" t="str">
        <f t="shared" si="150"/>
        <v>dxHP_equip</v>
      </c>
      <c r="U593" s="3" t="str">
        <f t="shared" si="146"/>
        <v>dxHP_equip</v>
      </c>
      <c r="V593" s="3" t="s">
        <v>105</v>
      </c>
      <c r="W593" s="3" t="s">
        <v>106</v>
      </c>
      <c r="X593" s="3" t="s">
        <v>105</v>
      </c>
      <c r="Y593" s="3" t="s">
        <v>106</v>
      </c>
      <c r="Z593" s="3" t="s">
        <v>251</v>
      </c>
      <c r="AA593" s="3" t="s">
        <v>55</v>
      </c>
      <c r="AB593" s="3" t="s">
        <v>56</v>
      </c>
      <c r="AC593" s="3" t="s">
        <v>215</v>
      </c>
    </row>
    <row r="594" spans="1:29" s="3" customFormat="1" x14ac:dyDescent="0.25">
      <c r="A594" s="3" t="s">
        <v>0</v>
      </c>
      <c r="B594" s="3" t="s">
        <v>10675</v>
      </c>
      <c r="C594" s="3" t="s">
        <v>10659</v>
      </c>
      <c r="D594" s="3" t="str">
        <f t="shared" si="151"/>
        <v>SWHC049-03 SEER Rated AC/HP_DMo</v>
      </c>
      <c r="F594" s="3" t="s">
        <v>294</v>
      </c>
      <c r="G594" s="3" t="str">
        <f t="shared" si="148"/>
        <v>RE-HV-HP-Splt-45to65kBtuh-S19p0H9p5</v>
      </c>
      <c r="H594" s="3" t="s">
        <v>286</v>
      </c>
      <c r="I594" s="3" t="s">
        <v>287</v>
      </c>
      <c r="J594" s="3" t="s">
        <v>295</v>
      </c>
      <c r="K594" s="32" t="s">
        <v>265</v>
      </c>
      <c r="L594" s="32" t="s">
        <v>289</v>
      </c>
      <c r="M594" s="32" t="s">
        <v>278</v>
      </c>
      <c r="N594" s="3" t="str">
        <f t="shared" si="149"/>
        <v>DMo&amp;0&amp;rDXHP&amp;Ex&amp;dxHP_equip</v>
      </c>
      <c r="O594" s="3" t="s">
        <v>62</v>
      </c>
      <c r="P594" s="3">
        <v>0</v>
      </c>
      <c r="Q594" s="3" t="s">
        <v>57</v>
      </c>
      <c r="R594" s="3" t="s">
        <v>52</v>
      </c>
      <c r="S594" s="3" t="str">
        <f t="shared" si="147"/>
        <v>No</v>
      </c>
      <c r="T594" s="3" t="str">
        <f t="shared" si="150"/>
        <v>dxHP_equip</v>
      </c>
      <c r="U594" s="3" t="str">
        <f t="shared" si="146"/>
        <v>dxHP_equip</v>
      </c>
      <c r="V594" s="3" t="s">
        <v>105</v>
      </c>
      <c r="W594" s="3" t="s">
        <v>106</v>
      </c>
      <c r="X594" s="3" t="s">
        <v>105</v>
      </c>
      <c r="Y594" s="3" t="s">
        <v>106</v>
      </c>
      <c r="Z594" s="3" t="s">
        <v>251</v>
      </c>
      <c r="AA594" s="3" t="s">
        <v>55</v>
      </c>
      <c r="AB594" s="3" t="s">
        <v>56</v>
      </c>
      <c r="AC594" s="3" t="s">
        <v>215</v>
      </c>
    </row>
    <row r="595" spans="1:29" s="3" customFormat="1" x14ac:dyDescent="0.25">
      <c r="A595" s="3" t="s">
        <v>0</v>
      </c>
      <c r="B595" s="3" t="s">
        <v>10675</v>
      </c>
      <c r="C595" s="3" t="s">
        <v>10659</v>
      </c>
      <c r="D595" s="3" t="str">
        <f t="shared" si="151"/>
        <v>SWHC049-03 SEER Rated AC/HP_MFm</v>
      </c>
      <c r="F595" s="3" t="s">
        <v>294</v>
      </c>
      <c r="G595" s="3" t="str">
        <f t="shared" si="148"/>
        <v>RE-HV-HP-Splt-45to65kBtuh-S19p0H9p5</v>
      </c>
      <c r="H595" s="3" t="s">
        <v>286</v>
      </c>
      <c r="I595" s="3" t="s">
        <v>287</v>
      </c>
      <c r="J595" s="3" t="s">
        <v>295</v>
      </c>
      <c r="K595" s="32" t="s">
        <v>265</v>
      </c>
      <c r="L595" s="32" t="s">
        <v>289</v>
      </c>
      <c r="M595" s="32" t="s">
        <v>278</v>
      </c>
      <c r="N595" s="3" t="str">
        <f t="shared" si="149"/>
        <v>MFm&amp;0&amp;rDXHP&amp;Ex&amp;dxHP_equip</v>
      </c>
      <c r="O595" s="3" t="s">
        <v>63</v>
      </c>
      <c r="P595" s="3">
        <v>0</v>
      </c>
      <c r="Q595" s="3" t="s">
        <v>57</v>
      </c>
      <c r="R595" s="3" t="s">
        <v>52</v>
      </c>
      <c r="S595" s="3" t="str">
        <f t="shared" si="147"/>
        <v>No</v>
      </c>
      <c r="T595" s="3" t="str">
        <f t="shared" si="150"/>
        <v>dxHP_equip</v>
      </c>
      <c r="U595" s="3" t="str">
        <f t="shared" si="146"/>
        <v>dxHP_equip</v>
      </c>
      <c r="V595" s="3" t="s">
        <v>105</v>
      </c>
      <c r="W595" s="3" t="s">
        <v>106</v>
      </c>
      <c r="X595" s="3" t="s">
        <v>105</v>
      </c>
      <c r="Y595" s="3" t="s">
        <v>106</v>
      </c>
      <c r="Z595" s="3" t="s">
        <v>251</v>
      </c>
      <c r="AA595" s="3" t="s">
        <v>55</v>
      </c>
      <c r="AB595" s="3" t="s">
        <v>56</v>
      </c>
      <c r="AC595" s="3" t="s">
        <v>215</v>
      </c>
    </row>
    <row r="596" spans="1:29" s="3" customFormat="1" x14ac:dyDescent="0.25">
      <c r="A596" s="3" t="s">
        <v>0</v>
      </c>
      <c r="B596" s="3" t="s">
        <v>10675</v>
      </c>
      <c r="C596" s="3" t="s">
        <v>10659</v>
      </c>
      <c r="D596" s="3" t="str">
        <f t="shared" si="151"/>
        <v>SWHC049-03 SEER Rated AC/HP_SFm</v>
      </c>
      <c r="F596" s="3" t="s">
        <v>294</v>
      </c>
      <c r="G596" s="3" t="str">
        <f t="shared" si="148"/>
        <v>RE-HV-HP-Splt-45to65kBtuh-S19p0H9p5</v>
      </c>
      <c r="H596" s="3" t="s">
        <v>286</v>
      </c>
      <c r="I596" s="3" t="s">
        <v>287</v>
      </c>
      <c r="J596" s="3" t="s">
        <v>295</v>
      </c>
      <c r="K596" s="32" t="s">
        <v>265</v>
      </c>
      <c r="L596" s="32" t="s">
        <v>289</v>
      </c>
      <c r="M596" s="32" t="s">
        <v>278</v>
      </c>
      <c r="N596" s="3" t="str">
        <f t="shared" si="149"/>
        <v>SFm&amp;1&amp;rDXHP&amp;New&amp;dxHP_equip</v>
      </c>
      <c r="O596" s="3" t="s">
        <v>50</v>
      </c>
      <c r="P596" s="3">
        <v>1</v>
      </c>
      <c r="Q596" s="3" t="s">
        <v>57</v>
      </c>
      <c r="R596" s="3" t="s">
        <v>107</v>
      </c>
      <c r="S596" s="3" t="str">
        <f t="shared" si="147"/>
        <v>No</v>
      </c>
      <c r="T596" s="3" t="str">
        <f t="shared" si="150"/>
        <v>dxHP_equip</v>
      </c>
      <c r="U596" s="3" t="str">
        <f t="shared" si="146"/>
        <v>dxHP_equip</v>
      </c>
      <c r="V596" s="3" t="s">
        <v>105</v>
      </c>
      <c r="W596" s="3" t="s">
        <v>106</v>
      </c>
      <c r="X596" s="3" t="s">
        <v>105</v>
      </c>
      <c r="Y596" s="3" t="s">
        <v>106</v>
      </c>
      <c r="Z596" s="3" t="s">
        <v>251</v>
      </c>
      <c r="AA596" s="3" t="s">
        <v>55</v>
      </c>
      <c r="AB596" s="3" t="s">
        <v>56</v>
      </c>
      <c r="AC596" s="3" t="s">
        <v>215</v>
      </c>
    </row>
    <row r="597" spans="1:29" s="3" customFormat="1" x14ac:dyDescent="0.25">
      <c r="A597" s="3" t="s">
        <v>0</v>
      </c>
      <c r="B597" s="3" t="s">
        <v>10675</v>
      </c>
      <c r="C597" s="3" t="s">
        <v>10659</v>
      </c>
      <c r="D597" s="3" t="str">
        <f t="shared" si="151"/>
        <v>SWHC049-03 SEER Rated AC/HP_SFm</v>
      </c>
      <c r="F597" s="3" t="s">
        <v>294</v>
      </c>
      <c r="G597" s="3" t="str">
        <f t="shared" si="148"/>
        <v>RE-HV-HP-Splt-45to65kBtuh-S19p0H9p5</v>
      </c>
      <c r="H597" s="3" t="s">
        <v>286</v>
      </c>
      <c r="I597" s="3" t="s">
        <v>287</v>
      </c>
      <c r="J597" s="3" t="s">
        <v>295</v>
      </c>
      <c r="K597" s="32" t="s">
        <v>265</v>
      </c>
      <c r="L597" s="32" t="s">
        <v>289</v>
      </c>
      <c r="M597" s="32" t="s">
        <v>278</v>
      </c>
      <c r="N597" s="3" t="str">
        <f t="shared" si="149"/>
        <v>SFm&amp;2&amp;rDXHP&amp;New&amp;dxHP_equip</v>
      </c>
      <c r="O597" s="3" t="s">
        <v>50</v>
      </c>
      <c r="P597" s="3">
        <v>2</v>
      </c>
      <c r="Q597" s="3" t="s">
        <v>57</v>
      </c>
      <c r="R597" s="3" t="s">
        <v>107</v>
      </c>
      <c r="S597" s="3" t="str">
        <f t="shared" si="147"/>
        <v>No</v>
      </c>
      <c r="T597" s="3" t="str">
        <f t="shared" si="150"/>
        <v>dxHP_equip</v>
      </c>
      <c r="U597" s="3" t="str">
        <f t="shared" si="146"/>
        <v>dxHP_equip</v>
      </c>
      <c r="V597" s="3" t="s">
        <v>105</v>
      </c>
      <c r="W597" s="3" t="s">
        <v>106</v>
      </c>
      <c r="X597" s="3" t="s">
        <v>105</v>
      </c>
      <c r="Y597" s="3" t="s">
        <v>106</v>
      </c>
      <c r="Z597" s="3" t="s">
        <v>251</v>
      </c>
      <c r="AA597" s="3" t="s">
        <v>55</v>
      </c>
      <c r="AB597" s="3" t="s">
        <v>56</v>
      </c>
      <c r="AC597" s="3" t="s">
        <v>215</v>
      </c>
    </row>
    <row r="598" spans="1:29" s="3" customFormat="1" x14ac:dyDescent="0.25">
      <c r="A598" s="3" t="s">
        <v>0</v>
      </c>
      <c r="B598" s="3" t="s">
        <v>10675</v>
      </c>
      <c r="C598" s="3" t="s">
        <v>10659</v>
      </c>
      <c r="D598" s="3" t="str">
        <f t="shared" si="151"/>
        <v>SWHC049-03 SEER Rated AC/HP_DMo</v>
      </c>
      <c r="F598" s="3" t="s">
        <v>294</v>
      </c>
      <c r="G598" s="3" t="str">
        <f t="shared" si="148"/>
        <v>RE-HV-HP-Splt-45to65kBtuh-S19p0H9p5</v>
      </c>
      <c r="H598" s="3" t="s">
        <v>286</v>
      </c>
      <c r="I598" s="3" t="s">
        <v>287</v>
      </c>
      <c r="J598" s="3" t="s">
        <v>295</v>
      </c>
      <c r="K598" s="32" t="s">
        <v>265</v>
      </c>
      <c r="L598" s="32" t="s">
        <v>289</v>
      </c>
      <c r="M598" s="32" t="s">
        <v>278</v>
      </c>
      <c r="N598" s="3" t="str">
        <f t="shared" si="149"/>
        <v>DMo&amp;0&amp;rDXHP&amp;New&amp;dxHP_equip</v>
      </c>
      <c r="O598" s="3" t="s">
        <v>62</v>
      </c>
      <c r="P598" s="3">
        <v>0</v>
      </c>
      <c r="Q598" s="3" t="s">
        <v>57</v>
      </c>
      <c r="R598" s="3" t="s">
        <v>107</v>
      </c>
      <c r="S598" s="3" t="str">
        <f t="shared" si="147"/>
        <v>No</v>
      </c>
      <c r="T598" s="3" t="str">
        <f t="shared" si="150"/>
        <v>dxHP_equip</v>
      </c>
      <c r="U598" s="3" t="str">
        <f t="shared" si="146"/>
        <v>dxHP_equip</v>
      </c>
      <c r="V598" s="3" t="s">
        <v>105</v>
      </c>
      <c r="W598" s="3" t="s">
        <v>106</v>
      </c>
      <c r="X598" s="3" t="s">
        <v>105</v>
      </c>
      <c r="Y598" s="3" t="s">
        <v>106</v>
      </c>
      <c r="Z598" s="3" t="s">
        <v>251</v>
      </c>
      <c r="AA598" s="3" t="s">
        <v>55</v>
      </c>
      <c r="AB598" s="3" t="s">
        <v>56</v>
      </c>
      <c r="AC598" s="3" t="s">
        <v>215</v>
      </c>
    </row>
    <row r="599" spans="1:29" s="3" customFormat="1" x14ac:dyDescent="0.25">
      <c r="A599" s="3" t="s">
        <v>0</v>
      </c>
      <c r="B599" s="3" t="s">
        <v>10675</v>
      </c>
      <c r="C599" s="3" t="s">
        <v>10659</v>
      </c>
      <c r="D599" s="3" t="str">
        <f t="shared" si="151"/>
        <v>SWHC049-03 SEER Rated AC/HP_MFm</v>
      </c>
      <c r="F599" s="3" t="s">
        <v>294</v>
      </c>
      <c r="G599" s="3" t="str">
        <f t="shared" si="148"/>
        <v>RE-HV-HP-Splt-45to65kBtuh-S19p0H9p5</v>
      </c>
      <c r="H599" s="3" t="s">
        <v>286</v>
      </c>
      <c r="I599" s="3" t="s">
        <v>287</v>
      </c>
      <c r="J599" s="3" t="s">
        <v>295</v>
      </c>
      <c r="K599" s="32" t="s">
        <v>265</v>
      </c>
      <c r="L599" s="32" t="s">
        <v>289</v>
      </c>
      <c r="M599" s="32" t="s">
        <v>278</v>
      </c>
      <c r="N599" s="3" t="str">
        <f t="shared" si="149"/>
        <v>MFm&amp;0&amp;rDXHP&amp;New&amp;dxHP_equip</v>
      </c>
      <c r="O599" s="3" t="s">
        <v>63</v>
      </c>
      <c r="P599" s="3">
        <v>0</v>
      </c>
      <c r="Q599" s="3" t="s">
        <v>57</v>
      </c>
      <c r="R599" s="3" t="s">
        <v>107</v>
      </c>
      <c r="S599" s="3" t="str">
        <f t="shared" si="147"/>
        <v>No</v>
      </c>
      <c r="T599" s="3" t="str">
        <f t="shared" si="150"/>
        <v>dxHP_equip</v>
      </c>
      <c r="U599" s="3" t="str">
        <f t="shared" si="146"/>
        <v>dxHP_equip</v>
      </c>
      <c r="V599" s="3" t="s">
        <v>105</v>
      </c>
      <c r="W599" s="3" t="s">
        <v>106</v>
      </c>
      <c r="X599" s="3" t="s">
        <v>105</v>
      </c>
      <c r="Y599" s="3" t="s">
        <v>106</v>
      </c>
      <c r="Z599" s="3" t="s">
        <v>251</v>
      </c>
      <c r="AA599" s="3" t="s">
        <v>55</v>
      </c>
      <c r="AB599" s="3" t="s">
        <v>56</v>
      </c>
      <c r="AC599" s="3" t="s">
        <v>215</v>
      </c>
    </row>
    <row r="600" spans="1:29" s="3" customFormat="1" x14ac:dyDescent="0.25">
      <c r="A600" s="3" t="s">
        <v>0</v>
      </c>
      <c r="B600" s="3" t="s">
        <v>10675</v>
      </c>
      <c r="C600" s="3" t="s">
        <v>10659</v>
      </c>
      <c r="D600" s="3" t="str">
        <f t="shared" si="151"/>
        <v>SWHC049-03 SEER Rated AC/HP_SFm</v>
      </c>
      <c r="F600" s="3" t="s">
        <v>296</v>
      </c>
      <c r="G600" s="3" t="str">
        <f t="shared" si="148"/>
        <v>RE-HV-HP-Splt-45to65kBtuh-S20p0H10p0</v>
      </c>
      <c r="H600" s="3" t="s">
        <v>286</v>
      </c>
      <c r="I600" s="3" t="s">
        <v>287</v>
      </c>
      <c r="J600" s="3" t="s">
        <v>297</v>
      </c>
      <c r="K600" s="32" t="s">
        <v>265</v>
      </c>
      <c r="L600" s="32" t="s">
        <v>289</v>
      </c>
      <c r="M600" s="32" t="s">
        <v>281</v>
      </c>
      <c r="N600" s="3" t="str">
        <f t="shared" si="149"/>
        <v>SFm&amp;1&amp;rDXHP&amp;Ex&amp;dxHP_equip</v>
      </c>
      <c r="O600" s="3" t="s">
        <v>50</v>
      </c>
      <c r="P600" s="3">
        <v>1</v>
      </c>
      <c r="Q600" s="3" t="s">
        <v>57</v>
      </c>
      <c r="R600" s="3" t="s">
        <v>52</v>
      </c>
      <c r="S600" s="3" t="str">
        <f t="shared" si="147"/>
        <v>No</v>
      </c>
      <c r="T600" s="3" t="str">
        <f t="shared" si="150"/>
        <v>dxHP_equip</v>
      </c>
      <c r="U600" s="3" t="str">
        <f t="shared" si="146"/>
        <v>dxHP_equip</v>
      </c>
      <c r="V600" s="3" t="s">
        <v>105</v>
      </c>
      <c r="W600" s="3" t="s">
        <v>106</v>
      </c>
      <c r="X600" s="3" t="s">
        <v>105</v>
      </c>
      <c r="Y600" s="3" t="s">
        <v>106</v>
      </c>
      <c r="Z600" s="3" t="s">
        <v>251</v>
      </c>
      <c r="AA600" s="3" t="s">
        <v>55</v>
      </c>
      <c r="AB600" s="3" t="s">
        <v>56</v>
      </c>
      <c r="AC600" s="3" t="s">
        <v>215</v>
      </c>
    </row>
    <row r="601" spans="1:29" s="3" customFormat="1" x14ac:dyDescent="0.25">
      <c r="A601" s="3" t="s">
        <v>0</v>
      </c>
      <c r="B601" s="3" t="s">
        <v>10675</v>
      </c>
      <c r="C601" s="3" t="s">
        <v>10659</v>
      </c>
      <c r="D601" s="3" t="str">
        <f t="shared" si="151"/>
        <v>SWHC049-03 SEER Rated AC/HP_SFm</v>
      </c>
      <c r="F601" s="3" t="s">
        <v>296</v>
      </c>
      <c r="G601" s="3" t="str">
        <f t="shared" si="148"/>
        <v>RE-HV-HP-Splt-45to65kBtuh-S20p0H10p0</v>
      </c>
      <c r="H601" s="3" t="s">
        <v>286</v>
      </c>
      <c r="I601" s="3" t="s">
        <v>287</v>
      </c>
      <c r="J601" s="3" t="s">
        <v>297</v>
      </c>
      <c r="K601" s="32" t="s">
        <v>265</v>
      </c>
      <c r="L601" s="32" t="s">
        <v>289</v>
      </c>
      <c r="M601" s="32" t="s">
        <v>281</v>
      </c>
      <c r="N601" s="3" t="str">
        <f t="shared" si="149"/>
        <v>SFm&amp;2&amp;rDXHP&amp;Ex&amp;dxHP_equip</v>
      </c>
      <c r="O601" s="3" t="s">
        <v>50</v>
      </c>
      <c r="P601" s="3">
        <v>2</v>
      </c>
      <c r="Q601" s="3" t="s">
        <v>57</v>
      </c>
      <c r="R601" s="3" t="s">
        <v>52</v>
      </c>
      <c r="S601" s="3" t="str">
        <f t="shared" si="147"/>
        <v>No</v>
      </c>
      <c r="T601" s="3" t="str">
        <f t="shared" si="150"/>
        <v>dxHP_equip</v>
      </c>
      <c r="U601" s="3" t="str">
        <f t="shared" si="146"/>
        <v>dxHP_equip</v>
      </c>
      <c r="V601" s="3" t="s">
        <v>105</v>
      </c>
      <c r="W601" s="3" t="s">
        <v>106</v>
      </c>
      <c r="X601" s="3" t="s">
        <v>105</v>
      </c>
      <c r="Y601" s="3" t="s">
        <v>106</v>
      </c>
      <c r="Z601" s="3" t="s">
        <v>251</v>
      </c>
      <c r="AA601" s="3" t="s">
        <v>55</v>
      </c>
      <c r="AB601" s="3" t="s">
        <v>56</v>
      </c>
      <c r="AC601" s="3" t="s">
        <v>215</v>
      </c>
    </row>
    <row r="602" spans="1:29" s="3" customFormat="1" x14ac:dyDescent="0.25">
      <c r="A602" s="3" t="s">
        <v>0</v>
      </c>
      <c r="B602" s="3" t="s">
        <v>10675</v>
      </c>
      <c r="C602" s="3" t="s">
        <v>10659</v>
      </c>
      <c r="D602" s="3" t="str">
        <f t="shared" si="151"/>
        <v>SWHC049-03 SEER Rated AC/HP_DMo</v>
      </c>
      <c r="F602" s="3" t="s">
        <v>296</v>
      </c>
      <c r="G602" s="3" t="str">
        <f t="shared" si="148"/>
        <v>RE-HV-HP-Splt-45to65kBtuh-S20p0H10p0</v>
      </c>
      <c r="H602" s="3" t="s">
        <v>286</v>
      </c>
      <c r="I602" s="3" t="s">
        <v>287</v>
      </c>
      <c r="J602" s="3" t="s">
        <v>297</v>
      </c>
      <c r="K602" s="32" t="s">
        <v>265</v>
      </c>
      <c r="L602" s="32" t="s">
        <v>289</v>
      </c>
      <c r="M602" s="32" t="s">
        <v>281</v>
      </c>
      <c r="N602" s="3" t="str">
        <f t="shared" si="149"/>
        <v>DMo&amp;0&amp;rDXHP&amp;Ex&amp;dxHP_equip</v>
      </c>
      <c r="O602" s="3" t="s">
        <v>62</v>
      </c>
      <c r="P602" s="3">
        <v>0</v>
      </c>
      <c r="Q602" s="3" t="s">
        <v>57</v>
      </c>
      <c r="R602" s="3" t="s">
        <v>52</v>
      </c>
      <c r="S602" s="3" t="str">
        <f t="shared" si="147"/>
        <v>No</v>
      </c>
      <c r="T602" s="3" t="str">
        <f t="shared" si="150"/>
        <v>dxHP_equip</v>
      </c>
      <c r="U602" s="3" t="str">
        <f t="shared" si="146"/>
        <v>dxHP_equip</v>
      </c>
      <c r="V602" s="3" t="s">
        <v>105</v>
      </c>
      <c r="W602" s="3" t="s">
        <v>106</v>
      </c>
      <c r="X602" s="3" t="s">
        <v>105</v>
      </c>
      <c r="Y602" s="3" t="s">
        <v>106</v>
      </c>
      <c r="Z602" s="3" t="s">
        <v>251</v>
      </c>
      <c r="AA602" s="3" t="s">
        <v>55</v>
      </c>
      <c r="AB602" s="3" t="s">
        <v>56</v>
      </c>
      <c r="AC602" s="3" t="s">
        <v>215</v>
      </c>
    </row>
    <row r="603" spans="1:29" s="3" customFormat="1" x14ac:dyDescent="0.25">
      <c r="A603" s="3" t="s">
        <v>0</v>
      </c>
      <c r="B603" s="3" t="s">
        <v>10675</v>
      </c>
      <c r="C603" s="3" t="s">
        <v>10659</v>
      </c>
      <c r="D603" s="3" t="str">
        <f t="shared" si="151"/>
        <v>SWHC049-03 SEER Rated AC/HP_MFm</v>
      </c>
      <c r="F603" s="3" t="s">
        <v>296</v>
      </c>
      <c r="G603" s="3" t="str">
        <f t="shared" si="148"/>
        <v>RE-HV-HP-Splt-45to65kBtuh-S20p0H10p0</v>
      </c>
      <c r="H603" s="3" t="s">
        <v>286</v>
      </c>
      <c r="I603" s="3" t="s">
        <v>287</v>
      </c>
      <c r="J603" s="3" t="s">
        <v>297</v>
      </c>
      <c r="K603" s="32" t="s">
        <v>265</v>
      </c>
      <c r="L603" s="32" t="s">
        <v>289</v>
      </c>
      <c r="M603" s="32" t="s">
        <v>281</v>
      </c>
      <c r="N603" s="3" t="str">
        <f t="shared" si="149"/>
        <v>MFm&amp;0&amp;rDXHP&amp;Ex&amp;dxHP_equip</v>
      </c>
      <c r="O603" s="3" t="s">
        <v>63</v>
      </c>
      <c r="P603" s="3">
        <v>0</v>
      </c>
      <c r="Q603" s="3" t="s">
        <v>57</v>
      </c>
      <c r="R603" s="3" t="s">
        <v>52</v>
      </c>
      <c r="S603" s="3" t="str">
        <f t="shared" si="147"/>
        <v>No</v>
      </c>
      <c r="T603" s="3" t="str">
        <f t="shared" si="150"/>
        <v>dxHP_equip</v>
      </c>
      <c r="U603" s="3" t="str">
        <f t="shared" si="146"/>
        <v>dxHP_equip</v>
      </c>
      <c r="V603" s="3" t="s">
        <v>105</v>
      </c>
      <c r="W603" s="3" t="s">
        <v>106</v>
      </c>
      <c r="X603" s="3" t="s">
        <v>105</v>
      </c>
      <c r="Y603" s="3" t="s">
        <v>106</v>
      </c>
      <c r="Z603" s="3" t="s">
        <v>251</v>
      </c>
      <c r="AA603" s="3" t="s">
        <v>55</v>
      </c>
      <c r="AB603" s="3" t="s">
        <v>56</v>
      </c>
      <c r="AC603" s="3" t="s">
        <v>215</v>
      </c>
    </row>
    <row r="604" spans="1:29" s="3" customFormat="1" x14ac:dyDescent="0.25">
      <c r="A604" s="3" t="s">
        <v>0</v>
      </c>
      <c r="B604" s="3" t="s">
        <v>10675</v>
      </c>
      <c r="C604" s="3" t="s">
        <v>10659</v>
      </c>
      <c r="D604" s="3" t="str">
        <f t="shared" si="151"/>
        <v>SWHC049-03 SEER Rated AC/HP_SFm</v>
      </c>
      <c r="F604" s="3" t="s">
        <v>296</v>
      </c>
      <c r="G604" s="3" t="str">
        <f t="shared" si="148"/>
        <v>RE-HV-HP-Splt-45to65kBtuh-S20p0H10p0</v>
      </c>
      <c r="H604" s="3" t="s">
        <v>286</v>
      </c>
      <c r="I604" s="3" t="s">
        <v>287</v>
      </c>
      <c r="J604" s="3" t="s">
        <v>297</v>
      </c>
      <c r="K604" s="32" t="s">
        <v>265</v>
      </c>
      <c r="L604" s="32" t="s">
        <v>289</v>
      </c>
      <c r="M604" s="32" t="s">
        <v>281</v>
      </c>
      <c r="N604" s="3" t="str">
        <f t="shared" si="149"/>
        <v>SFm&amp;1&amp;rDXHP&amp;New&amp;dxHP_equip</v>
      </c>
      <c r="O604" s="3" t="s">
        <v>50</v>
      </c>
      <c r="P604" s="3">
        <v>1</v>
      </c>
      <c r="Q604" s="3" t="s">
        <v>57</v>
      </c>
      <c r="R604" s="3" t="s">
        <v>107</v>
      </c>
      <c r="S604" s="3" t="str">
        <f t="shared" si="147"/>
        <v>No</v>
      </c>
      <c r="T604" s="3" t="str">
        <f t="shared" si="150"/>
        <v>dxHP_equip</v>
      </c>
      <c r="U604" s="3" t="str">
        <f t="shared" si="146"/>
        <v>dxHP_equip</v>
      </c>
      <c r="V604" s="3" t="s">
        <v>105</v>
      </c>
      <c r="W604" s="3" t="s">
        <v>106</v>
      </c>
      <c r="X604" s="3" t="s">
        <v>105</v>
      </c>
      <c r="Y604" s="3" t="s">
        <v>106</v>
      </c>
      <c r="Z604" s="3" t="s">
        <v>251</v>
      </c>
      <c r="AA604" s="3" t="s">
        <v>55</v>
      </c>
      <c r="AB604" s="3" t="s">
        <v>56</v>
      </c>
      <c r="AC604" s="3" t="s">
        <v>215</v>
      </c>
    </row>
    <row r="605" spans="1:29" s="3" customFormat="1" x14ac:dyDescent="0.25">
      <c r="A605" s="3" t="s">
        <v>0</v>
      </c>
      <c r="B605" s="3" t="s">
        <v>10675</v>
      </c>
      <c r="C605" s="3" t="s">
        <v>10659</v>
      </c>
      <c r="D605" s="3" t="str">
        <f t="shared" si="151"/>
        <v>SWHC049-03 SEER Rated AC/HP_SFm</v>
      </c>
      <c r="F605" s="3" t="s">
        <v>296</v>
      </c>
      <c r="G605" s="3" t="str">
        <f t="shared" si="148"/>
        <v>RE-HV-HP-Splt-45to65kBtuh-S20p0H10p0</v>
      </c>
      <c r="H605" s="3" t="s">
        <v>286</v>
      </c>
      <c r="I605" s="3" t="s">
        <v>287</v>
      </c>
      <c r="J605" s="3" t="s">
        <v>297</v>
      </c>
      <c r="K605" s="32" t="s">
        <v>265</v>
      </c>
      <c r="L605" s="32" t="s">
        <v>289</v>
      </c>
      <c r="M605" s="32" t="s">
        <v>281</v>
      </c>
      <c r="N605" s="3" t="str">
        <f t="shared" si="149"/>
        <v>SFm&amp;2&amp;rDXHP&amp;New&amp;dxHP_equip</v>
      </c>
      <c r="O605" s="3" t="s">
        <v>50</v>
      </c>
      <c r="P605" s="3">
        <v>2</v>
      </c>
      <c r="Q605" s="3" t="s">
        <v>57</v>
      </c>
      <c r="R605" s="3" t="s">
        <v>107</v>
      </c>
      <c r="S605" s="3" t="str">
        <f t="shared" si="147"/>
        <v>No</v>
      </c>
      <c r="T605" s="3" t="str">
        <f t="shared" si="150"/>
        <v>dxHP_equip</v>
      </c>
      <c r="U605" s="3" t="str">
        <f t="shared" si="146"/>
        <v>dxHP_equip</v>
      </c>
      <c r="V605" s="3" t="s">
        <v>105</v>
      </c>
      <c r="W605" s="3" t="s">
        <v>106</v>
      </c>
      <c r="X605" s="3" t="s">
        <v>105</v>
      </c>
      <c r="Y605" s="3" t="s">
        <v>106</v>
      </c>
      <c r="Z605" s="3" t="s">
        <v>251</v>
      </c>
      <c r="AA605" s="3" t="s">
        <v>55</v>
      </c>
      <c r="AB605" s="3" t="s">
        <v>56</v>
      </c>
      <c r="AC605" s="3" t="s">
        <v>215</v>
      </c>
    </row>
    <row r="606" spans="1:29" s="3" customFormat="1" x14ac:dyDescent="0.25">
      <c r="A606" s="3" t="s">
        <v>0</v>
      </c>
      <c r="B606" s="3" t="s">
        <v>10675</v>
      </c>
      <c r="C606" s="3" t="s">
        <v>10659</v>
      </c>
      <c r="D606" s="3" t="str">
        <f t="shared" si="151"/>
        <v>SWHC049-03 SEER Rated AC/HP_DMo</v>
      </c>
      <c r="F606" s="3" t="s">
        <v>296</v>
      </c>
      <c r="G606" s="3" t="str">
        <f t="shared" si="148"/>
        <v>RE-HV-HP-Splt-45to65kBtuh-S20p0H10p0</v>
      </c>
      <c r="H606" s="3" t="s">
        <v>286</v>
      </c>
      <c r="I606" s="3" t="s">
        <v>287</v>
      </c>
      <c r="J606" s="3" t="s">
        <v>297</v>
      </c>
      <c r="K606" s="32" t="s">
        <v>265</v>
      </c>
      <c r="L606" s="32" t="s">
        <v>289</v>
      </c>
      <c r="M606" s="32" t="s">
        <v>281</v>
      </c>
      <c r="N606" s="3" t="str">
        <f t="shared" si="149"/>
        <v>DMo&amp;0&amp;rDXHP&amp;New&amp;dxHP_equip</v>
      </c>
      <c r="O606" s="3" t="s">
        <v>62</v>
      </c>
      <c r="P606" s="3">
        <v>0</v>
      </c>
      <c r="Q606" s="3" t="s">
        <v>57</v>
      </c>
      <c r="R606" s="3" t="s">
        <v>107</v>
      </c>
      <c r="S606" s="3" t="str">
        <f t="shared" si="147"/>
        <v>No</v>
      </c>
      <c r="T606" s="3" t="str">
        <f t="shared" si="150"/>
        <v>dxHP_equip</v>
      </c>
      <c r="U606" s="3" t="str">
        <f t="shared" si="146"/>
        <v>dxHP_equip</v>
      </c>
      <c r="V606" s="3" t="s">
        <v>105</v>
      </c>
      <c r="W606" s="3" t="s">
        <v>106</v>
      </c>
      <c r="X606" s="3" t="s">
        <v>105</v>
      </c>
      <c r="Y606" s="3" t="s">
        <v>106</v>
      </c>
      <c r="Z606" s="3" t="s">
        <v>251</v>
      </c>
      <c r="AA606" s="3" t="s">
        <v>55</v>
      </c>
      <c r="AB606" s="3" t="s">
        <v>56</v>
      </c>
      <c r="AC606" s="3" t="s">
        <v>215</v>
      </c>
    </row>
    <row r="607" spans="1:29" s="3" customFormat="1" x14ac:dyDescent="0.25">
      <c r="A607" s="3" t="s">
        <v>0</v>
      </c>
      <c r="B607" s="3" t="s">
        <v>10675</v>
      </c>
      <c r="C607" s="3" t="s">
        <v>10659</v>
      </c>
      <c r="D607" s="3" t="str">
        <f t="shared" si="151"/>
        <v>SWHC049-03 SEER Rated AC/HP_MFm</v>
      </c>
      <c r="F607" s="3" t="s">
        <v>296</v>
      </c>
      <c r="G607" s="3" t="str">
        <f t="shared" si="148"/>
        <v>RE-HV-HP-Splt-45to65kBtuh-S20p0H10p0</v>
      </c>
      <c r="H607" s="3" t="s">
        <v>286</v>
      </c>
      <c r="I607" s="3" t="s">
        <v>287</v>
      </c>
      <c r="J607" s="3" t="s">
        <v>297</v>
      </c>
      <c r="K607" s="32" t="s">
        <v>265</v>
      </c>
      <c r="L607" s="32" t="s">
        <v>289</v>
      </c>
      <c r="M607" s="32" t="s">
        <v>281</v>
      </c>
      <c r="N607" s="3" t="str">
        <f t="shared" si="149"/>
        <v>MFm&amp;0&amp;rDXHP&amp;New&amp;dxHP_equip</v>
      </c>
      <c r="O607" s="3" t="s">
        <v>63</v>
      </c>
      <c r="P607" s="3">
        <v>0</v>
      </c>
      <c r="Q607" s="3" t="s">
        <v>57</v>
      </c>
      <c r="R607" s="3" t="s">
        <v>107</v>
      </c>
      <c r="S607" s="3" t="str">
        <f t="shared" si="147"/>
        <v>No</v>
      </c>
      <c r="T607" s="3" t="str">
        <f t="shared" si="150"/>
        <v>dxHP_equip</v>
      </c>
      <c r="U607" s="3" t="str">
        <f t="shared" si="146"/>
        <v>dxHP_equip</v>
      </c>
      <c r="V607" s="3" t="s">
        <v>105</v>
      </c>
      <c r="W607" s="3" t="s">
        <v>106</v>
      </c>
      <c r="X607" s="3" t="s">
        <v>105</v>
      </c>
      <c r="Y607" s="3" t="s">
        <v>106</v>
      </c>
      <c r="Z607" s="3" t="s">
        <v>251</v>
      </c>
      <c r="AA607" s="3" t="s">
        <v>55</v>
      </c>
      <c r="AB607" s="3" t="s">
        <v>56</v>
      </c>
      <c r="AC607" s="3" t="s">
        <v>215</v>
      </c>
    </row>
    <row r="608" spans="1:29" s="3" customFormat="1" x14ac:dyDescent="0.25">
      <c r="A608" s="3" t="s">
        <v>0</v>
      </c>
      <c r="B608" s="3" t="s">
        <v>10675</v>
      </c>
      <c r="C608" s="3" t="s">
        <v>10659</v>
      </c>
      <c r="D608" s="3" t="str">
        <f t="shared" si="151"/>
        <v>SWHC049-03 SEER Rated AC/HP_SFm</v>
      </c>
      <c r="F608" s="3" t="s">
        <v>298</v>
      </c>
      <c r="G608" s="3" t="str">
        <f t="shared" ref="G608:G655" si="152">F608</f>
        <v>RE-HV-HP-Splt-45to65kBtuh-S21p0H10p5</v>
      </c>
      <c r="H608" s="3" t="s">
        <v>286</v>
      </c>
      <c r="I608" s="3" t="s">
        <v>287</v>
      </c>
      <c r="J608" s="3" t="s">
        <v>299</v>
      </c>
      <c r="K608" s="32" t="s">
        <v>265</v>
      </c>
      <c r="L608" s="32" t="s">
        <v>289</v>
      </c>
      <c r="M608" s="32" t="s">
        <v>284</v>
      </c>
      <c r="N608" s="3" t="str">
        <f t="shared" si="149"/>
        <v>SFm&amp;1&amp;rDXHP&amp;Ex&amp;dxHP_equip</v>
      </c>
      <c r="O608" s="3" t="s">
        <v>50</v>
      </c>
      <c r="P608" s="3">
        <v>1</v>
      </c>
      <c r="Q608" s="3" t="s">
        <v>57</v>
      </c>
      <c r="R608" s="3" t="s">
        <v>52</v>
      </c>
      <c r="S608" s="3" t="str">
        <f t="shared" si="147"/>
        <v>No</v>
      </c>
      <c r="T608" s="3" t="str">
        <f t="shared" si="150"/>
        <v>dxHP_equip</v>
      </c>
      <c r="U608" s="3" t="str">
        <f t="shared" si="146"/>
        <v>dxHP_equip</v>
      </c>
      <c r="V608" s="3" t="s">
        <v>105</v>
      </c>
      <c r="W608" s="3" t="s">
        <v>106</v>
      </c>
      <c r="X608" s="3" t="s">
        <v>105</v>
      </c>
      <c r="Y608" s="3" t="s">
        <v>106</v>
      </c>
      <c r="Z608" s="3" t="s">
        <v>251</v>
      </c>
      <c r="AA608" s="3" t="s">
        <v>55</v>
      </c>
      <c r="AB608" s="3" t="s">
        <v>56</v>
      </c>
      <c r="AC608" s="3" t="s">
        <v>215</v>
      </c>
    </row>
    <row r="609" spans="1:29" s="3" customFormat="1" x14ac:dyDescent="0.25">
      <c r="A609" s="3" t="s">
        <v>0</v>
      </c>
      <c r="B609" s="3" t="s">
        <v>10675</v>
      </c>
      <c r="C609" s="3" t="s">
        <v>10659</v>
      </c>
      <c r="D609" s="3" t="str">
        <f t="shared" si="151"/>
        <v>SWHC049-03 SEER Rated AC/HP_SFm</v>
      </c>
      <c r="F609" s="3" t="s">
        <v>298</v>
      </c>
      <c r="G609" s="3" t="str">
        <f t="shared" si="152"/>
        <v>RE-HV-HP-Splt-45to65kBtuh-S21p0H10p5</v>
      </c>
      <c r="H609" s="3" t="s">
        <v>286</v>
      </c>
      <c r="I609" s="3" t="s">
        <v>287</v>
      </c>
      <c r="J609" s="3" t="s">
        <v>299</v>
      </c>
      <c r="K609" s="32" t="s">
        <v>265</v>
      </c>
      <c r="L609" s="32" t="s">
        <v>289</v>
      </c>
      <c r="M609" s="32" t="s">
        <v>284</v>
      </c>
      <c r="N609" s="3" t="str">
        <f t="shared" si="149"/>
        <v>SFm&amp;2&amp;rDXHP&amp;Ex&amp;dxHP_equip</v>
      </c>
      <c r="O609" s="3" t="s">
        <v>50</v>
      </c>
      <c r="P609" s="3">
        <v>2</v>
      </c>
      <c r="Q609" s="3" t="s">
        <v>57</v>
      </c>
      <c r="R609" s="3" t="s">
        <v>52</v>
      </c>
      <c r="S609" s="3" t="str">
        <f t="shared" si="147"/>
        <v>No</v>
      </c>
      <c r="T609" s="3" t="str">
        <f t="shared" si="150"/>
        <v>dxHP_equip</v>
      </c>
      <c r="U609" s="3" t="str">
        <f t="shared" si="146"/>
        <v>dxHP_equip</v>
      </c>
      <c r="V609" s="3" t="s">
        <v>105</v>
      </c>
      <c r="W609" s="3" t="s">
        <v>106</v>
      </c>
      <c r="X609" s="3" t="s">
        <v>105</v>
      </c>
      <c r="Y609" s="3" t="s">
        <v>106</v>
      </c>
      <c r="Z609" s="3" t="s">
        <v>251</v>
      </c>
      <c r="AA609" s="3" t="s">
        <v>55</v>
      </c>
      <c r="AB609" s="3" t="s">
        <v>56</v>
      </c>
      <c r="AC609" s="3" t="s">
        <v>215</v>
      </c>
    </row>
    <row r="610" spans="1:29" s="3" customFormat="1" x14ac:dyDescent="0.25">
      <c r="A610" s="3" t="s">
        <v>0</v>
      </c>
      <c r="B610" s="3" t="s">
        <v>10675</v>
      </c>
      <c r="C610" s="3" t="s">
        <v>10659</v>
      </c>
      <c r="D610" s="3" t="str">
        <f t="shared" si="151"/>
        <v>SWHC049-03 SEER Rated AC/HP_DMo</v>
      </c>
      <c r="F610" s="3" t="s">
        <v>298</v>
      </c>
      <c r="G610" s="3" t="str">
        <f t="shared" si="152"/>
        <v>RE-HV-HP-Splt-45to65kBtuh-S21p0H10p5</v>
      </c>
      <c r="H610" s="3" t="s">
        <v>286</v>
      </c>
      <c r="I610" s="3" t="s">
        <v>287</v>
      </c>
      <c r="J610" s="3" t="s">
        <v>299</v>
      </c>
      <c r="K610" s="32" t="s">
        <v>265</v>
      </c>
      <c r="L610" s="32" t="s">
        <v>289</v>
      </c>
      <c r="M610" s="32" t="s">
        <v>284</v>
      </c>
      <c r="N610" s="3" t="str">
        <f t="shared" si="149"/>
        <v>DMo&amp;0&amp;rDXHP&amp;Ex&amp;dxHP_equip</v>
      </c>
      <c r="O610" s="3" t="s">
        <v>62</v>
      </c>
      <c r="P610" s="3">
        <v>0</v>
      </c>
      <c r="Q610" s="3" t="s">
        <v>57</v>
      </c>
      <c r="R610" s="3" t="s">
        <v>52</v>
      </c>
      <c r="S610" s="3" t="str">
        <f t="shared" si="147"/>
        <v>No</v>
      </c>
      <c r="T610" s="3" t="str">
        <f t="shared" si="150"/>
        <v>dxHP_equip</v>
      </c>
      <c r="U610" s="3" t="str">
        <f t="shared" si="146"/>
        <v>dxHP_equip</v>
      </c>
      <c r="V610" s="3" t="s">
        <v>105</v>
      </c>
      <c r="W610" s="3" t="s">
        <v>106</v>
      </c>
      <c r="X610" s="3" t="s">
        <v>105</v>
      </c>
      <c r="Y610" s="3" t="s">
        <v>106</v>
      </c>
      <c r="Z610" s="3" t="s">
        <v>251</v>
      </c>
      <c r="AA610" s="3" t="s">
        <v>55</v>
      </c>
      <c r="AB610" s="3" t="s">
        <v>56</v>
      </c>
      <c r="AC610" s="3" t="s">
        <v>215</v>
      </c>
    </row>
    <row r="611" spans="1:29" s="3" customFormat="1" x14ac:dyDescent="0.25">
      <c r="A611" s="3" t="s">
        <v>0</v>
      </c>
      <c r="B611" s="3" t="s">
        <v>10675</v>
      </c>
      <c r="C611" s="3" t="s">
        <v>10659</v>
      </c>
      <c r="D611" s="3" t="str">
        <f t="shared" si="151"/>
        <v>SWHC049-03 SEER Rated AC/HP_MFm</v>
      </c>
      <c r="F611" s="3" t="s">
        <v>298</v>
      </c>
      <c r="G611" s="3" t="str">
        <f t="shared" si="152"/>
        <v>RE-HV-HP-Splt-45to65kBtuh-S21p0H10p5</v>
      </c>
      <c r="H611" s="3" t="s">
        <v>286</v>
      </c>
      <c r="I611" s="3" t="s">
        <v>287</v>
      </c>
      <c r="J611" s="3" t="s">
        <v>299</v>
      </c>
      <c r="K611" s="32" t="s">
        <v>265</v>
      </c>
      <c r="L611" s="32" t="s">
        <v>289</v>
      </c>
      <c r="M611" s="32" t="s">
        <v>284</v>
      </c>
      <c r="N611" s="3" t="str">
        <f t="shared" si="149"/>
        <v>MFm&amp;0&amp;rDXHP&amp;Ex&amp;dxHP_equip</v>
      </c>
      <c r="O611" s="3" t="s">
        <v>63</v>
      </c>
      <c r="P611" s="3">
        <v>0</v>
      </c>
      <c r="Q611" s="3" t="s">
        <v>57</v>
      </c>
      <c r="R611" s="3" t="s">
        <v>52</v>
      </c>
      <c r="S611" s="3" t="str">
        <f t="shared" si="147"/>
        <v>No</v>
      </c>
      <c r="T611" s="3" t="str">
        <f t="shared" si="150"/>
        <v>dxHP_equip</v>
      </c>
      <c r="U611" s="3" t="str">
        <f t="shared" si="146"/>
        <v>dxHP_equip</v>
      </c>
      <c r="V611" s="3" t="s">
        <v>105</v>
      </c>
      <c r="W611" s="3" t="s">
        <v>106</v>
      </c>
      <c r="X611" s="3" t="s">
        <v>105</v>
      </c>
      <c r="Y611" s="3" t="s">
        <v>106</v>
      </c>
      <c r="Z611" s="3" t="s">
        <v>251</v>
      </c>
      <c r="AA611" s="3" t="s">
        <v>55</v>
      </c>
      <c r="AB611" s="3" t="s">
        <v>56</v>
      </c>
      <c r="AC611" s="3" t="s">
        <v>215</v>
      </c>
    </row>
    <row r="612" spans="1:29" s="3" customFormat="1" x14ac:dyDescent="0.25">
      <c r="A612" s="3" t="s">
        <v>0</v>
      </c>
      <c r="B612" s="3" t="s">
        <v>10675</v>
      </c>
      <c r="C612" s="3" t="s">
        <v>10659</v>
      </c>
      <c r="D612" s="3" t="str">
        <f t="shared" si="151"/>
        <v>SWHC049-03 SEER Rated AC/HP_SFm</v>
      </c>
      <c r="F612" s="3" t="s">
        <v>298</v>
      </c>
      <c r="G612" s="3" t="str">
        <f t="shared" si="152"/>
        <v>RE-HV-HP-Splt-45to65kBtuh-S21p0H10p5</v>
      </c>
      <c r="H612" s="3" t="s">
        <v>286</v>
      </c>
      <c r="I612" s="3" t="s">
        <v>287</v>
      </c>
      <c r="J612" s="3" t="s">
        <v>299</v>
      </c>
      <c r="K612" s="32" t="s">
        <v>265</v>
      </c>
      <c r="L612" s="32" t="s">
        <v>289</v>
      </c>
      <c r="M612" s="32" t="s">
        <v>284</v>
      </c>
      <c r="N612" s="3" t="str">
        <f t="shared" si="149"/>
        <v>SFm&amp;1&amp;rDXHP&amp;New&amp;dxHP_equip</v>
      </c>
      <c r="O612" s="3" t="s">
        <v>50</v>
      </c>
      <c r="P612" s="3">
        <v>1</v>
      </c>
      <c r="Q612" s="3" t="s">
        <v>57</v>
      </c>
      <c r="R612" s="3" t="s">
        <v>107</v>
      </c>
      <c r="S612" s="3" t="str">
        <f t="shared" si="147"/>
        <v>No</v>
      </c>
      <c r="T612" s="3" t="str">
        <f t="shared" si="150"/>
        <v>dxHP_equip</v>
      </c>
      <c r="U612" s="3" t="str">
        <f t="shared" si="146"/>
        <v>dxHP_equip</v>
      </c>
      <c r="V612" s="3" t="s">
        <v>105</v>
      </c>
      <c r="W612" s="3" t="s">
        <v>106</v>
      </c>
      <c r="X612" s="3" t="s">
        <v>105</v>
      </c>
      <c r="Y612" s="3" t="s">
        <v>106</v>
      </c>
      <c r="Z612" s="3" t="s">
        <v>251</v>
      </c>
      <c r="AA612" s="3" t="s">
        <v>55</v>
      </c>
      <c r="AB612" s="3" t="s">
        <v>56</v>
      </c>
      <c r="AC612" s="3" t="s">
        <v>215</v>
      </c>
    </row>
    <row r="613" spans="1:29" s="3" customFormat="1" x14ac:dyDescent="0.25">
      <c r="A613" s="3" t="s">
        <v>0</v>
      </c>
      <c r="B613" s="3" t="s">
        <v>10675</v>
      </c>
      <c r="C613" s="3" t="s">
        <v>10659</v>
      </c>
      <c r="D613" s="3" t="str">
        <f t="shared" si="151"/>
        <v>SWHC049-03 SEER Rated AC/HP_SFm</v>
      </c>
      <c r="F613" s="3" t="s">
        <v>298</v>
      </c>
      <c r="G613" s="3" t="str">
        <f t="shared" si="152"/>
        <v>RE-HV-HP-Splt-45to65kBtuh-S21p0H10p5</v>
      </c>
      <c r="H613" s="3" t="s">
        <v>286</v>
      </c>
      <c r="I613" s="3" t="s">
        <v>287</v>
      </c>
      <c r="J613" s="3" t="s">
        <v>299</v>
      </c>
      <c r="K613" s="32" t="s">
        <v>265</v>
      </c>
      <c r="L613" s="32" t="s">
        <v>289</v>
      </c>
      <c r="M613" s="32" t="s">
        <v>284</v>
      </c>
      <c r="N613" s="3" t="str">
        <f t="shared" si="149"/>
        <v>SFm&amp;2&amp;rDXHP&amp;New&amp;dxHP_equip</v>
      </c>
      <c r="O613" s="3" t="s">
        <v>50</v>
      </c>
      <c r="P613" s="3">
        <v>2</v>
      </c>
      <c r="Q613" s="3" t="s">
        <v>57</v>
      </c>
      <c r="R613" s="3" t="s">
        <v>107</v>
      </c>
      <c r="S613" s="3" t="str">
        <f t="shared" si="147"/>
        <v>No</v>
      </c>
      <c r="T613" s="3" t="str">
        <f t="shared" si="150"/>
        <v>dxHP_equip</v>
      </c>
      <c r="U613" s="3" t="str">
        <f t="shared" si="146"/>
        <v>dxHP_equip</v>
      </c>
      <c r="V613" s="3" t="s">
        <v>105</v>
      </c>
      <c r="W613" s="3" t="s">
        <v>106</v>
      </c>
      <c r="X613" s="3" t="s">
        <v>105</v>
      </c>
      <c r="Y613" s="3" t="s">
        <v>106</v>
      </c>
      <c r="Z613" s="3" t="s">
        <v>251</v>
      </c>
      <c r="AA613" s="3" t="s">
        <v>55</v>
      </c>
      <c r="AB613" s="3" t="s">
        <v>56</v>
      </c>
      <c r="AC613" s="3" t="s">
        <v>215</v>
      </c>
    </row>
    <row r="614" spans="1:29" s="3" customFormat="1" x14ac:dyDescent="0.25">
      <c r="A614" s="3" t="s">
        <v>0</v>
      </c>
      <c r="B614" s="3" t="s">
        <v>10675</v>
      </c>
      <c r="C614" s="3" t="s">
        <v>10659</v>
      </c>
      <c r="D614" s="3" t="str">
        <f t="shared" si="151"/>
        <v>SWHC049-03 SEER Rated AC/HP_DMo</v>
      </c>
      <c r="F614" s="3" t="s">
        <v>298</v>
      </c>
      <c r="G614" s="3" t="str">
        <f t="shared" si="152"/>
        <v>RE-HV-HP-Splt-45to65kBtuh-S21p0H10p5</v>
      </c>
      <c r="H614" s="3" t="s">
        <v>286</v>
      </c>
      <c r="I614" s="3" t="s">
        <v>287</v>
      </c>
      <c r="J614" s="3" t="s">
        <v>299</v>
      </c>
      <c r="K614" s="32" t="s">
        <v>265</v>
      </c>
      <c r="L614" s="32" t="s">
        <v>289</v>
      </c>
      <c r="M614" s="32" t="s">
        <v>284</v>
      </c>
      <c r="N614" s="3" t="str">
        <f t="shared" si="149"/>
        <v>DMo&amp;0&amp;rDXHP&amp;New&amp;dxHP_equip</v>
      </c>
      <c r="O614" s="3" t="s">
        <v>62</v>
      </c>
      <c r="P614" s="3">
        <v>0</v>
      </c>
      <c r="Q614" s="3" t="s">
        <v>57</v>
      </c>
      <c r="R614" s="3" t="s">
        <v>107</v>
      </c>
      <c r="S614" s="3" t="str">
        <f t="shared" si="147"/>
        <v>No</v>
      </c>
      <c r="T614" s="3" t="str">
        <f t="shared" si="150"/>
        <v>dxHP_equip</v>
      </c>
      <c r="U614" s="3" t="str">
        <f t="shared" si="146"/>
        <v>dxHP_equip</v>
      </c>
      <c r="V614" s="3" t="s">
        <v>105</v>
      </c>
      <c r="W614" s="3" t="s">
        <v>106</v>
      </c>
      <c r="X614" s="3" t="s">
        <v>105</v>
      </c>
      <c r="Y614" s="3" t="s">
        <v>106</v>
      </c>
      <c r="Z614" s="3" t="s">
        <v>251</v>
      </c>
      <c r="AA614" s="3" t="s">
        <v>55</v>
      </c>
      <c r="AB614" s="3" t="s">
        <v>56</v>
      </c>
      <c r="AC614" s="3" t="s">
        <v>215</v>
      </c>
    </row>
    <row r="615" spans="1:29" s="3" customFormat="1" x14ac:dyDescent="0.25">
      <c r="A615" s="3" t="s">
        <v>0</v>
      </c>
      <c r="B615" s="3" t="s">
        <v>10675</v>
      </c>
      <c r="C615" s="3" t="s">
        <v>10659</v>
      </c>
      <c r="D615" s="3" t="str">
        <f t="shared" si="151"/>
        <v>SWHC049-03 SEER Rated AC/HP_MFm</v>
      </c>
      <c r="F615" s="3" t="s">
        <v>298</v>
      </c>
      <c r="G615" s="3" t="str">
        <f t="shared" si="152"/>
        <v>RE-HV-HP-Splt-45to65kBtuh-S21p0H10p5</v>
      </c>
      <c r="H615" s="3" t="s">
        <v>286</v>
      </c>
      <c r="I615" s="3" t="s">
        <v>287</v>
      </c>
      <c r="J615" s="3" t="s">
        <v>299</v>
      </c>
      <c r="K615" s="32" t="s">
        <v>265</v>
      </c>
      <c r="L615" s="32" t="s">
        <v>289</v>
      </c>
      <c r="M615" s="32" t="s">
        <v>284</v>
      </c>
      <c r="N615" s="3" t="str">
        <f t="shared" si="149"/>
        <v>MFm&amp;0&amp;rDXHP&amp;New&amp;dxHP_equip</v>
      </c>
      <c r="O615" s="3" t="s">
        <v>63</v>
      </c>
      <c r="P615" s="3">
        <v>0</v>
      </c>
      <c r="Q615" s="3" t="s">
        <v>57</v>
      </c>
      <c r="R615" s="3" t="s">
        <v>107</v>
      </c>
      <c r="S615" s="3" t="str">
        <f t="shared" si="147"/>
        <v>No</v>
      </c>
      <c r="T615" s="3" t="str">
        <f t="shared" si="150"/>
        <v>dxHP_equip</v>
      </c>
      <c r="U615" s="3" t="str">
        <f t="shared" si="146"/>
        <v>dxHP_equip</v>
      </c>
      <c r="V615" s="3" t="s">
        <v>105</v>
      </c>
      <c r="W615" s="3" t="s">
        <v>106</v>
      </c>
      <c r="X615" s="3" t="s">
        <v>105</v>
      </c>
      <c r="Y615" s="3" t="s">
        <v>106</v>
      </c>
      <c r="Z615" s="3" t="s">
        <v>251</v>
      </c>
      <c r="AA615" s="3" t="s">
        <v>55</v>
      </c>
      <c r="AB615" s="3" t="s">
        <v>56</v>
      </c>
      <c r="AC615" s="3" t="s">
        <v>215</v>
      </c>
    </row>
    <row r="616" spans="1:29" s="3" customFormat="1" x14ac:dyDescent="0.25">
      <c r="A616" s="3" t="s">
        <v>0</v>
      </c>
      <c r="B616" s="3" t="s">
        <v>10675</v>
      </c>
      <c r="C616" s="3" t="s">
        <v>10659</v>
      </c>
      <c r="D616" s="3" t="str">
        <f t="shared" si="151"/>
        <v>SWHC049-03 SEER Rated AC/HP_SFm</v>
      </c>
      <c r="F616" s="3" t="s">
        <v>300</v>
      </c>
      <c r="G616" s="3" t="str">
        <f t="shared" si="152"/>
        <v>RE-HV-HP-Splt-lt45-S16p0H9p0</v>
      </c>
      <c r="H616" s="3" t="s">
        <v>301</v>
      </c>
      <c r="I616" s="3" t="s">
        <v>302</v>
      </c>
      <c r="J616" s="3" t="s">
        <v>303</v>
      </c>
      <c r="K616" s="32" t="s">
        <v>265</v>
      </c>
      <c r="L616" s="32" t="s">
        <v>304</v>
      </c>
      <c r="M616" s="32" t="s">
        <v>267</v>
      </c>
      <c r="N616" s="3" t="str">
        <f t="shared" si="149"/>
        <v>SFm&amp;1&amp;rDXHP&amp;Ex&amp;dxHP_equip</v>
      </c>
      <c r="O616" s="3" t="s">
        <v>50</v>
      </c>
      <c r="P616" s="3">
        <v>1</v>
      </c>
      <c r="Q616" s="3" t="s">
        <v>57</v>
      </c>
      <c r="R616" s="3" t="s">
        <v>52</v>
      </c>
      <c r="S616" s="3" t="str">
        <f t="shared" si="147"/>
        <v>No</v>
      </c>
      <c r="T616" s="3" t="str">
        <f t="shared" si="150"/>
        <v>dxHP_equip</v>
      </c>
      <c r="U616" s="3" t="str">
        <f t="shared" ref="U616:U663" si="153">X616</f>
        <v>dxHP_equip</v>
      </c>
      <c r="V616" s="3" t="s">
        <v>105</v>
      </c>
      <c r="W616" s="3" t="s">
        <v>106</v>
      </c>
      <c r="X616" s="3" t="s">
        <v>105</v>
      </c>
      <c r="Y616" s="3" t="s">
        <v>106</v>
      </c>
      <c r="Z616" s="3" t="s">
        <v>305</v>
      </c>
      <c r="AA616" s="3" t="s">
        <v>55</v>
      </c>
      <c r="AB616" s="3" t="s">
        <v>56</v>
      </c>
      <c r="AC616" s="3" t="s">
        <v>215</v>
      </c>
    </row>
    <row r="617" spans="1:29" s="3" customFormat="1" x14ac:dyDescent="0.25">
      <c r="A617" s="3" t="s">
        <v>0</v>
      </c>
      <c r="B617" s="3" t="s">
        <v>10675</v>
      </c>
      <c r="C617" s="3" t="s">
        <v>10659</v>
      </c>
      <c r="D617" s="3" t="str">
        <f t="shared" si="151"/>
        <v>SWHC049-03 SEER Rated AC/HP_SFm</v>
      </c>
      <c r="F617" s="3" t="s">
        <v>300</v>
      </c>
      <c r="G617" s="3" t="str">
        <f t="shared" si="152"/>
        <v>RE-HV-HP-Splt-lt45-S16p0H9p0</v>
      </c>
      <c r="H617" s="3" t="s">
        <v>301</v>
      </c>
      <c r="I617" s="3" t="s">
        <v>302</v>
      </c>
      <c r="J617" s="3" t="s">
        <v>303</v>
      </c>
      <c r="K617" s="32" t="s">
        <v>265</v>
      </c>
      <c r="L617" s="32" t="s">
        <v>304</v>
      </c>
      <c r="M617" s="32" t="s">
        <v>267</v>
      </c>
      <c r="N617" s="3" t="str">
        <f t="shared" si="149"/>
        <v>SFm&amp;2&amp;rDXHP&amp;Ex&amp;dxHP_equip</v>
      </c>
      <c r="O617" s="3" t="s">
        <v>50</v>
      </c>
      <c r="P617" s="3">
        <v>2</v>
      </c>
      <c r="Q617" s="3" t="s">
        <v>57</v>
      </c>
      <c r="R617" s="3" t="s">
        <v>52</v>
      </c>
      <c r="S617" s="3" t="str">
        <f t="shared" si="147"/>
        <v>No</v>
      </c>
      <c r="T617" s="3" t="str">
        <f t="shared" si="150"/>
        <v>dxHP_equip</v>
      </c>
      <c r="U617" s="3" t="str">
        <f t="shared" si="153"/>
        <v>dxHP_equip</v>
      </c>
      <c r="V617" s="3" t="s">
        <v>105</v>
      </c>
      <c r="W617" s="3" t="s">
        <v>106</v>
      </c>
      <c r="X617" s="3" t="s">
        <v>105</v>
      </c>
      <c r="Y617" s="3" t="s">
        <v>106</v>
      </c>
      <c r="Z617" s="3" t="s">
        <v>305</v>
      </c>
      <c r="AA617" s="3" t="s">
        <v>55</v>
      </c>
      <c r="AB617" s="3" t="s">
        <v>56</v>
      </c>
      <c r="AC617" s="3" t="s">
        <v>215</v>
      </c>
    </row>
    <row r="618" spans="1:29" s="3" customFormat="1" x14ac:dyDescent="0.25">
      <c r="A618" s="3" t="s">
        <v>0</v>
      </c>
      <c r="B618" s="3" t="s">
        <v>10675</v>
      </c>
      <c r="C618" s="3" t="s">
        <v>10659</v>
      </c>
      <c r="D618" s="3" t="str">
        <f t="shared" si="151"/>
        <v>SWHC049-03 SEER Rated AC/HP_DMo</v>
      </c>
      <c r="F618" s="3" t="s">
        <v>300</v>
      </c>
      <c r="G618" s="3" t="str">
        <f t="shared" si="152"/>
        <v>RE-HV-HP-Splt-lt45-S16p0H9p0</v>
      </c>
      <c r="H618" s="3" t="s">
        <v>301</v>
      </c>
      <c r="I618" s="3" t="s">
        <v>302</v>
      </c>
      <c r="J618" s="3" t="s">
        <v>303</v>
      </c>
      <c r="K618" s="32" t="s">
        <v>265</v>
      </c>
      <c r="L618" s="32" t="s">
        <v>304</v>
      </c>
      <c r="M618" s="32" t="s">
        <v>267</v>
      </c>
      <c r="N618" s="3" t="str">
        <f t="shared" si="149"/>
        <v>DMo&amp;0&amp;rDXHP&amp;Ex&amp;dxHP_equip</v>
      </c>
      <c r="O618" s="3" t="s">
        <v>62</v>
      </c>
      <c r="P618" s="3">
        <v>0</v>
      </c>
      <c r="Q618" s="3" t="s">
        <v>57</v>
      </c>
      <c r="R618" s="3" t="s">
        <v>52</v>
      </c>
      <c r="S618" s="3" t="str">
        <f t="shared" si="147"/>
        <v>No</v>
      </c>
      <c r="T618" s="3" t="str">
        <f t="shared" si="150"/>
        <v>dxHP_equip</v>
      </c>
      <c r="U618" s="3" t="str">
        <f t="shared" si="153"/>
        <v>dxHP_equip</v>
      </c>
      <c r="V618" s="3" t="s">
        <v>105</v>
      </c>
      <c r="W618" s="3" t="s">
        <v>106</v>
      </c>
      <c r="X618" s="3" t="s">
        <v>105</v>
      </c>
      <c r="Y618" s="3" t="s">
        <v>106</v>
      </c>
      <c r="Z618" s="3" t="s">
        <v>305</v>
      </c>
      <c r="AA618" s="3" t="s">
        <v>55</v>
      </c>
      <c r="AB618" s="3" t="s">
        <v>56</v>
      </c>
      <c r="AC618" s="3" t="s">
        <v>215</v>
      </c>
    </row>
    <row r="619" spans="1:29" s="3" customFormat="1" x14ac:dyDescent="0.25">
      <c r="A619" s="3" t="s">
        <v>0</v>
      </c>
      <c r="B619" s="3" t="s">
        <v>10675</v>
      </c>
      <c r="C619" s="3" t="s">
        <v>10659</v>
      </c>
      <c r="D619" s="3" t="str">
        <f t="shared" si="151"/>
        <v>SWHC049-03 SEER Rated AC/HP_MFm</v>
      </c>
      <c r="F619" s="3" t="s">
        <v>300</v>
      </c>
      <c r="G619" s="3" t="str">
        <f t="shared" si="152"/>
        <v>RE-HV-HP-Splt-lt45-S16p0H9p0</v>
      </c>
      <c r="H619" s="3" t="s">
        <v>301</v>
      </c>
      <c r="I619" s="3" t="s">
        <v>302</v>
      </c>
      <c r="J619" s="3" t="s">
        <v>303</v>
      </c>
      <c r="K619" s="32" t="s">
        <v>265</v>
      </c>
      <c r="L619" s="32" t="s">
        <v>304</v>
      </c>
      <c r="M619" s="32" t="s">
        <v>267</v>
      </c>
      <c r="N619" s="3" t="str">
        <f t="shared" si="149"/>
        <v>MFm&amp;0&amp;rDXHP&amp;Ex&amp;dxHP_equip</v>
      </c>
      <c r="O619" s="3" t="s">
        <v>63</v>
      </c>
      <c r="P619" s="3">
        <v>0</v>
      </c>
      <c r="Q619" s="3" t="s">
        <v>57</v>
      </c>
      <c r="R619" s="3" t="s">
        <v>52</v>
      </c>
      <c r="S619" s="3" t="str">
        <f t="shared" si="147"/>
        <v>No</v>
      </c>
      <c r="T619" s="3" t="str">
        <f t="shared" si="150"/>
        <v>dxHP_equip</v>
      </c>
      <c r="U619" s="3" t="str">
        <f t="shared" si="153"/>
        <v>dxHP_equip</v>
      </c>
      <c r="V619" s="3" t="s">
        <v>105</v>
      </c>
      <c r="W619" s="3" t="s">
        <v>106</v>
      </c>
      <c r="X619" s="3" t="s">
        <v>105</v>
      </c>
      <c r="Y619" s="3" t="s">
        <v>106</v>
      </c>
      <c r="Z619" s="3" t="s">
        <v>305</v>
      </c>
      <c r="AA619" s="3" t="s">
        <v>55</v>
      </c>
      <c r="AB619" s="3" t="s">
        <v>56</v>
      </c>
      <c r="AC619" s="3" t="s">
        <v>215</v>
      </c>
    </row>
    <row r="620" spans="1:29" s="3" customFormat="1" x14ac:dyDescent="0.25">
      <c r="A620" s="3" t="s">
        <v>0</v>
      </c>
      <c r="B620" s="3" t="s">
        <v>10675</v>
      </c>
      <c r="C620" s="3" t="s">
        <v>10659</v>
      </c>
      <c r="D620" s="3" t="str">
        <f t="shared" si="151"/>
        <v>SWHC049-03 SEER Rated AC/HP_SFm</v>
      </c>
      <c r="F620" s="3" t="s">
        <v>300</v>
      </c>
      <c r="G620" s="3" t="str">
        <f t="shared" si="152"/>
        <v>RE-HV-HP-Splt-lt45-S16p0H9p0</v>
      </c>
      <c r="H620" s="3" t="s">
        <v>301</v>
      </c>
      <c r="I620" s="3" t="s">
        <v>302</v>
      </c>
      <c r="J620" s="3" t="s">
        <v>303</v>
      </c>
      <c r="K620" s="32" t="s">
        <v>265</v>
      </c>
      <c r="L620" s="32" t="s">
        <v>304</v>
      </c>
      <c r="M620" s="32" t="s">
        <v>267</v>
      </c>
      <c r="N620" s="3" t="str">
        <f t="shared" si="149"/>
        <v>SFm&amp;1&amp;rDXHP&amp;New&amp;dxHP_equip</v>
      </c>
      <c r="O620" s="3" t="s">
        <v>50</v>
      </c>
      <c r="P620" s="3">
        <v>1</v>
      </c>
      <c r="Q620" s="3" t="s">
        <v>57</v>
      </c>
      <c r="R620" s="3" t="s">
        <v>107</v>
      </c>
      <c r="S620" s="3" t="str">
        <f t="shared" ref="S620:S667" si="154">IF(T620=U620, "No", "Yes")</f>
        <v>No</v>
      </c>
      <c r="T620" s="3" t="str">
        <f t="shared" si="150"/>
        <v>dxHP_equip</v>
      </c>
      <c r="U620" s="3" t="str">
        <f t="shared" si="153"/>
        <v>dxHP_equip</v>
      </c>
      <c r="V620" s="3" t="s">
        <v>105</v>
      </c>
      <c r="W620" s="3" t="s">
        <v>106</v>
      </c>
      <c r="X620" s="3" t="s">
        <v>105</v>
      </c>
      <c r="Y620" s="3" t="s">
        <v>106</v>
      </c>
      <c r="Z620" s="3" t="s">
        <v>305</v>
      </c>
      <c r="AA620" s="3" t="s">
        <v>55</v>
      </c>
      <c r="AB620" s="3" t="s">
        <v>56</v>
      </c>
      <c r="AC620" s="3" t="s">
        <v>215</v>
      </c>
    </row>
    <row r="621" spans="1:29" s="3" customFormat="1" x14ac:dyDescent="0.25">
      <c r="A621" s="3" t="s">
        <v>0</v>
      </c>
      <c r="B621" s="3" t="s">
        <v>10675</v>
      </c>
      <c r="C621" s="3" t="s">
        <v>10659</v>
      </c>
      <c r="D621" s="3" t="str">
        <f t="shared" si="151"/>
        <v>SWHC049-03 SEER Rated AC/HP_SFm</v>
      </c>
      <c r="F621" s="3" t="s">
        <v>300</v>
      </c>
      <c r="G621" s="3" t="str">
        <f t="shared" si="152"/>
        <v>RE-HV-HP-Splt-lt45-S16p0H9p0</v>
      </c>
      <c r="H621" s="3" t="s">
        <v>301</v>
      </c>
      <c r="I621" s="3" t="s">
        <v>302</v>
      </c>
      <c r="J621" s="3" t="s">
        <v>303</v>
      </c>
      <c r="K621" s="32" t="s">
        <v>265</v>
      </c>
      <c r="L621" s="32" t="s">
        <v>304</v>
      </c>
      <c r="M621" s="32" t="s">
        <v>267</v>
      </c>
      <c r="N621" s="3" t="str">
        <f t="shared" si="149"/>
        <v>SFm&amp;2&amp;rDXHP&amp;New&amp;dxHP_equip</v>
      </c>
      <c r="O621" s="3" t="s">
        <v>50</v>
      </c>
      <c r="P621" s="3">
        <v>2</v>
      </c>
      <c r="Q621" s="3" t="s">
        <v>57</v>
      </c>
      <c r="R621" s="3" t="s">
        <v>107</v>
      </c>
      <c r="S621" s="3" t="str">
        <f t="shared" si="154"/>
        <v>No</v>
      </c>
      <c r="T621" s="3" t="str">
        <f t="shared" si="150"/>
        <v>dxHP_equip</v>
      </c>
      <c r="U621" s="3" t="str">
        <f t="shared" si="153"/>
        <v>dxHP_equip</v>
      </c>
      <c r="V621" s="3" t="s">
        <v>105</v>
      </c>
      <c r="W621" s="3" t="s">
        <v>106</v>
      </c>
      <c r="X621" s="3" t="s">
        <v>105</v>
      </c>
      <c r="Y621" s="3" t="s">
        <v>106</v>
      </c>
      <c r="Z621" s="3" t="s">
        <v>305</v>
      </c>
      <c r="AA621" s="3" t="s">
        <v>55</v>
      </c>
      <c r="AB621" s="3" t="s">
        <v>56</v>
      </c>
      <c r="AC621" s="3" t="s">
        <v>215</v>
      </c>
    </row>
    <row r="622" spans="1:29" s="3" customFormat="1" x14ac:dyDescent="0.25">
      <c r="A622" s="3" t="s">
        <v>0</v>
      </c>
      <c r="B622" s="3" t="s">
        <v>10675</v>
      </c>
      <c r="C622" s="3" t="s">
        <v>10659</v>
      </c>
      <c r="D622" s="3" t="str">
        <f t="shared" si="151"/>
        <v>SWHC049-03 SEER Rated AC/HP_DMo</v>
      </c>
      <c r="F622" s="3" t="s">
        <v>300</v>
      </c>
      <c r="G622" s="3" t="str">
        <f t="shared" si="152"/>
        <v>RE-HV-HP-Splt-lt45-S16p0H9p0</v>
      </c>
      <c r="H622" s="3" t="s">
        <v>301</v>
      </c>
      <c r="I622" s="3" t="s">
        <v>302</v>
      </c>
      <c r="J622" s="3" t="s">
        <v>303</v>
      </c>
      <c r="K622" s="32" t="s">
        <v>265</v>
      </c>
      <c r="L622" s="32" t="s">
        <v>304</v>
      </c>
      <c r="M622" s="32" t="s">
        <v>267</v>
      </c>
      <c r="N622" s="3" t="str">
        <f t="shared" si="149"/>
        <v>DMo&amp;0&amp;rDXHP&amp;New&amp;dxHP_equip</v>
      </c>
      <c r="O622" s="3" t="s">
        <v>62</v>
      </c>
      <c r="P622" s="3">
        <v>0</v>
      </c>
      <c r="Q622" s="3" t="s">
        <v>57</v>
      </c>
      <c r="R622" s="3" t="s">
        <v>107</v>
      </c>
      <c r="S622" s="3" t="str">
        <f t="shared" si="154"/>
        <v>No</v>
      </c>
      <c r="T622" s="3" t="str">
        <f t="shared" si="150"/>
        <v>dxHP_equip</v>
      </c>
      <c r="U622" s="3" t="str">
        <f t="shared" si="153"/>
        <v>dxHP_equip</v>
      </c>
      <c r="V622" s="3" t="s">
        <v>105</v>
      </c>
      <c r="W622" s="3" t="s">
        <v>106</v>
      </c>
      <c r="X622" s="3" t="s">
        <v>105</v>
      </c>
      <c r="Y622" s="3" t="s">
        <v>106</v>
      </c>
      <c r="Z622" s="3" t="s">
        <v>305</v>
      </c>
      <c r="AA622" s="3" t="s">
        <v>55</v>
      </c>
      <c r="AB622" s="3" t="s">
        <v>56</v>
      </c>
      <c r="AC622" s="3" t="s">
        <v>215</v>
      </c>
    </row>
    <row r="623" spans="1:29" s="3" customFormat="1" x14ac:dyDescent="0.25">
      <c r="A623" s="3" t="s">
        <v>0</v>
      </c>
      <c r="B623" s="3" t="s">
        <v>10675</v>
      </c>
      <c r="C623" s="3" t="s">
        <v>10659</v>
      </c>
      <c r="D623" s="3" t="str">
        <f t="shared" si="151"/>
        <v>SWHC049-03 SEER Rated AC/HP_MFm</v>
      </c>
      <c r="F623" s="3" t="s">
        <v>300</v>
      </c>
      <c r="G623" s="3" t="str">
        <f t="shared" si="152"/>
        <v>RE-HV-HP-Splt-lt45-S16p0H9p0</v>
      </c>
      <c r="H623" s="3" t="s">
        <v>301</v>
      </c>
      <c r="I623" s="3" t="s">
        <v>302</v>
      </c>
      <c r="J623" s="3" t="s">
        <v>303</v>
      </c>
      <c r="K623" s="32" t="s">
        <v>265</v>
      </c>
      <c r="L623" s="32" t="s">
        <v>304</v>
      </c>
      <c r="M623" s="32" t="s">
        <v>267</v>
      </c>
      <c r="N623" s="3" t="str">
        <f t="shared" si="149"/>
        <v>MFm&amp;0&amp;rDXHP&amp;New&amp;dxHP_equip</v>
      </c>
      <c r="O623" s="3" t="s">
        <v>63</v>
      </c>
      <c r="P623" s="3">
        <v>0</v>
      </c>
      <c r="Q623" s="3" t="s">
        <v>57</v>
      </c>
      <c r="R623" s="3" t="s">
        <v>107</v>
      </c>
      <c r="S623" s="3" t="str">
        <f t="shared" si="154"/>
        <v>No</v>
      </c>
      <c r="T623" s="3" t="str">
        <f t="shared" si="150"/>
        <v>dxHP_equip</v>
      </c>
      <c r="U623" s="3" t="str">
        <f t="shared" si="153"/>
        <v>dxHP_equip</v>
      </c>
      <c r="V623" s="3" t="s">
        <v>105</v>
      </c>
      <c r="W623" s="3" t="s">
        <v>106</v>
      </c>
      <c r="X623" s="3" t="s">
        <v>105</v>
      </c>
      <c r="Y623" s="3" t="s">
        <v>106</v>
      </c>
      <c r="Z623" s="3" t="s">
        <v>305</v>
      </c>
      <c r="AA623" s="3" t="s">
        <v>55</v>
      </c>
      <c r="AB623" s="3" t="s">
        <v>56</v>
      </c>
      <c r="AC623" s="3" t="s">
        <v>215</v>
      </c>
    </row>
    <row r="624" spans="1:29" s="3" customFormat="1" x14ac:dyDescent="0.25">
      <c r="A624" s="3" t="s">
        <v>0</v>
      </c>
      <c r="B624" s="3" t="s">
        <v>10675</v>
      </c>
      <c r="C624" s="3" t="s">
        <v>10659</v>
      </c>
      <c r="D624" s="3" t="str">
        <f t="shared" si="151"/>
        <v>SWHC049-03 SEER Rated AC/HP_SFm</v>
      </c>
      <c r="F624" s="3" t="s">
        <v>306</v>
      </c>
      <c r="G624" s="3" t="str">
        <f t="shared" si="152"/>
        <v>RE-HV-HP-Splt-lt45-S17p0H9p4</v>
      </c>
      <c r="H624" s="3" t="s">
        <v>301</v>
      </c>
      <c r="I624" s="3" t="s">
        <v>302</v>
      </c>
      <c r="J624" s="3" t="s">
        <v>307</v>
      </c>
      <c r="K624" s="32" t="s">
        <v>265</v>
      </c>
      <c r="L624" s="32" t="s">
        <v>304</v>
      </c>
      <c r="M624" s="32" t="s">
        <v>272</v>
      </c>
      <c r="N624" s="3" t="str">
        <f t="shared" si="149"/>
        <v>SFm&amp;1&amp;rDXHP&amp;Ex&amp;dxHP_equip</v>
      </c>
      <c r="O624" s="3" t="s">
        <v>50</v>
      </c>
      <c r="P624" s="3">
        <v>1</v>
      </c>
      <c r="Q624" s="3" t="s">
        <v>57</v>
      </c>
      <c r="R624" s="3" t="s">
        <v>52</v>
      </c>
      <c r="S624" s="3" t="str">
        <f t="shared" si="154"/>
        <v>No</v>
      </c>
      <c r="T624" s="3" t="str">
        <f t="shared" si="150"/>
        <v>dxHP_equip</v>
      </c>
      <c r="U624" s="3" t="str">
        <f t="shared" si="153"/>
        <v>dxHP_equip</v>
      </c>
      <c r="V624" s="3" t="s">
        <v>105</v>
      </c>
      <c r="W624" s="3" t="s">
        <v>106</v>
      </c>
      <c r="X624" s="3" t="s">
        <v>105</v>
      </c>
      <c r="Y624" s="3" t="s">
        <v>106</v>
      </c>
      <c r="Z624" s="3" t="s">
        <v>305</v>
      </c>
      <c r="AA624" s="3" t="s">
        <v>55</v>
      </c>
      <c r="AB624" s="3" t="s">
        <v>56</v>
      </c>
      <c r="AC624" s="3" t="s">
        <v>215</v>
      </c>
    </row>
    <row r="625" spans="1:29" s="3" customFormat="1" x14ac:dyDescent="0.25">
      <c r="A625" s="3" t="s">
        <v>0</v>
      </c>
      <c r="B625" s="3" t="s">
        <v>10675</v>
      </c>
      <c r="C625" s="3" t="s">
        <v>10659</v>
      </c>
      <c r="D625" s="3" t="str">
        <f t="shared" si="151"/>
        <v>SWHC049-03 SEER Rated AC/HP_SFm</v>
      </c>
      <c r="F625" s="3" t="s">
        <v>306</v>
      </c>
      <c r="G625" s="3" t="str">
        <f t="shared" si="152"/>
        <v>RE-HV-HP-Splt-lt45-S17p0H9p4</v>
      </c>
      <c r="H625" s="3" t="s">
        <v>301</v>
      </c>
      <c r="I625" s="3" t="s">
        <v>302</v>
      </c>
      <c r="J625" s="3" t="s">
        <v>307</v>
      </c>
      <c r="K625" s="32" t="s">
        <v>265</v>
      </c>
      <c r="L625" s="32" t="s">
        <v>304</v>
      </c>
      <c r="M625" s="32" t="s">
        <v>272</v>
      </c>
      <c r="N625" s="3" t="str">
        <f t="shared" si="149"/>
        <v>SFm&amp;2&amp;rDXHP&amp;Ex&amp;dxHP_equip</v>
      </c>
      <c r="O625" s="3" t="s">
        <v>50</v>
      </c>
      <c r="P625" s="3">
        <v>2</v>
      </c>
      <c r="Q625" s="3" t="s">
        <v>57</v>
      </c>
      <c r="R625" s="3" t="s">
        <v>52</v>
      </c>
      <c r="S625" s="3" t="str">
        <f t="shared" si="154"/>
        <v>No</v>
      </c>
      <c r="T625" s="3" t="str">
        <f t="shared" si="150"/>
        <v>dxHP_equip</v>
      </c>
      <c r="U625" s="3" t="str">
        <f t="shared" si="153"/>
        <v>dxHP_equip</v>
      </c>
      <c r="V625" s="3" t="s">
        <v>105</v>
      </c>
      <c r="W625" s="3" t="s">
        <v>106</v>
      </c>
      <c r="X625" s="3" t="s">
        <v>105</v>
      </c>
      <c r="Y625" s="3" t="s">
        <v>106</v>
      </c>
      <c r="Z625" s="3" t="s">
        <v>305</v>
      </c>
      <c r="AA625" s="3" t="s">
        <v>55</v>
      </c>
      <c r="AB625" s="3" t="s">
        <v>56</v>
      </c>
      <c r="AC625" s="3" t="s">
        <v>215</v>
      </c>
    </row>
    <row r="626" spans="1:29" s="3" customFormat="1" x14ac:dyDescent="0.25">
      <c r="A626" s="3" t="s">
        <v>0</v>
      </c>
      <c r="B626" s="3" t="s">
        <v>10675</v>
      </c>
      <c r="C626" s="3" t="s">
        <v>10659</v>
      </c>
      <c r="D626" s="3" t="str">
        <f t="shared" si="151"/>
        <v>SWHC049-03 SEER Rated AC/HP_DMo</v>
      </c>
      <c r="F626" s="3" t="s">
        <v>306</v>
      </c>
      <c r="G626" s="3" t="str">
        <f t="shared" si="152"/>
        <v>RE-HV-HP-Splt-lt45-S17p0H9p4</v>
      </c>
      <c r="H626" s="3" t="s">
        <v>301</v>
      </c>
      <c r="I626" s="3" t="s">
        <v>302</v>
      </c>
      <c r="J626" s="3" t="s">
        <v>307</v>
      </c>
      <c r="K626" s="32" t="s">
        <v>265</v>
      </c>
      <c r="L626" s="32" t="s">
        <v>304</v>
      </c>
      <c r="M626" s="32" t="s">
        <v>272</v>
      </c>
      <c r="N626" s="3" t="str">
        <f t="shared" ref="N626:N667" si="155">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54"/>
        <v>No</v>
      </c>
      <c r="T626" s="3" t="str">
        <f t="shared" si="150"/>
        <v>dxHP_equip</v>
      </c>
      <c r="U626" s="3" t="str">
        <f t="shared" si="153"/>
        <v>dxHP_equip</v>
      </c>
      <c r="V626" s="3" t="s">
        <v>105</v>
      </c>
      <c r="W626" s="3" t="s">
        <v>106</v>
      </c>
      <c r="X626" s="3" t="s">
        <v>105</v>
      </c>
      <c r="Y626" s="3" t="s">
        <v>106</v>
      </c>
      <c r="Z626" s="3" t="s">
        <v>305</v>
      </c>
      <c r="AA626" s="3" t="s">
        <v>55</v>
      </c>
      <c r="AB626" s="3" t="s">
        <v>56</v>
      </c>
      <c r="AC626" s="3" t="s">
        <v>215</v>
      </c>
    </row>
    <row r="627" spans="1:29" s="3" customFormat="1" x14ac:dyDescent="0.25">
      <c r="A627" s="3" t="s">
        <v>0</v>
      </c>
      <c r="B627" s="3" t="s">
        <v>10675</v>
      </c>
      <c r="C627" s="3" t="s">
        <v>10659</v>
      </c>
      <c r="D627" s="3" t="str">
        <f t="shared" si="151"/>
        <v>SWHC049-03 SEER Rated AC/HP_MFm</v>
      </c>
      <c r="F627" s="3" t="s">
        <v>306</v>
      </c>
      <c r="G627" s="3" t="str">
        <f t="shared" si="152"/>
        <v>RE-HV-HP-Splt-lt45-S17p0H9p4</v>
      </c>
      <c r="H627" s="3" t="s">
        <v>301</v>
      </c>
      <c r="I627" s="3" t="s">
        <v>302</v>
      </c>
      <c r="J627" s="3" t="s">
        <v>307</v>
      </c>
      <c r="K627" s="32" t="s">
        <v>265</v>
      </c>
      <c r="L627" s="32" t="s">
        <v>304</v>
      </c>
      <c r="M627" s="32" t="s">
        <v>272</v>
      </c>
      <c r="N627" s="3" t="str">
        <f t="shared" si="155"/>
        <v>MFm&amp;0&amp;rDXHP&amp;Ex&amp;dxHP_equip</v>
      </c>
      <c r="O627" s="3" t="s">
        <v>63</v>
      </c>
      <c r="P627" s="3">
        <v>0</v>
      </c>
      <c r="Q627" s="3" t="s">
        <v>57</v>
      </c>
      <c r="R627" s="3" t="s">
        <v>52</v>
      </c>
      <c r="S627" s="3" t="str">
        <f t="shared" si="154"/>
        <v>No</v>
      </c>
      <c r="T627" s="3" t="str">
        <f t="shared" si="150"/>
        <v>dxHP_equip</v>
      </c>
      <c r="U627" s="3" t="str">
        <f t="shared" si="153"/>
        <v>dxHP_equip</v>
      </c>
      <c r="V627" s="3" t="s">
        <v>105</v>
      </c>
      <c r="W627" s="3" t="s">
        <v>106</v>
      </c>
      <c r="X627" s="3" t="s">
        <v>105</v>
      </c>
      <c r="Y627" s="3" t="s">
        <v>106</v>
      </c>
      <c r="Z627" s="3" t="s">
        <v>305</v>
      </c>
      <c r="AA627" s="3" t="s">
        <v>55</v>
      </c>
      <c r="AB627" s="3" t="s">
        <v>56</v>
      </c>
      <c r="AC627" s="3" t="s">
        <v>215</v>
      </c>
    </row>
    <row r="628" spans="1:29" s="3" customFormat="1" x14ac:dyDescent="0.25">
      <c r="A628" s="3" t="s">
        <v>0</v>
      </c>
      <c r="B628" s="3" t="s">
        <v>10675</v>
      </c>
      <c r="C628" s="3" t="s">
        <v>10659</v>
      </c>
      <c r="D628" s="3" t="str">
        <f t="shared" si="151"/>
        <v>SWHC049-03 SEER Rated AC/HP_SFm</v>
      </c>
      <c r="F628" s="3" t="s">
        <v>306</v>
      </c>
      <c r="G628" s="3" t="str">
        <f t="shared" si="152"/>
        <v>RE-HV-HP-Splt-lt45-S17p0H9p4</v>
      </c>
      <c r="H628" s="3" t="s">
        <v>301</v>
      </c>
      <c r="I628" s="3" t="s">
        <v>302</v>
      </c>
      <c r="J628" s="3" t="s">
        <v>307</v>
      </c>
      <c r="K628" s="32" t="s">
        <v>265</v>
      </c>
      <c r="L628" s="32" t="s">
        <v>304</v>
      </c>
      <c r="M628" s="32" t="s">
        <v>272</v>
      </c>
      <c r="N628" s="3" t="str">
        <f t="shared" si="155"/>
        <v>SFm&amp;1&amp;rDXHP&amp;New&amp;dxHP_equip</v>
      </c>
      <c r="O628" s="3" t="s">
        <v>50</v>
      </c>
      <c r="P628" s="3">
        <v>1</v>
      </c>
      <c r="Q628" s="3" t="s">
        <v>57</v>
      </c>
      <c r="R628" s="3" t="s">
        <v>107</v>
      </c>
      <c r="S628" s="3" t="str">
        <f t="shared" si="154"/>
        <v>No</v>
      </c>
      <c r="T628" s="3" t="str">
        <f t="shared" si="150"/>
        <v>dxHP_equip</v>
      </c>
      <c r="U628" s="3" t="str">
        <f t="shared" si="153"/>
        <v>dxHP_equip</v>
      </c>
      <c r="V628" s="3" t="s">
        <v>105</v>
      </c>
      <c r="W628" s="3" t="s">
        <v>106</v>
      </c>
      <c r="X628" s="3" t="s">
        <v>105</v>
      </c>
      <c r="Y628" s="3" t="s">
        <v>106</v>
      </c>
      <c r="Z628" s="3" t="s">
        <v>305</v>
      </c>
      <c r="AA628" s="3" t="s">
        <v>55</v>
      </c>
      <c r="AB628" s="3" t="s">
        <v>56</v>
      </c>
      <c r="AC628" s="3" t="s">
        <v>215</v>
      </c>
    </row>
    <row r="629" spans="1:29" s="3" customFormat="1" x14ac:dyDescent="0.25">
      <c r="A629" s="3" t="s">
        <v>0</v>
      </c>
      <c r="B629" s="3" t="s">
        <v>10675</v>
      </c>
      <c r="C629" s="3" t="s">
        <v>10659</v>
      </c>
      <c r="D629" s="3" t="str">
        <f t="shared" si="151"/>
        <v>SWHC049-03 SEER Rated AC/HP_SFm</v>
      </c>
      <c r="F629" s="3" t="s">
        <v>306</v>
      </c>
      <c r="G629" s="3" t="str">
        <f t="shared" si="152"/>
        <v>RE-HV-HP-Splt-lt45-S17p0H9p4</v>
      </c>
      <c r="H629" s="3" t="s">
        <v>301</v>
      </c>
      <c r="I629" s="3" t="s">
        <v>302</v>
      </c>
      <c r="J629" s="3" t="s">
        <v>307</v>
      </c>
      <c r="K629" s="32" t="s">
        <v>265</v>
      </c>
      <c r="L629" s="32" t="s">
        <v>304</v>
      </c>
      <c r="M629" s="32" t="s">
        <v>272</v>
      </c>
      <c r="N629" s="3" t="str">
        <f t="shared" si="155"/>
        <v>SFm&amp;2&amp;rDXHP&amp;New&amp;dxHP_equip</v>
      </c>
      <c r="O629" s="3" t="s">
        <v>50</v>
      </c>
      <c r="P629" s="3">
        <v>2</v>
      </c>
      <c r="Q629" s="3" t="s">
        <v>57</v>
      </c>
      <c r="R629" s="3" t="s">
        <v>107</v>
      </c>
      <c r="S629" s="3" t="str">
        <f t="shared" si="154"/>
        <v>No</v>
      </c>
      <c r="T629" s="3" t="str">
        <f t="shared" si="150"/>
        <v>dxHP_equip</v>
      </c>
      <c r="U629" s="3" t="str">
        <f t="shared" si="153"/>
        <v>dxHP_equip</v>
      </c>
      <c r="V629" s="3" t="s">
        <v>105</v>
      </c>
      <c r="W629" s="3" t="s">
        <v>106</v>
      </c>
      <c r="X629" s="3" t="s">
        <v>105</v>
      </c>
      <c r="Y629" s="3" t="s">
        <v>106</v>
      </c>
      <c r="Z629" s="3" t="s">
        <v>305</v>
      </c>
      <c r="AA629" s="3" t="s">
        <v>55</v>
      </c>
      <c r="AB629" s="3" t="s">
        <v>56</v>
      </c>
      <c r="AC629" s="3" t="s">
        <v>215</v>
      </c>
    </row>
    <row r="630" spans="1:29" s="3" customFormat="1" x14ac:dyDescent="0.25">
      <c r="A630" s="3" t="s">
        <v>0</v>
      </c>
      <c r="B630" s="3" t="s">
        <v>10675</v>
      </c>
      <c r="C630" s="3" t="s">
        <v>10659</v>
      </c>
      <c r="D630" s="3" t="str">
        <f t="shared" si="151"/>
        <v>SWHC049-03 SEER Rated AC/HP_DMo</v>
      </c>
      <c r="F630" s="3" t="s">
        <v>306</v>
      </c>
      <c r="G630" s="3" t="str">
        <f t="shared" si="152"/>
        <v>RE-HV-HP-Splt-lt45-S17p0H9p4</v>
      </c>
      <c r="H630" s="3" t="s">
        <v>301</v>
      </c>
      <c r="I630" s="3" t="s">
        <v>302</v>
      </c>
      <c r="J630" s="3" t="s">
        <v>307</v>
      </c>
      <c r="K630" s="32" t="s">
        <v>265</v>
      </c>
      <c r="L630" s="32" t="s">
        <v>304</v>
      </c>
      <c r="M630" s="32" t="s">
        <v>272</v>
      </c>
      <c r="N630" s="3" t="str">
        <f t="shared" si="155"/>
        <v>DMo&amp;0&amp;rDXHP&amp;New&amp;dxHP_equip</v>
      </c>
      <c r="O630" s="3" t="s">
        <v>62</v>
      </c>
      <c r="P630" s="3">
        <v>0</v>
      </c>
      <c r="Q630" s="3" t="s">
        <v>57</v>
      </c>
      <c r="R630" s="3" t="s">
        <v>107</v>
      </c>
      <c r="S630" s="3" t="str">
        <f t="shared" si="154"/>
        <v>No</v>
      </c>
      <c r="T630" s="3" t="str">
        <f t="shared" si="150"/>
        <v>dxHP_equip</v>
      </c>
      <c r="U630" s="3" t="str">
        <f t="shared" si="153"/>
        <v>dxHP_equip</v>
      </c>
      <c r="V630" s="3" t="s">
        <v>105</v>
      </c>
      <c r="W630" s="3" t="s">
        <v>106</v>
      </c>
      <c r="X630" s="3" t="s">
        <v>105</v>
      </c>
      <c r="Y630" s="3" t="s">
        <v>106</v>
      </c>
      <c r="Z630" s="3" t="s">
        <v>305</v>
      </c>
      <c r="AA630" s="3" t="s">
        <v>55</v>
      </c>
      <c r="AB630" s="3" t="s">
        <v>56</v>
      </c>
      <c r="AC630" s="3" t="s">
        <v>215</v>
      </c>
    </row>
    <row r="631" spans="1:29" s="3" customFormat="1" x14ac:dyDescent="0.25">
      <c r="A631" s="3" t="s">
        <v>0</v>
      </c>
      <c r="B631" s="3" t="s">
        <v>10675</v>
      </c>
      <c r="C631" s="3" t="s">
        <v>10659</v>
      </c>
      <c r="D631" s="3" t="str">
        <f t="shared" si="151"/>
        <v>SWHC049-03 SEER Rated AC/HP_MFm</v>
      </c>
      <c r="F631" s="3" t="s">
        <v>306</v>
      </c>
      <c r="G631" s="3" t="str">
        <f t="shared" si="152"/>
        <v>RE-HV-HP-Splt-lt45-S17p0H9p4</v>
      </c>
      <c r="H631" s="3" t="s">
        <v>301</v>
      </c>
      <c r="I631" s="3" t="s">
        <v>302</v>
      </c>
      <c r="J631" s="3" t="s">
        <v>307</v>
      </c>
      <c r="K631" s="32" t="s">
        <v>265</v>
      </c>
      <c r="L631" s="32" t="s">
        <v>304</v>
      </c>
      <c r="M631" s="32" t="s">
        <v>272</v>
      </c>
      <c r="N631" s="3" t="str">
        <f t="shared" si="155"/>
        <v>MFm&amp;0&amp;rDXHP&amp;New&amp;dxHP_equip</v>
      </c>
      <c r="O631" s="3" t="s">
        <v>63</v>
      </c>
      <c r="P631" s="3">
        <v>0</v>
      </c>
      <c r="Q631" s="3" t="s">
        <v>57</v>
      </c>
      <c r="R631" s="3" t="s">
        <v>107</v>
      </c>
      <c r="S631" s="3" t="str">
        <f t="shared" si="154"/>
        <v>No</v>
      </c>
      <c r="T631" s="3" t="str">
        <f t="shared" si="150"/>
        <v>dxHP_equip</v>
      </c>
      <c r="U631" s="3" t="str">
        <f t="shared" si="153"/>
        <v>dxHP_equip</v>
      </c>
      <c r="V631" s="3" t="s">
        <v>105</v>
      </c>
      <c r="W631" s="3" t="s">
        <v>106</v>
      </c>
      <c r="X631" s="3" t="s">
        <v>105</v>
      </c>
      <c r="Y631" s="3" t="s">
        <v>106</v>
      </c>
      <c r="Z631" s="3" t="s">
        <v>305</v>
      </c>
      <c r="AA631" s="3" t="s">
        <v>55</v>
      </c>
      <c r="AB631" s="3" t="s">
        <v>56</v>
      </c>
      <c r="AC631" s="3" t="s">
        <v>215</v>
      </c>
    </row>
    <row r="632" spans="1:29" s="3" customFormat="1" x14ac:dyDescent="0.25">
      <c r="A632" s="3" t="s">
        <v>0</v>
      </c>
      <c r="B632" s="3" t="s">
        <v>10675</v>
      </c>
      <c r="C632" s="3" t="s">
        <v>10659</v>
      </c>
      <c r="D632" s="3" t="str">
        <f t="shared" si="151"/>
        <v>SWHC049-03 SEER Rated AC/HP_SFm</v>
      </c>
      <c r="F632" s="3" t="s">
        <v>308</v>
      </c>
      <c r="G632" s="3" t="str">
        <f t="shared" si="152"/>
        <v>RE-HV-HP-Splt-lt45-S18p0H9p5</v>
      </c>
      <c r="H632" s="3" t="s">
        <v>301</v>
      </c>
      <c r="I632" s="3" t="s">
        <v>302</v>
      </c>
      <c r="J632" s="3" t="s">
        <v>309</v>
      </c>
      <c r="K632" s="32" t="s">
        <v>265</v>
      </c>
      <c r="L632" s="32" t="s">
        <v>304</v>
      </c>
      <c r="M632" s="32" t="s">
        <v>275</v>
      </c>
      <c r="N632" s="3" t="str">
        <f t="shared" si="155"/>
        <v>SFm&amp;1&amp;rDXHP&amp;Ex&amp;dxHP_equip</v>
      </c>
      <c r="O632" s="3" t="s">
        <v>50</v>
      </c>
      <c r="P632" s="3">
        <v>1</v>
      </c>
      <c r="Q632" s="3" t="s">
        <v>57</v>
      </c>
      <c r="R632" s="3" t="s">
        <v>52</v>
      </c>
      <c r="S632" s="3" t="str">
        <f t="shared" si="154"/>
        <v>No</v>
      </c>
      <c r="T632" s="3" t="str">
        <f t="shared" si="150"/>
        <v>dxHP_equip</v>
      </c>
      <c r="U632" s="3" t="str">
        <f t="shared" si="153"/>
        <v>dxHP_equip</v>
      </c>
      <c r="V632" s="3" t="s">
        <v>105</v>
      </c>
      <c r="W632" s="3" t="s">
        <v>106</v>
      </c>
      <c r="X632" s="3" t="s">
        <v>105</v>
      </c>
      <c r="Y632" s="3" t="s">
        <v>106</v>
      </c>
      <c r="Z632" s="3" t="s">
        <v>305</v>
      </c>
      <c r="AA632" s="3" t="s">
        <v>55</v>
      </c>
      <c r="AB632" s="3" t="s">
        <v>56</v>
      </c>
      <c r="AC632" s="3" t="s">
        <v>215</v>
      </c>
    </row>
    <row r="633" spans="1:29" s="3" customFormat="1" x14ac:dyDescent="0.25">
      <c r="A633" s="3" t="s">
        <v>0</v>
      </c>
      <c r="B633" s="3" t="s">
        <v>10675</v>
      </c>
      <c r="C633" s="3" t="s">
        <v>10659</v>
      </c>
      <c r="D633" s="3" t="str">
        <f t="shared" si="151"/>
        <v>SWHC049-03 SEER Rated AC/HP_SFm</v>
      </c>
      <c r="F633" s="3" t="s">
        <v>308</v>
      </c>
      <c r="G633" s="3" t="str">
        <f t="shared" si="152"/>
        <v>RE-HV-HP-Splt-lt45-S18p0H9p5</v>
      </c>
      <c r="H633" s="3" t="s">
        <v>301</v>
      </c>
      <c r="I633" s="3" t="s">
        <v>302</v>
      </c>
      <c r="J633" s="3" t="s">
        <v>309</v>
      </c>
      <c r="K633" s="32" t="s">
        <v>265</v>
      </c>
      <c r="L633" s="32" t="s">
        <v>304</v>
      </c>
      <c r="M633" s="32" t="s">
        <v>275</v>
      </c>
      <c r="N633" s="3" t="str">
        <f t="shared" si="155"/>
        <v>SFm&amp;2&amp;rDXHP&amp;Ex&amp;dxHP_equip</v>
      </c>
      <c r="O633" s="3" t="s">
        <v>50</v>
      </c>
      <c r="P633" s="3">
        <v>2</v>
      </c>
      <c r="Q633" s="3" t="s">
        <v>57</v>
      </c>
      <c r="R633" s="3" t="s">
        <v>52</v>
      </c>
      <c r="S633" s="3" t="str">
        <f t="shared" si="154"/>
        <v>No</v>
      </c>
      <c r="T633" s="3" t="str">
        <f t="shared" ref="T633:T663" si="156">V633</f>
        <v>dxHP_equip</v>
      </c>
      <c r="U633" s="3" t="str">
        <f t="shared" si="153"/>
        <v>dxHP_equip</v>
      </c>
      <c r="V633" s="3" t="s">
        <v>105</v>
      </c>
      <c r="W633" s="3" t="s">
        <v>106</v>
      </c>
      <c r="X633" s="3" t="s">
        <v>105</v>
      </c>
      <c r="Y633" s="3" t="s">
        <v>106</v>
      </c>
      <c r="Z633" s="3" t="s">
        <v>305</v>
      </c>
      <c r="AA633" s="3" t="s">
        <v>55</v>
      </c>
      <c r="AB633" s="3" t="s">
        <v>56</v>
      </c>
      <c r="AC633" s="3" t="s">
        <v>215</v>
      </c>
    </row>
    <row r="634" spans="1:29" s="3" customFormat="1" x14ac:dyDescent="0.25">
      <c r="A634" s="3" t="s">
        <v>0</v>
      </c>
      <c r="B634" s="3" t="s">
        <v>10675</v>
      </c>
      <c r="C634" s="3" t="s">
        <v>10659</v>
      </c>
      <c r="D634" s="3" t="str">
        <f t="shared" si="151"/>
        <v>SWHC049-03 SEER Rated AC/HP_DMo</v>
      </c>
      <c r="F634" s="3" t="s">
        <v>308</v>
      </c>
      <c r="G634" s="3" t="str">
        <f t="shared" si="152"/>
        <v>RE-HV-HP-Splt-lt45-S18p0H9p5</v>
      </c>
      <c r="H634" s="3" t="s">
        <v>301</v>
      </c>
      <c r="I634" s="3" t="s">
        <v>302</v>
      </c>
      <c r="J634" s="3" t="s">
        <v>309</v>
      </c>
      <c r="K634" s="32" t="s">
        <v>265</v>
      </c>
      <c r="L634" s="32" t="s">
        <v>304</v>
      </c>
      <c r="M634" s="32" t="s">
        <v>275</v>
      </c>
      <c r="N634" s="3" t="str">
        <f t="shared" si="155"/>
        <v>DMo&amp;0&amp;rDXHP&amp;Ex&amp;dxHP_equip</v>
      </c>
      <c r="O634" s="3" t="s">
        <v>62</v>
      </c>
      <c r="P634" s="3">
        <v>0</v>
      </c>
      <c r="Q634" s="3" t="s">
        <v>57</v>
      </c>
      <c r="R634" s="3" t="s">
        <v>52</v>
      </c>
      <c r="S634" s="3" t="str">
        <f t="shared" si="154"/>
        <v>No</v>
      </c>
      <c r="T634" s="3" t="str">
        <f t="shared" si="156"/>
        <v>dxHP_equip</v>
      </c>
      <c r="U634" s="3" t="str">
        <f t="shared" si="153"/>
        <v>dxHP_equip</v>
      </c>
      <c r="V634" s="3" t="s">
        <v>105</v>
      </c>
      <c r="W634" s="3" t="s">
        <v>106</v>
      </c>
      <c r="X634" s="3" t="s">
        <v>105</v>
      </c>
      <c r="Y634" s="3" t="s">
        <v>106</v>
      </c>
      <c r="Z634" s="3" t="s">
        <v>305</v>
      </c>
      <c r="AA634" s="3" t="s">
        <v>55</v>
      </c>
      <c r="AB634" s="3" t="s">
        <v>56</v>
      </c>
      <c r="AC634" s="3" t="s">
        <v>215</v>
      </c>
    </row>
    <row r="635" spans="1:29" s="3" customFormat="1" x14ac:dyDescent="0.25">
      <c r="A635" s="3" t="s">
        <v>0</v>
      </c>
      <c r="B635" s="3" t="s">
        <v>10675</v>
      </c>
      <c r="C635" s="3" t="s">
        <v>10659</v>
      </c>
      <c r="D635" s="3" t="str">
        <f t="shared" si="151"/>
        <v>SWHC049-03 SEER Rated AC/HP_MFm</v>
      </c>
      <c r="F635" s="3" t="s">
        <v>308</v>
      </c>
      <c r="G635" s="3" t="str">
        <f t="shared" si="152"/>
        <v>RE-HV-HP-Splt-lt45-S18p0H9p5</v>
      </c>
      <c r="H635" s="3" t="s">
        <v>301</v>
      </c>
      <c r="I635" s="3" t="s">
        <v>302</v>
      </c>
      <c r="J635" s="3" t="s">
        <v>309</v>
      </c>
      <c r="K635" s="32" t="s">
        <v>265</v>
      </c>
      <c r="L635" s="32" t="s">
        <v>304</v>
      </c>
      <c r="M635" s="32" t="s">
        <v>275</v>
      </c>
      <c r="N635" s="3" t="str">
        <f t="shared" si="155"/>
        <v>MFm&amp;0&amp;rDXHP&amp;Ex&amp;dxHP_equip</v>
      </c>
      <c r="O635" s="3" t="s">
        <v>63</v>
      </c>
      <c r="P635" s="3">
        <v>0</v>
      </c>
      <c r="Q635" s="3" t="s">
        <v>57</v>
      </c>
      <c r="R635" s="3" t="s">
        <v>52</v>
      </c>
      <c r="S635" s="3" t="str">
        <f t="shared" si="154"/>
        <v>No</v>
      </c>
      <c r="T635" s="3" t="str">
        <f t="shared" si="156"/>
        <v>dxHP_equip</v>
      </c>
      <c r="U635" s="3" t="str">
        <f t="shared" si="153"/>
        <v>dxHP_equip</v>
      </c>
      <c r="V635" s="3" t="s">
        <v>105</v>
      </c>
      <c r="W635" s="3" t="s">
        <v>106</v>
      </c>
      <c r="X635" s="3" t="s">
        <v>105</v>
      </c>
      <c r="Y635" s="3" t="s">
        <v>106</v>
      </c>
      <c r="Z635" s="3" t="s">
        <v>305</v>
      </c>
      <c r="AA635" s="3" t="s">
        <v>55</v>
      </c>
      <c r="AB635" s="3" t="s">
        <v>56</v>
      </c>
      <c r="AC635" s="3" t="s">
        <v>215</v>
      </c>
    </row>
    <row r="636" spans="1:29" s="3" customFormat="1" x14ac:dyDescent="0.25">
      <c r="A636" s="3" t="s">
        <v>0</v>
      </c>
      <c r="B636" s="3" t="s">
        <v>10675</v>
      </c>
      <c r="C636" s="3" t="s">
        <v>10659</v>
      </c>
      <c r="D636" s="3" t="str">
        <f t="shared" si="151"/>
        <v>SWHC049-03 SEER Rated AC/HP_SFm</v>
      </c>
      <c r="F636" s="3" t="s">
        <v>308</v>
      </c>
      <c r="G636" s="3" t="str">
        <f t="shared" si="152"/>
        <v>RE-HV-HP-Splt-lt45-S18p0H9p5</v>
      </c>
      <c r="H636" s="3" t="s">
        <v>301</v>
      </c>
      <c r="I636" s="3" t="s">
        <v>302</v>
      </c>
      <c r="J636" s="3" t="s">
        <v>309</v>
      </c>
      <c r="K636" s="32" t="s">
        <v>265</v>
      </c>
      <c r="L636" s="32" t="s">
        <v>304</v>
      </c>
      <c r="M636" s="32" t="s">
        <v>275</v>
      </c>
      <c r="N636" s="3" t="str">
        <f t="shared" si="155"/>
        <v>SFm&amp;1&amp;rDXHP&amp;New&amp;dxHP_equip</v>
      </c>
      <c r="O636" s="3" t="s">
        <v>50</v>
      </c>
      <c r="P636" s="3">
        <v>1</v>
      </c>
      <c r="Q636" s="3" t="s">
        <v>57</v>
      </c>
      <c r="R636" s="3" t="s">
        <v>107</v>
      </c>
      <c r="S636" s="3" t="str">
        <f t="shared" si="154"/>
        <v>No</v>
      </c>
      <c r="T636" s="3" t="str">
        <f t="shared" si="156"/>
        <v>dxHP_equip</v>
      </c>
      <c r="U636" s="3" t="str">
        <f t="shared" si="153"/>
        <v>dxHP_equip</v>
      </c>
      <c r="V636" s="3" t="s">
        <v>105</v>
      </c>
      <c r="W636" s="3" t="s">
        <v>106</v>
      </c>
      <c r="X636" s="3" t="s">
        <v>105</v>
      </c>
      <c r="Y636" s="3" t="s">
        <v>106</v>
      </c>
      <c r="Z636" s="3" t="s">
        <v>305</v>
      </c>
      <c r="AA636" s="3" t="s">
        <v>55</v>
      </c>
      <c r="AB636" s="3" t="s">
        <v>56</v>
      </c>
      <c r="AC636" s="3" t="s">
        <v>215</v>
      </c>
    </row>
    <row r="637" spans="1:29" s="3" customFormat="1" x14ac:dyDescent="0.25">
      <c r="A637" s="3" t="s">
        <v>0</v>
      </c>
      <c r="B637" s="3" t="s">
        <v>10675</v>
      </c>
      <c r="C637" s="3" t="s">
        <v>10659</v>
      </c>
      <c r="D637" s="3" t="str">
        <f t="shared" si="151"/>
        <v>SWHC049-03 SEER Rated AC/HP_SFm</v>
      </c>
      <c r="F637" s="3" t="s">
        <v>308</v>
      </c>
      <c r="G637" s="3" t="str">
        <f t="shared" si="152"/>
        <v>RE-HV-HP-Splt-lt45-S18p0H9p5</v>
      </c>
      <c r="H637" s="3" t="s">
        <v>301</v>
      </c>
      <c r="I637" s="3" t="s">
        <v>302</v>
      </c>
      <c r="J637" s="3" t="s">
        <v>309</v>
      </c>
      <c r="K637" s="32" t="s">
        <v>265</v>
      </c>
      <c r="L637" s="32" t="s">
        <v>304</v>
      </c>
      <c r="M637" s="32" t="s">
        <v>275</v>
      </c>
      <c r="N637" s="3" t="str">
        <f t="shared" si="155"/>
        <v>SFm&amp;2&amp;rDXHP&amp;New&amp;dxHP_equip</v>
      </c>
      <c r="O637" s="3" t="s">
        <v>50</v>
      </c>
      <c r="P637" s="3">
        <v>2</v>
      </c>
      <c r="Q637" s="3" t="s">
        <v>57</v>
      </c>
      <c r="R637" s="3" t="s">
        <v>107</v>
      </c>
      <c r="S637" s="3" t="str">
        <f t="shared" si="154"/>
        <v>No</v>
      </c>
      <c r="T637" s="3" t="str">
        <f t="shared" si="156"/>
        <v>dxHP_equip</v>
      </c>
      <c r="U637" s="3" t="str">
        <f t="shared" si="153"/>
        <v>dxHP_equip</v>
      </c>
      <c r="V637" s="3" t="s">
        <v>105</v>
      </c>
      <c r="W637" s="3" t="s">
        <v>106</v>
      </c>
      <c r="X637" s="3" t="s">
        <v>105</v>
      </c>
      <c r="Y637" s="3" t="s">
        <v>106</v>
      </c>
      <c r="Z637" s="3" t="s">
        <v>305</v>
      </c>
      <c r="AA637" s="3" t="s">
        <v>55</v>
      </c>
      <c r="AB637" s="3" t="s">
        <v>56</v>
      </c>
      <c r="AC637" s="3" t="s">
        <v>215</v>
      </c>
    </row>
    <row r="638" spans="1:29" s="3" customFormat="1" x14ac:dyDescent="0.25">
      <c r="A638" s="3" t="s">
        <v>0</v>
      </c>
      <c r="B638" s="3" t="s">
        <v>10675</v>
      </c>
      <c r="C638" s="3" t="s">
        <v>10659</v>
      </c>
      <c r="D638" s="3" t="str">
        <f t="shared" si="151"/>
        <v>SWHC049-03 SEER Rated AC/HP_DMo</v>
      </c>
      <c r="F638" s="3" t="s">
        <v>308</v>
      </c>
      <c r="G638" s="3" t="str">
        <f t="shared" si="152"/>
        <v>RE-HV-HP-Splt-lt45-S18p0H9p5</v>
      </c>
      <c r="H638" s="3" t="s">
        <v>301</v>
      </c>
      <c r="I638" s="3" t="s">
        <v>302</v>
      </c>
      <c r="J638" s="3" t="s">
        <v>309</v>
      </c>
      <c r="K638" s="32" t="s">
        <v>265</v>
      </c>
      <c r="L638" s="32" t="s">
        <v>304</v>
      </c>
      <c r="M638" s="32" t="s">
        <v>275</v>
      </c>
      <c r="N638" s="3" t="str">
        <f t="shared" si="155"/>
        <v>DMo&amp;0&amp;rDXHP&amp;New&amp;dxHP_equip</v>
      </c>
      <c r="O638" s="3" t="s">
        <v>62</v>
      </c>
      <c r="P638" s="3">
        <v>0</v>
      </c>
      <c r="Q638" s="3" t="s">
        <v>57</v>
      </c>
      <c r="R638" s="3" t="s">
        <v>107</v>
      </c>
      <c r="S638" s="3" t="str">
        <f t="shared" si="154"/>
        <v>No</v>
      </c>
      <c r="T638" s="3" t="str">
        <f t="shared" si="156"/>
        <v>dxHP_equip</v>
      </c>
      <c r="U638" s="3" t="str">
        <f t="shared" si="153"/>
        <v>dxHP_equip</v>
      </c>
      <c r="V638" s="3" t="s">
        <v>105</v>
      </c>
      <c r="W638" s="3" t="s">
        <v>106</v>
      </c>
      <c r="X638" s="3" t="s">
        <v>105</v>
      </c>
      <c r="Y638" s="3" t="s">
        <v>106</v>
      </c>
      <c r="Z638" s="3" t="s">
        <v>305</v>
      </c>
      <c r="AA638" s="3" t="s">
        <v>55</v>
      </c>
      <c r="AB638" s="3" t="s">
        <v>56</v>
      </c>
      <c r="AC638" s="3" t="s">
        <v>215</v>
      </c>
    </row>
    <row r="639" spans="1:29" s="3" customFormat="1" x14ac:dyDescent="0.25">
      <c r="A639" s="3" t="s">
        <v>0</v>
      </c>
      <c r="B639" s="3" t="s">
        <v>10675</v>
      </c>
      <c r="C639" s="3" t="s">
        <v>10659</v>
      </c>
      <c r="D639" s="3" t="str">
        <f t="shared" si="151"/>
        <v>SWHC049-03 SEER Rated AC/HP_MFm</v>
      </c>
      <c r="F639" s="3" t="s">
        <v>308</v>
      </c>
      <c r="G639" s="3" t="str">
        <f t="shared" si="152"/>
        <v>RE-HV-HP-Splt-lt45-S18p0H9p5</v>
      </c>
      <c r="H639" s="3" t="s">
        <v>301</v>
      </c>
      <c r="I639" s="3" t="s">
        <v>302</v>
      </c>
      <c r="J639" s="3" t="s">
        <v>309</v>
      </c>
      <c r="K639" s="32" t="s">
        <v>265</v>
      </c>
      <c r="L639" s="32" t="s">
        <v>304</v>
      </c>
      <c r="M639" s="32" t="s">
        <v>275</v>
      </c>
      <c r="N639" s="3" t="str">
        <f t="shared" si="155"/>
        <v>MFm&amp;0&amp;rDXHP&amp;New&amp;dxHP_equip</v>
      </c>
      <c r="O639" s="3" t="s">
        <v>63</v>
      </c>
      <c r="P639" s="3">
        <v>0</v>
      </c>
      <c r="Q639" s="3" t="s">
        <v>57</v>
      </c>
      <c r="R639" s="3" t="s">
        <v>107</v>
      </c>
      <c r="S639" s="3" t="str">
        <f t="shared" si="154"/>
        <v>No</v>
      </c>
      <c r="T639" s="3" t="str">
        <f t="shared" si="156"/>
        <v>dxHP_equip</v>
      </c>
      <c r="U639" s="3" t="str">
        <f t="shared" si="153"/>
        <v>dxHP_equip</v>
      </c>
      <c r="V639" s="3" t="s">
        <v>105</v>
      </c>
      <c r="W639" s="3" t="s">
        <v>106</v>
      </c>
      <c r="X639" s="3" t="s">
        <v>105</v>
      </c>
      <c r="Y639" s="3" t="s">
        <v>106</v>
      </c>
      <c r="Z639" s="3" t="s">
        <v>305</v>
      </c>
      <c r="AA639" s="3" t="s">
        <v>55</v>
      </c>
      <c r="AB639" s="3" t="s">
        <v>56</v>
      </c>
      <c r="AC639" s="3" t="s">
        <v>215</v>
      </c>
    </row>
    <row r="640" spans="1:29" s="3" customFormat="1" x14ac:dyDescent="0.25">
      <c r="A640" s="3" t="s">
        <v>0</v>
      </c>
      <c r="B640" s="3" t="s">
        <v>10675</v>
      </c>
      <c r="C640" s="3" t="s">
        <v>10659</v>
      </c>
      <c r="D640" s="3" t="str">
        <f t="shared" si="151"/>
        <v>SWHC049-03 SEER Rated AC/HP_SFm</v>
      </c>
      <c r="F640" s="3" t="s">
        <v>310</v>
      </c>
      <c r="G640" s="3" t="str">
        <f t="shared" si="152"/>
        <v>RE-HV-HP-Splt-lt45-S19p0H9p5</v>
      </c>
      <c r="H640" s="3" t="s">
        <v>301</v>
      </c>
      <c r="I640" s="3" t="s">
        <v>302</v>
      </c>
      <c r="J640" s="3" t="s">
        <v>311</v>
      </c>
      <c r="K640" s="32" t="s">
        <v>265</v>
      </c>
      <c r="L640" s="32" t="s">
        <v>304</v>
      </c>
      <c r="M640" s="32" t="s">
        <v>278</v>
      </c>
      <c r="N640" s="3" t="str">
        <f t="shared" si="155"/>
        <v>SFm&amp;1&amp;rDXHP&amp;Ex&amp;dxHP_equip</v>
      </c>
      <c r="O640" s="3" t="s">
        <v>50</v>
      </c>
      <c r="P640" s="3">
        <v>1</v>
      </c>
      <c r="Q640" s="3" t="s">
        <v>57</v>
      </c>
      <c r="R640" s="3" t="s">
        <v>52</v>
      </c>
      <c r="S640" s="3" t="str">
        <f t="shared" si="154"/>
        <v>No</v>
      </c>
      <c r="T640" s="3" t="str">
        <f t="shared" si="156"/>
        <v>dxHP_equip</v>
      </c>
      <c r="U640" s="3" t="str">
        <f t="shared" si="153"/>
        <v>dxHP_equip</v>
      </c>
      <c r="V640" s="3" t="s">
        <v>105</v>
      </c>
      <c r="W640" s="3" t="s">
        <v>106</v>
      </c>
      <c r="X640" s="3" t="s">
        <v>105</v>
      </c>
      <c r="Y640" s="3" t="s">
        <v>106</v>
      </c>
      <c r="Z640" s="3" t="s">
        <v>305</v>
      </c>
      <c r="AA640" s="3" t="s">
        <v>55</v>
      </c>
      <c r="AB640" s="3" t="s">
        <v>56</v>
      </c>
      <c r="AC640" s="3" t="s">
        <v>215</v>
      </c>
    </row>
    <row r="641" spans="1:29" s="3" customFormat="1" x14ac:dyDescent="0.25">
      <c r="A641" s="3" t="s">
        <v>0</v>
      </c>
      <c r="B641" s="3" t="s">
        <v>10675</v>
      </c>
      <c r="C641" s="3" t="s">
        <v>10659</v>
      </c>
      <c r="D641" s="3" t="str">
        <f t="shared" si="151"/>
        <v>SWHC049-03 SEER Rated AC/HP_SFm</v>
      </c>
      <c r="F641" s="3" t="s">
        <v>310</v>
      </c>
      <c r="G641" s="3" t="str">
        <f t="shared" si="152"/>
        <v>RE-HV-HP-Splt-lt45-S19p0H9p5</v>
      </c>
      <c r="H641" s="3" t="s">
        <v>301</v>
      </c>
      <c r="I641" s="3" t="s">
        <v>302</v>
      </c>
      <c r="J641" s="3" t="s">
        <v>311</v>
      </c>
      <c r="K641" s="32" t="s">
        <v>265</v>
      </c>
      <c r="L641" s="32" t="s">
        <v>304</v>
      </c>
      <c r="M641" s="32" t="s">
        <v>278</v>
      </c>
      <c r="N641" s="3" t="str">
        <f t="shared" si="155"/>
        <v>SFm&amp;2&amp;rDXHP&amp;Ex&amp;dxHP_equip</v>
      </c>
      <c r="O641" s="3" t="s">
        <v>50</v>
      </c>
      <c r="P641" s="3">
        <v>2</v>
      </c>
      <c r="Q641" s="3" t="s">
        <v>57</v>
      </c>
      <c r="R641" s="3" t="s">
        <v>52</v>
      </c>
      <c r="S641" s="3" t="str">
        <f t="shared" si="154"/>
        <v>No</v>
      </c>
      <c r="T641" s="3" t="str">
        <f t="shared" si="156"/>
        <v>dxHP_equip</v>
      </c>
      <c r="U641" s="3" t="str">
        <f t="shared" si="153"/>
        <v>dxHP_equip</v>
      </c>
      <c r="V641" s="3" t="s">
        <v>105</v>
      </c>
      <c r="W641" s="3" t="s">
        <v>106</v>
      </c>
      <c r="X641" s="3" t="s">
        <v>105</v>
      </c>
      <c r="Y641" s="3" t="s">
        <v>106</v>
      </c>
      <c r="Z641" s="3" t="s">
        <v>305</v>
      </c>
      <c r="AA641" s="3" t="s">
        <v>55</v>
      </c>
      <c r="AB641" s="3" t="s">
        <v>56</v>
      </c>
      <c r="AC641" s="3" t="s">
        <v>215</v>
      </c>
    </row>
    <row r="642" spans="1:29" s="3" customFormat="1" x14ac:dyDescent="0.25">
      <c r="A642" s="3" t="s">
        <v>0</v>
      </c>
      <c r="B642" s="3" t="s">
        <v>10675</v>
      </c>
      <c r="C642" s="3" t="s">
        <v>10659</v>
      </c>
      <c r="D642" s="3" t="str">
        <f t="shared" si="151"/>
        <v>SWHC049-03 SEER Rated AC/HP_DMo</v>
      </c>
      <c r="F642" s="3" t="s">
        <v>310</v>
      </c>
      <c r="G642" s="3" t="str">
        <f t="shared" si="152"/>
        <v>RE-HV-HP-Splt-lt45-S19p0H9p5</v>
      </c>
      <c r="H642" s="3" t="s">
        <v>301</v>
      </c>
      <c r="I642" s="3" t="s">
        <v>302</v>
      </c>
      <c r="J642" s="3" t="s">
        <v>311</v>
      </c>
      <c r="K642" s="32" t="s">
        <v>265</v>
      </c>
      <c r="L642" s="32" t="s">
        <v>304</v>
      </c>
      <c r="M642" s="32" t="s">
        <v>278</v>
      </c>
      <c r="N642" s="3" t="str">
        <f t="shared" si="155"/>
        <v>DMo&amp;0&amp;rDXHP&amp;Ex&amp;dxHP_equip</v>
      </c>
      <c r="O642" s="3" t="s">
        <v>62</v>
      </c>
      <c r="P642" s="3">
        <v>0</v>
      </c>
      <c r="Q642" s="3" t="s">
        <v>57</v>
      </c>
      <c r="R642" s="3" t="s">
        <v>52</v>
      </c>
      <c r="S642" s="3" t="str">
        <f t="shared" si="154"/>
        <v>No</v>
      </c>
      <c r="T642" s="3" t="str">
        <f t="shared" si="156"/>
        <v>dxHP_equip</v>
      </c>
      <c r="U642" s="3" t="str">
        <f t="shared" si="153"/>
        <v>dxHP_equip</v>
      </c>
      <c r="V642" s="3" t="s">
        <v>105</v>
      </c>
      <c r="W642" s="3" t="s">
        <v>106</v>
      </c>
      <c r="X642" s="3" t="s">
        <v>105</v>
      </c>
      <c r="Y642" s="3" t="s">
        <v>106</v>
      </c>
      <c r="Z642" s="3" t="s">
        <v>305</v>
      </c>
      <c r="AA642" s="3" t="s">
        <v>55</v>
      </c>
      <c r="AB642" s="3" t="s">
        <v>56</v>
      </c>
      <c r="AC642" s="3" t="s">
        <v>215</v>
      </c>
    </row>
    <row r="643" spans="1:29" s="3" customFormat="1" x14ac:dyDescent="0.25">
      <c r="A643" s="3" t="s">
        <v>0</v>
      </c>
      <c r="B643" s="3" t="s">
        <v>10675</v>
      </c>
      <c r="C643" s="3" t="s">
        <v>10659</v>
      </c>
      <c r="D643" s="3" t="str">
        <f t="shared" si="151"/>
        <v>SWHC049-03 SEER Rated AC/HP_MFm</v>
      </c>
      <c r="F643" s="3" t="s">
        <v>310</v>
      </c>
      <c r="G643" s="3" t="str">
        <f t="shared" si="152"/>
        <v>RE-HV-HP-Splt-lt45-S19p0H9p5</v>
      </c>
      <c r="H643" s="3" t="s">
        <v>301</v>
      </c>
      <c r="I643" s="3" t="s">
        <v>302</v>
      </c>
      <c r="J643" s="3" t="s">
        <v>311</v>
      </c>
      <c r="K643" s="32" t="s">
        <v>265</v>
      </c>
      <c r="L643" s="32" t="s">
        <v>304</v>
      </c>
      <c r="M643" s="32" t="s">
        <v>278</v>
      </c>
      <c r="N643" s="3" t="str">
        <f t="shared" si="155"/>
        <v>MFm&amp;0&amp;rDXHP&amp;Ex&amp;dxHP_equip</v>
      </c>
      <c r="O643" s="3" t="s">
        <v>63</v>
      </c>
      <c r="P643" s="3">
        <v>0</v>
      </c>
      <c r="Q643" s="3" t="s">
        <v>57</v>
      </c>
      <c r="R643" s="3" t="s">
        <v>52</v>
      </c>
      <c r="S643" s="3" t="str">
        <f t="shared" si="154"/>
        <v>No</v>
      </c>
      <c r="T643" s="3" t="str">
        <f t="shared" si="156"/>
        <v>dxHP_equip</v>
      </c>
      <c r="U643" s="3" t="str">
        <f t="shared" si="153"/>
        <v>dxHP_equip</v>
      </c>
      <c r="V643" s="3" t="s">
        <v>105</v>
      </c>
      <c r="W643" s="3" t="s">
        <v>106</v>
      </c>
      <c r="X643" s="3" t="s">
        <v>105</v>
      </c>
      <c r="Y643" s="3" t="s">
        <v>106</v>
      </c>
      <c r="Z643" s="3" t="s">
        <v>305</v>
      </c>
      <c r="AA643" s="3" t="s">
        <v>55</v>
      </c>
      <c r="AB643" s="3" t="s">
        <v>56</v>
      </c>
      <c r="AC643" s="3" t="s">
        <v>215</v>
      </c>
    </row>
    <row r="644" spans="1:29" s="3" customFormat="1" x14ac:dyDescent="0.25">
      <c r="A644" s="3" t="s">
        <v>0</v>
      </c>
      <c r="B644" s="3" t="s">
        <v>10675</v>
      </c>
      <c r="C644" s="3" t="s">
        <v>10659</v>
      </c>
      <c r="D644" s="3" t="str">
        <f t="shared" si="151"/>
        <v>SWHC049-03 SEER Rated AC/HP_SFm</v>
      </c>
      <c r="F644" s="3" t="s">
        <v>310</v>
      </c>
      <c r="G644" s="3" t="str">
        <f t="shared" si="152"/>
        <v>RE-HV-HP-Splt-lt45-S19p0H9p5</v>
      </c>
      <c r="H644" s="3" t="s">
        <v>301</v>
      </c>
      <c r="I644" s="3" t="s">
        <v>302</v>
      </c>
      <c r="J644" s="3" t="s">
        <v>311</v>
      </c>
      <c r="K644" s="32" t="s">
        <v>265</v>
      </c>
      <c r="L644" s="32" t="s">
        <v>304</v>
      </c>
      <c r="M644" s="32" t="s">
        <v>278</v>
      </c>
      <c r="N644" s="3" t="str">
        <f t="shared" si="155"/>
        <v>SFm&amp;1&amp;rDXHP&amp;New&amp;dxHP_equip</v>
      </c>
      <c r="O644" s="3" t="s">
        <v>50</v>
      </c>
      <c r="P644" s="3">
        <v>1</v>
      </c>
      <c r="Q644" s="3" t="s">
        <v>57</v>
      </c>
      <c r="R644" s="3" t="s">
        <v>107</v>
      </c>
      <c r="S644" s="3" t="str">
        <f t="shared" si="154"/>
        <v>No</v>
      </c>
      <c r="T644" s="3" t="str">
        <f t="shared" si="156"/>
        <v>dxHP_equip</v>
      </c>
      <c r="U644" s="3" t="str">
        <f t="shared" si="153"/>
        <v>dxHP_equip</v>
      </c>
      <c r="V644" s="3" t="s">
        <v>105</v>
      </c>
      <c r="W644" s="3" t="s">
        <v>106</v>
      </c>
      <c r="X644" s="3" t="s">
        <v>105</v>
      </c>
      <c r="Y644" s="3" t="s">
        <v>106</v>
      </c>
      <c r="Z644" s="3" t="s">
        <v>305</v>
      </c>
      <c r="AA644" s="3" t="s">
        <v>55</v>
      </c>
      <c r="AB644" s="3" t="s">
        <v>56</v>
      </c>
      <c r="AC644" s="3" t="s">
        <v>215</v>
      </c>
    </row>
    <row r="645" spans="1:29" s="3" customFormat="1" x14ac:dyDescent="0.25">
      <c r="A645" s="3" t="s">
        <v>0</v>
      </c>
      <c r="B645" s="3" t="s">
        <v>10675</v>
      </c>
      <c r="C645" s="3" t="s">
        <v>10659</v>
      </c>
      <c r="D645" s="3" t="str">
        <f t="shared" si="151"/>
        <v>SWHC049-03 SEER Rated AC/HP_SFm</v>
      </c>
      <c r="F645" s="3" t="s">
        <v>310</v>
      </c>
      <c r="G645" s="3" t="str">
        <f t="shared" si="152"/>
        <v>RE-HV-HP-Splt-lt45-S19p0H9p5</v>
      </c>
      <c r="H645" s="3" t="s">
        <v>301</v>
      </c>
      <c r="I645" s="3" t="s">
        <v>302</v>
      </c>
      <c r="J645" s="3" t="s">
        <v>311</v>
      </c>
      <c r="K645" s="32" t="s">
        <v>265</v>
      </c>
      <c r="L645" s="32" t="s">
        <v>304</v>
      </c>
      <c r="M645" s="32" t="s">
        <v>278</v>
      </c>
      <c r="N645" s="3" t="str">
        <f t="shared" si="155"/>
        <v>SFm&amp;2&amp;rDXHP&amp;New&amp;dxHP_equip</v>
      </c>
      <c r="O645" s="3" t="s">
        <v>50</v>
      </c>
      <c r="P645" s="3">
        <v>2</v>
      </c>
      <c r="Q645" s="3" t="s">
        <v>57</v>
      </c>
      <c r="R645" s="3" t="s">
        <v>107</v>
      </c>
      <c r="S645" s="3" t="str">
        <f t="shared" si="154"/>
        <v>No</v>
      </c>
      <c r="T645" s="3" t="str">
        <f t="shared" si="156"/>
        <v>dxHP_equip</v>
      </c>
      <c r="U645" s="3" t="str">
        <f t="shared" si="153"/>
        <v>dxHP_equip</v>
      </c>
      <c r="V645" s="3" t="s">
        <v>105</v>
      </c>
      <c r="W645" s="3" t="s">
        <v>106</v>
      </c>
      <c r="X645" s="3" t="s">
        <v>105</v>
      </c>
      <c r="Y645" s="3" t="s">
        <v>106</v>
      </c>
      <c r="Z645" s="3" t="s">
        <v>305</v>
      </c>
      <c r="AA645" s="3" t="s">
        <v>55</v>
      </c>
      <c r="AB645" s="3" t="s">
        <v>56</v>
      </c>
      <c r="AC645" s="3" t="s">
        <v>215</v>
      </c>
    </row>
    <row r="646" spans="1:29" s="3" customFormat="1" x14ac:dyDescent="0.25">
      <c r="A646" s="3" t="s">
        <v>0</v>
      </c>
      <c r="B646" s="3" t="s">
        <v>10675</v>
      </c>
      <c r="C646" s="3" t="s">
        <v>10659</v>
      </c>
      <c r="D646" s="3" t="str">
        <f t="shared" si="151"/>
        <v>SWHC049-03 SEER Rated AC/HP_DMo</v>
      </c>
      <c r="F646" s="3" t="s">
        <v>310</v>
      </c>
      <c r="G646" s="3" t="str">
        <f t="shared" si="152"/>
        <v>RE-HV-HP-Splt-lt45-S19p0H9p5</v>
      </c>
      <c r="H646" s="3" t="s">
        <v>301</v>
      </c>
      <c r="I646" s="3" t="s">
        <v>302</v>
      </c>
      <c r="J646" s="3" t="s">
        <v>311</v>
      </c>
      <c r="K646" s="32" t="s">
        <v>265</v>
      </c>
      <c r="L646" s="32" t="s">
        <v>304</v>
      </c>
      <c r="M646" s="32" t="s">
        <v>278</v>
      </c>
      <c r="N646" s="3" t="str">
        <f t="shared" si="155"/>
        <v>DMo&amp;0&amp;rDXHP&amp;New&amp;dxHP_equip</v>
      </c>
      <c r="O646" s="3" t="s">
        <v>62</v>
      </c>
      <c r="P646" s="3">
        <v>0</v>
      </c>
      <c r="Q646" s="3" t="s">
        <v>57</v>
      </c>
      <c r="R646" s="3" t="s">
        <v>107</v>
      </c>
      <c r="S646" s="3" t="str">
        <f t="shared" si="154"/>
        <v>No</v>
      </c>
      <c r="T646" s="3" t="str">
        <f t="shared" si="156"/>
        <v>dxHP_equip</v>
      </c>
      <c r="U646" s="3" t="str">
        <f t="shared" si="153"/>
        <v>dxHP_equip</v>
      </c>
      <c r="V646" s="3" t="s">
        <v>105</v>
      </c>
      <c r="W646" s="3" t="s">
        <v>106</v>
      </c>
      <c r="X646" s="3" t="s">
        <v>105</v>
      </c>
      <c r="Y646" s="3" t="s">
        <v>106</v>
      </c>
      <c r="Z646" s="3" t="s">
        <v>305</v>
      </c>
      <c r="AA646" s="3" t="s">
        <v>55</v>
      </c>
      <c r="AB646" s="3" t="s">
        <v>56</v>
      </c>
      <c r="AC646" s="3" t="s">
        <v>215</v>
      </c>
    </row>
    <row r="647" spans="1:29" s="3" customFormat="1" x14ac:dyDescent="0.25">
      <c r="A647" s="3" t="s">
        <v>0</v>
      </c>
      <c r="B647" s="3" t="s">
        <v>10675</v>
      </c>
      <c r="C647" s="3" t="s">
        <v>10659</v>
      </c>
      <c r="D647" s="3" t="str">
        <f t="shared" ref="D647:D663" si="157">_xlfn.CONCAT(C647, " ", A647,"_",O647)</f>
        <v>SWHC049-03 SEER Rated AC/HP_MFm</v>
      </c>
      <c r="F647" s="3" t="s">
        <v>310</v>
      </c>
      <c r="G647" s="3" t="str">
        <f t="shared" si="152"/>
        <v>RE-HV-HP-Splt-lt45-S19p0H9p5</v>
      </c>
      <c r="H647" s="3" t="s">
        <v>301</v>
      </c>
      <c r="I647" s="3" t="s">
        <v>302</v>
      </c>
      <c r="J647" s="3" t="s">
        <v>311</v>
      </c>
      <c r="K647" s="32" t="s">
        <v>265</v>
      </c>
      <c r="L647" s="32" t="s">
        <v>304</v>
      </c>
      <c r="M647" s="32" t="s">
        <v>278</v>
      </c>
      <c r="N647" s="3" t="str">
        <f t="shared" si="155"/>
        <v>MFm&amp;0&amp;rDXHP&amp;New&amp;dxHP_equip</v>
      </c>
      <c r="O647" s="3" t="s">
        <v>63</v>
      </c>
      <c r="P647" s="3">
        <v>0</v>
      </c>
      <c r="Q647" s="3" t="s">
        <v>57</v>
      </c>
      <c r="R647" s="3" t="s">
        <v>107</v>
      </c>
      <c r="S647" s="3" t="str">
        <f t="shared" si="154"/>
        <v>No</v>
      </c>
      <c r="T647" s="3" t="str">
        <f t="shared" si="156"/>
        <v>dxHP_equip</v>
      </c>
      <c r="U647" s="3" t="str">
        <f t="shared" si="153"/>
        <v>dxHP_equip</v>
      </c>
      <c r="V647" s="3" t="s">
        <v>105</v>
      </c>
      <c r="W647" s="3" t="s">
        <v>106</v>
      </c>
      <c r="X647" s="3" t="s">
        <v>105</v>
      </c>
      <c r="Y647" s="3" t="s">
        <v>106</v>
      </c>
      <c r="Z647" s="3" t="s">
        <v>305</v>
      </c>
      <c r="AA647" s="3" t="s">
        <v>55</v>
      </c>
      <c r="AB647" s="3" t="s">
        <v>56</v>
      </c>
      <c r="AC647" s="3" t="s">
        <v>215</v>
      </c>
    </row>
    <row r="648" spans="1:29" s="3" customFormat="1" x14ac:dyDescent="0.25">
      <c r="A648" s="3" t="s">
        <v>0</v>
      </c>
      <c r="B648" s="3" t="s">
        <v>10675</v>
      </c>
      <c r="C648" s="3" t="s">
        <v>10659</v>
      </c>
      <c r="D648" s="3" t="str">
        <f t="shared" si="157"/>
        <v>SWHC049-03 SEER Rated AC/HP_SFm</v>
      </c>
      <c r="F648" s="3" t="s">
        <v>312</v>
      </c>
      <c r="G648" s="3" t="str">
        <f t="shared" si="152"/>
        <v>RE-HV-HP-Splt-lt45-S20p0H10p0</v>
      </c>
      <c r="H648" s="3" t="s">
        <v>301</v>
      </c>
      <c r="I648" s="3" t="s">
        <v>302</v>
      </c>
      <c r="J648" s="3" t="s">
        <v>313</v>
      </c>
      <c r="K648" s="32" t="s">
        <v>265</v>
      </c>
      <c r="L648" s="32" t="s">
        <v>304</v>
      </c>
      <c r="M648" s="32" t="s">
        <v>281</v>
      </c>
      <c r="N648" s="3" t="str">
        <f t="shared" si="155"/>
        <v>SFm&amp;1&amp;rDXHP&amp;Ex&amp;dxHP_equip</v>
      </c>
      <c r="O648" s="3" t="s">
        <v>50</v>
      </c>
      <c r="P648" s="3">
        <v>1</v>
      </c>
      <c r="Q648" s="3" t="s">
        <v>57</v>
      </c>
      <c r="R648" s="3" t="s">
        <v>52</v>
      </c>
      <c r="S648" s="3" t="str">
        <f t="shared" si="154"/>
        <v>No</v>
      </c>
      <c r="T648" s="3" t="str">
        <f t="shared" si="156"/>
        <v>dxHP_equip</v>
      </c>
      <c r="U648" s="3" t="str">
        <f t="shared" si="153"/>
        <v>dxHP_equip</v>
      </c>
      <c r="V648" s="3" t="s">
        <v>105</v>
      </c>
      <c r="W648" s="3" t="s">
        <v>106</v>
      </c>
      <c r="X648" s="3" t="s">
        <v>105</v>
      </c>
      <c r="Y648" s="3" t="s">
        <v>106</v>
      </c>
      <c r="Z648" s="3" t="s">
        <v>305</v>
      </c>
      <c r="AA648" s="3" t="s">
        <v>55</v>
      </c>
      <c r="AB648" s="3" t="s">
        <v>56</v>
      </c>
      <c r="AC648" s="3" t="s">
        <v>215</v>
      </c>
    </row>
    <row r="649" spans="1:29" s="3" customFormat="1" x14ac:dyDescent="0.25">
      <c r="A649" s="3" t="s">
        <v>0</v>
      </c>
      <c r="B649" s="3" t="s">
        <v>10675</v>
      </c>
      <c r="C649" s="3" t="s">
        <v>10659</v>
      </c>
      <c r="D649" s="3" t="str">
        <f t="shared" si="157"/>
        <v>SWHC049-03 SEER Rated AC/HP_SFm</v>
      </c>
      <c r="F649" s="3" t="s">
        <v>312</v>
      </c>
      <c r="G649" s="3" t="str">
        <f t="shared" si="152"/>
        <v>RE-HV-HP-Splt-lt45-S20p0H10p0</v>
      </c>
      <c r="H649" s="3" t="s">
        <v>301</v>
      </c>
      <c r="I649" s="3" t="s">
        <v>302</v>
      </c>
      <c r="J649" s="3" t="s">
        <v>313</v>
      </c>
      <c r="K649" s="32" t="s">
        <v>265</v>
      </c>
      <c r="L649" s="32" t="s">
        <v>304</v>
      </c>
      <c r="M649" s="32" t="s">
        <v>281</v>
      </c>
      <c r="N649" s="3" t="str">
        <f t="shared" si="155"/>
        <v>SFm&amp;2&amp;rDXHP&amp;Ex&amp;dxHP_equip</v>
      </c>
      <c r="O649" s="3" t="s">
        <v>50</v>
      </c>
      <c r="P649" s="3">
        <v>2</v>
      </c>
      <c r="Q649" s="3" t="s">
        <v>57</v>
      </c>
      <c r="R649" s="3" t="s">
        <v>52</v>
      </c>
      <c r="S649" s="3" t="str">
        <f t="shared" si="154"/>
        <v>No</v>
      </c>
      <c r="T649" s="3" t="str">
        <f t="shared" si="156"/>
        <v>dxHP_equip</v>
      </c>
      <c r="U649" s="3" t="str">
        <f t="shared" si="153"/>
        <v>dxHP_equip</v>
      </c>
      <c r="V649" s="3" t="s">
        <v>105</v>
      </c>
      <c r="W649" s="3" t="s">
        <v>106</v>
      </c>
      <c r="X649" s="3" t="s">
        <v>105</v>
      </c>
      <c r="Y649" s="3" t="s">
        <v>106</v>
      </c>
      <c r="Z649" s="3" t="s">
        <v>305</v>
      </c>
      <c r="AA649" s="3" t="s">
        <v>55</v>
      </c>
      <c r="AB649" s="3" t="s">
        <v>56</v>
      </c>
      <c r="AC649" s="3" t="s">
        <v>215</v>
      </c>
    </row>
    <row r="650" spans="1:29" s="3" customFormat="1" x14ac:dyDescent="0.25">
      <c r="A650" s="3" t="s">
        <v>0</v>
      </c>
      <c r="B650" s="3" t="s">
        <v>10675</v>
      </c>
      <c r="C650" s="3" t="s">
        <v>10659</v>
      </c>
      <c r="D650" s="3" t="str">
        <f t="shared" si="157"/>
        <v>SWHC049-03 SEER Rated AC/HP_DMo</v>
      </c>
      <c r="F650" s="3" t="s">
        <v>312</v>
      </c>
      <c r="G650" s="3" t="str">
        <f t="shared" si="152"/>
        <v>RE-HV-HP-Splt-lt45-S20p0H10p0</v>
      </c>
      <c r="H650" s="3" t="s">
        <v>301</v>
      </c>
      <c r="I650" s="3" t="s">
        <v>302</v>
      </c>
      <c r="J650" s="3" t="s">
        <v>313</v>
      </c>
      <c r="K650" s="32" t="s">
        <v>265</v>
      </c>
      <c r="L650" s="32" t="s">
        <v>304</v>
      </c>
      <c r="M650" s="32" t="s">
        <v>281</v>
      </c>
      <c r="N650" s="3" t="str">
        <f t="shared" si="155"/>
        <v>DMo&amp;0&amp;rDXHP&amp;Ex&amp;dxHP_equip</v>
      </c>
      <c r="O650" s="3" t="s">
        <v>62</v>
      </c>
      <c r="P650" s="3">
        <v>0</v>
      </c>
      <c r="Q650" s="3" t="s">
        <v>57</v>
      </c>
      <c r="R650" s="3" t="s">
        <v>52</v>
      </c>
      <c r="S650" s="3" t="str">
        <f t="shared" si="154"/>
        <v>No</v>
      </c>
      <c r="T650" s="3" t="str">
        <f t="shared" si="156"/>
        <v>dxHP_equip</v>
      </c>
      <c r="U650" s="3" t="str">
        <f t="shared" si="153"/>
        <v>dxHP_equip</v>
      </c>
      <c r="V650" s="3" t="s">
        <v>105</v>
      </c>
      <c r="W650" s="3" t="s">
        <v>106</v>
      </c>
      <c r="X650" s="3" t="s">
        <v>105</v>
      </c>
      <c r="Y650" s="3" t="s">
        <v>106</v>
      </c>
      <c r="Z650" s="3" t="s">
        <v>305</v>
      </c>
      <c r="AA650" s="3" t="s">
        <v>55</v>
      </c>
      <c r="AB650" s="3" t="s">
        <v>56</v>
      </c>
      <c r="AC650" s="3" t="s">
        <v>215</v>
      </c>
    </row>
    <row r="651" spans="1:29" s="3" customFormat="1" x14ac:dyDescent="0.25">
      <c r="A651" s="3" t="s">
        <v>0</v>
      </c>
      <c r="B651" s="3" t="s">
        <v>10675</v>
      </c>
      <c r="C651" s="3" t="s">
        <v>10659</v>
      </c>
      <c r="D651" s="3" t="str">
        <f t="shared" si="157"/>
        <v>SWHC049-03 SEER Rated AC/HP_MFm</v>
      </c>
      <c r="F651" s="3" t="s">
        <v>312</v>
      </c>
      <c r="G651" s="3" t="str">
        <f t="shared" si="152"/>
        <v>RE-HV-HP-Splt-lt45-S20p0H10p0</v>
      </c>
      <c r="H651" s="3" t="s">
        <v>301</v>
      </c>
      <c r="I651" s="3" t="s">
        <v>302</v>
      </c>
      <c r="J651" s="3" t="s">
        <v>313</v>
      </c>
      <c r="K651" s="32" t="s">
        <v>265</v>
      </c>
      <c r="L651" s="32" t="s">
        <v>304</v>
      </c>
      <c r="M651" s="32" t="s">
        <v>281</v>
      </c>
      <c r="N651" s="3" t="str">
        <f t="shared" si="155"/>
        <v>MFm&amp;0&amp;rDXHP&amp;Ex&amp;dxHP_equip</v>
      </c>
      <c r="O651" s="3" t="s">
        <v>63</v>
      </c>
      <c r="P651" s="3">
        <v>0</v>
      </c>
      <c r="Q651" s="3" t="s">
        <v>57</v>
      </c>
      <c r="R651" s="3" t="s">
        <v>52</v>
      </c>
      <c r="S651" s="3" t="str">
        <f t="shared" si="154"/>
        <v>No</v>
      </c>
      <c r="T651" s="3" t="str">
        <f t="shared" si="156"/>
        <v>dxHP_equip</v>
      </c>
      <c r="U651" s="3" t="str">
        <f t="shared" si="153"/>
        <v>dxHP_equip</v>
      </c>
      <c r="V651" s="3" t="s">
        <v>105</v>
      </c>
      <c r="W651" s="3" t="s">
        <v>106</v>
      </c>
      <c r="X651" s="3" t="s">
        <v>105</v>
      </c>
      <c r="Y651" s="3" t="s">
        <v>106</v>
      </c>
      <c r="Z651" s="3" t="s">
        <v>305</v>
      </c>
      <c r="AA651" s="3" t="s">
        <v>55</v>
      </c>
      <c r="AB651" s="3" t="s">
        <v>56</v>
      </c>
      <c r="AC651" s="3" t="s">
        <v>215</v>
      </c>
    </row>
    <row r="652" spans="1:29" s="3" customFormat="1" x14ac:dyDescent="0.25">
      <c r="A652" s="3" t="s">
        <v>0</v>
      </c>
      <c r="B652" s="3" t="s">
        <v>10675</v>
      </c>
      <c r="C652" s="3" t="s">
        <v>10659</v>
      </c>
      <c r="D652" s="3" t="str">
        <f t="shared" si="157"/>
        <v>SWHC049-03 SEER Rated AC/HP_SFm</v>
      </c>
      <c r="F652" s="3" t="s">
        <v>312</v>
      </c>
      <c r="G652" s="3" t="str">
        <f t="shared" si="152"/>
        <v>RE-HV-HP-Splt-lt45-S20p0H10p0</v>
      </c>
      <c r="H652" s="3" t="s">
        <v>301</v>
      </c>
      <c r="I652" s="3" t="s">
        <v>302</v>
      </c>
      <c r="J652" s="3" t="s">
        <v>313</v>
      </c>
      <c r="K652" s="32" t="s">
        <v>265</v>
      </c>
      <c r="L652" s="32" t="s">
        <v>304</v>
      </c>
      <c r="M652" s="32" t="s">
        <v>281</v>
      </c>
      <c r="N652" s="3" t="str">
        <f t="shared" si="155"/>
        <v>SFm&amp;1&amp;rDXHP&amp;New&amp;dxHP_equip</v>
      </c>
      <c r="O652" s="3" t="s">
        <v>50</v>
      </c>
      <c r="P652" s="3">
        <v>1</v>
      </c>
      <c r="Q652" s="3" t="s">
        <v>57</v>
      </c>
      <c r="R652" s="3" t="s">
        <v>107</v>
      </c>
      <c r="S652" s="3" t="str">
        <f t="shared" si="154"/>
        <v>No</v>
      </c>
      <c r="T652" s="3" t="str">
        <f t="shared" si="156"/>
        <v>dxHP_equip</v>
      </c>
      <c r="U652" s="3" t="str">
        <f t="shared" si="153"/>
        <v>dxHP_equip</v>
      </c>
      <c r="V652" s="3" t="s">
        <v>105</v>
      </c>
      <c r="W652" s="3" t="s">
        <v>106</v>
      </c>
      <c r="X652" s="3" t="s">
        <v>105</v>
      </c>
      <c r="Y652" s="3" t="s">
        <v>106</v>
      </c>
      <c r="Z652" s="3" t="s">
        <v>305</v>
      </c>
      <c r="AA652" s="3" t="s">
        <v>55</v>
      </c>
      <c r="AB652" s="3" t="s">
        <v>56</v>
      </c>
      <c r="AC652" s="3" t="s">
        <v>215</v>
      </c>
    </row>
    <row r="653" spans="1:29" s="3" customFormat="1" x14ac:dyDescent="0.25">
      <c r="A653" s="3" t="s">
        <v>0</v>
      </c>
      <c r="B653" s="3" t="s">
        <v>10675</v>
      </c>
      <c r="C653" s="3" t="s">
        <v>10659</v>
      </c>
      <c r="D653" s="3" t="str">
        <f t="shared" si="157"/>
        <v>SWHC049-03 SEER Rated AC/HP_SFm</v>
      </c>
      <c r="F653" s="3" t="s">
        <v>312</v>
      </c>
      <c r="G653" s="3" t="str">
        <f t="shared" si="152"/>
        <v>RE-HV-HP-Splt-lt45-S20p0H10p0</v>
      </c>
      <c r="H653" s="3" t="s">
        <v>301</v>
      </c>
      <c r="I653" s="3" t="s">
        <v>302</v>
      </c>
      <c r="J653" s="3" t="s">
        <v>313</v>
      </c>
      <c r="K653" s="32" t="s">
        <v>265</v>
      </c>
      <c r="L653" s="32" t="s">
        <v>304</v>
      </c>
      <c r="M653" s="32" t="s">
        <v>281</v>
      </c>
      <c r="N653" s="3" t="str">
        <f t="shared" si="155"/>
        <v>SFm&amp;2&amp;rDXHP&amp;New&amp;dxHP_equip</v>
      </c>
      <c r="O653" s="3" t="s">
        <v>50</v>
      </c>
      <c r="P653" s="3">
        <v>2</v>
      </c>
      <c r="Q653" s="3" t="s">
        <v>57</v>
      </c>
      <c r="R653" s="3" t="s">
        <v>107</v>
      </c>
      <c r="S653" s="3" t="str">
        <f t="shared" si="154"/>
        <v>No</v>
      </c>
      <c r="T653" s="3" t="str">
        <f t="shared" si="156"/>
        <v>dxHP_equip</v>
      </c>
      <c r="U653" s="3" t="str">
        <f t="shared" si="153"/>
        <v>dxHP_equip</v>
      </c>
      <c r="V653" s="3" t="s">
        <v>105</v>
      </c>
      <c r="W653" s="3" t="s">
        <v>106</v>
      </c>
      <c r="X653" s="3" t="s">
        <v>105</v>
      </c>
      <c r="Y653" s="3" t="s">
        <v>106</v>
      </c>
      <c r="Z653" s="3" t="s">
        <v>305</v>
      </c>
      <c r="AA653" s="3" t="s">
        <v>55</v>
      </c>
      <c r="AB653" s="3" t="s">
        <v>56</v>
      </c>
      <c r="AC653" s="3" t="s">
        <v>215</v>
      </c>
    </row>
    <row r="654" spans="1:29" s="3" customFormat="1" x14ac:dyDescent="0.25">
      <c r="A654" s="3" t="s">
        <v>0</v>
      </c>
      <c r="B654" s="3" t="s">
        <v>10675</v>
      </c>
      <c r="C654" s="3" t="s">
        <v>10659</v>
      </c>
      <c r="D654" s="3" t="str">
        <f t="shared" si="157"/>
        <v>SWHC049-03 SEER Rated AC/HP_DMo</v>
      </c>
      <c r="F654" s="3" t="s">
        <v>312</v>
      </c>
      <c r="G654" s="3" t="str">
        <f t="shared" si="152"/>
        <v>RE-HV-HP-Splt-lt45-S20p0H10p0</v>
      </c>
      <c r="H654" s="3" t="s">
        <v>301</v>
      </c>
      <c r="I654" s="3" t="s">
        <v>302</v>
      </c>
      <c r="J654" s="3" t="s">
        <v>313</v>
      </c>
      <c r="K654" s="32" t="s">
        <v>265</v>
      </c>
      <c r="L654" s="32" t="s">
        <v>304</v>
      </c>
      <c r="M654" s="32" t="s">
        <v>281</v>
      </c>
      <c r="N654" s="3" t="str">
        <f t="shared" si="155"/>
        <v>DMo&amp;0&amp;rDXHP&amp;New&amp;dxHP_equip</v>
      </c>
      <c r="O654" s="3" t="s">
        <v>62</v>
      </c>
      <c r="P654" s="3">
        <v>0</v>
      </c>
      <c r="Q654" s="3" t="s">
        <v>57</v>
      </c>
      <c r="R654" s="3" t="s">
        <v>107</v>
      </c>
      <c r="S654" s="3" t="str">
        <f t="shared" si="154"/>
        <v>No</v>
      </c>
      <c r="T654" s="3" t="str">
        <f t="shared" si="156"/>
        <v>dxHP_equip</v>
      </c>
      <c r="U654" s="3" t="str">
        <f t="shared" si="153"/>
        <v>dxHP_equip</v>
      </c>
      <c r="V654" s="3" t="s">
        <v>105</v>
      </c>
      <c r="W654" s="3" t="s">
        <v>106</v>
      </c>
      <c r="X654" s="3" t="s">
        <v>105</v>
      </c>
      <c r="Y654" s="3" t="s">
        <v>106</v>
      </c>
      <c r="Z654" s="3" t="s">
        <v>305</v>
      </c>
      <c r="AA654" s="3" t="s">
        <v>55</v>
      </c>
      <c r="AB654" s="3" t="s">
        <v>56</v>
      </c>
      <c r="AC654" s="3" t="s">
        <v>215</v>
      </c>
    </row>
    <row r="655" spans="1:29" s="3" customFormat="1" x14ac:dyDescent="0.25">
      <c r="A655" s="3" t="s">
        <v>0</v>
      </c>
      <c r="B655" s="3" t="s">
        <v>10675</v>
      </c>
      <c r="C655" s="3" t="s">
        <v>10659</v>
      </c>
      <c r="D655" s="3" t="str">
        <f t="shared" si="157"/>
        <v>SWHC049-03 SEER Rated AC/HP_MFm</v>
      </c>
      <c r="F655" s="3" t="s">
        <v>312</v>
      </c>
      <c r="G655" s="3" t="str">
        <f t="shared" si="152"/>
        <v>RE-HV-HP-Splt-lt45-S20p0H10p0</v>
      </c>
      <c r="H655" s="3" t="s">
        <v>301</v>
      </c>
      <c r="I655" s="3" t="s">
        <v>302</v>
      </c>
      <c r="J655" s="3" t="s">
        <v>313</v>
      </c>
      <c r="K655" s="32" t="s">
        <v>265</v>
      </c>
      <c r="L655" s="32" t="s">
        <v>304</v>
      </c>
      <c r="M655" s="32" t="s">
        <v>281</v>
      </c>
      <c r="N655" s="3" t="str">
        <f t="shared" si="155"/>
        <v>MFm&amp;0&amp;rDXHP&amp;New&amp;dxHP_equip</v>
      </c>
      <c r="O655" s="3" t="s">
        <v>63</v>
      </c>
      <c r="P655" s="3">
        <v>0</v>
      </c>
      <c r="Q655" s="3" t="s">
        <v>57</v>
      </c>
      <c r="R655" s="3" t="s">
        <v>107</v>
      </c>
      <c r="S655" s="3" t="str">
        <f t="shared" si="154"/>
        <v>No</v>
      </c>
      <c r="T655" s="3" t="str">
        <f t="shared" si="156"/>
        <v>dxHP_equip</v>
      </c>
      <c r="U655" s="3" t="str">
        <f t="shared" si="153"/>
        <v>dxHP_equip</v>
      </c>
      <c r="V655" s="3" t="s">
        <v>105</v>
      </c>
      <c r="W655" s="3" t="s">
        <v>106</v>
      </c>
      <c r="X655" s="3" t="s">
        <v>105</v>
      </c>
      <c r="Y655" s="3" t="s">
        <v>106</v>
      </c>
      <c r="Z655" s="3" t="s">
        <v>305</v>
      </c>
      <c r="AA655" s="3" t="s">
        <v>55</v>
      </c>
      <c r="AB655" s="3" t="s">
        <v>56</v>
      </c>
      <c r="AC655" s="3" t="s">
        <v>215</v>
      </c>
    </row>
    <row r="656" spans="1:29" s="3" customFormat="1" x14ac:dyDescent="0.25">
      <c r="A656" s="3" t="s">
        <v>0</v>
      </c>
      <c r="B656" s="3" t="s">
        <v>10675</v>
      </c>
      <c r="C656" s="3" t="s">
        <v>10659</v>
      </c>
      <c r="D656" s="3" t="str">
        <f t="shared" si="157"/>
        <v>SWHC049-03 SEER Rated AC/HP_SFm</v>
      </c>
      <c r="F656" s="3" t="s">
        <v>314</v>
      </c>
      <c r="G656" s="3" t="str">
        <f t="shared" ref="G656:G663" si="158">F656</f>
        <v>RE-HV-HP-Splt-lt45-S21p0H10p5</v>
      </c>
      <c r="H656" s="3" t="s">
        <v>301</v>
      </c>
      <c r="I656" s="3" t="s">
        <v>302</v>
      </c>
      <c r="J656" s="3" t="s">
        <v>315</v>
      </c>
      <c r="K656" s="32" t="s">
        <v>265</v>
      </c>
      <c r="L656" s="32" t="s">
        <v>304</v>
      </c>
      <c r="M656" s="32" t="s">
        <v>284</v>
      </c>
      <c r="N656" s="3" t="str">
        <f t="shared" si="155"/>
        <v>SFm&amp;1&amp;rDXHP&amp;Ex&amp;dxHP_equip</v>
      </c>
      <c r="O656" s="3" t="s">
        <v>50</v>
      </c>
      <c r="P656" s="3">
        <v>1</v>
      </c>
      <c r="Q656" s="3" t="s">
        <v>57</v>
      </c>
      <c r="R656" s="3" t="s">
        <v>52</v>
      </c>
      <c r="S656" s="3" t="str">
        <f t="shared" si="154"/>
        <v>No</v>
      </c>
      <c r="T656" s="3" t="str">
        <f t="shared" si="156"/>
        <v>dxHP_equip</v>
      </c>
      <c r="U656" s="3" t="str">
        <f t="shared" si="153"/>
        <v>dxHP_equip</v>
      </c>
      <c r="V656" s="3" t="s">
        <v>105</v>
      </c>
      <c r="W656" s="3" t="s">
        <v>106</v>
      </c>
      <c r="X656" s="3" t="s">
        <v>105</v>
      </c>
      <c r="Y656" s="3" t="s">
        <v>106</v>
      </c>
      <c r="Z656" s="3" t="s">
        <v>305</v>
      </c>
      <c r="AA656" s="3" t="s">
        <v>55</v>
      </c>
      <c r="AB656" s="3" t="s">
        <v>56</v>
      </c>
      <c r="AC656" s="3" t="s">
        <v>215</v>
      </c>
    </row>
    <row r="657" spans="1:29" s="3" customFormat="1" x14ac:dyDescent="0.25">
      <c r="A657" s="3" t="s">
        <v>0</v>
      </c>
      <c r="B657" s="3" t="s">
        <v>10675</v>
      </c>
      <c r="C657" s="3" t="s">
        <v>10659</v>
      </c>
      <c r="D657" s="3" t="str">
        <f t="shared" si="157"/>
        <v>SWHC049-03 SEER Rated AC/HP_SFm</v>
      </c>
      <c r="F657" s="3" t="s">
        <v>314</v>
      </c>
      <c r="G657" s="3" t="str">
        <f t="shared" si="158"/>
        <v>RE-HV-HP-Splt-lt45-S21p0H10p5</v>
      </c>
      <c r="H657" s="3" t="s">
        <v>301</v>
      </c>
      <c r="I657" s="3" t="s">
        <v>302</v>
      </c>
      <c r="J657" s="3" t="s">
        <v>315</v>
      </c>
      <c r="K657" s="32" t="s">
        <v>265</v>
      </c>
      <c r="L657" s="32" t="s">
        <v>304</v>
      </c>
      <c r="M657" s="32" t="s">
        <v>284</v>
      </c>
      <c r="N657" s="3" t="str">
        <f t="shared" si="155"/>
        <v>SFm&amp;2&amp;rDXHP&amp;Ex&amp;dxHP_equip</v>
      </c>
      <c r="O657" s="3" t="s">
        <v>50</v>
      </c>
      <c r="P657" s="3">
        <v>2</v>
      </c>
      <c r="Q657" s="3" t="s">
        <v>57</v>
      </c>
      <c r="R657" s="3" t="s">
        <v>52</v>
      </c>
      <c r="S657" s="3" t="str">
        <f t="shared" si="154"/>
        <v>No</v>
      </c>
      <c r="T657" s="3" t="str">
        <f t="shared" si="156"/>
        <v>dxHP_equip</v>
      </c>
      <c r="U657" s="3" t="str">
        <f t="shared" si="153"/>
        <v>dxHP_equip</v>
      </c>
      <c r="V657" s="3" t="s">
        <v>105</v>
      </c>
      <c r="W657" s="3" t="s">
        <v>106</v>
      </c>
      <c r="X657" s="3" t="s">
        <v>105</v>
      </c>
      <c r="Y657" s="3" t="s">
        <v>106</v>
      </c>
      <c r="Z657" s="3" t="s">
        <v>305</v>
      </c>
      <c r="AA657" s="3" t="s">
        <v>55</v>
      </c>
      <c r="AB657" s="3" t="s">
        <v>56</v>
      </c>
      <c r="AC657" s="3" t="s">
        <v>215</v>
      </c>
    </row>
    <row r="658" spans="1:29" s="3" customFormat="1" x14ac:dyDescent="0.25">
      <c r="A658" s="3" t="s">
        <v>0</v>
      </c>
      <c r="B658" s="3" t="s">
        <v>10675</v>
      </c>
      <c r="C658" s="3" t="s">
        <v>10659</v>
      </c>
      <c r="D658" s="3" t="str">
        <f t="shared" si="157"/>
        <v>SWHC049-03 SEER Rated AC/HP_DMo</v>
      </c>
      <c r="F658" s="3" t="s">
        <v>314</v>
      </c>
      <c r="G658" s="3" t="str">
        <f t="shared" si="158"/>
        <v>RE-HV-HP-Splt-lt45-S21p0H10p5</v>
      </c>
      <c r="H658" s="3" t="s">
        <v>301</v>
      </c>
      <c r="I658" s="3" t="s">
        <v>302</v>
      </c>
      <c r="J658" s="3" t="s">
        <v>315</v>
      </c>
      <c r="K658" s="32" t="s">
        <v>265</v>
      </c>
      <c r="L658" s="32" t="s">
        <v>304</v>
      </c>
      <c r="M658" s="32" t="s">
        <v>284</v>
      </c>
      <c r="N658" s="3" t="str">
        <f t="shared" si="155"/>
        <v>DMo&amp;0&amp;rDXHP&amp;Ex&amp;dxHP_equip</v>
      </c>
      <c r="O658" s="3" t="s">
        <v>62</v>
      </c>
      <c r="P658" s="3">
        <v>0</v>
      </c>
      <c r="Q658" s="3" t="s">
        <v>57</v>
      </c>
      <c r="R658" s="3" t="s">
        <v>52</v>
      </c>
      <c r="S658" s="3" t="str">
        <f t="shared" si="154"/>
        <v>No</v>
      </c>
      <c r="T658" s="3" t="str">
        <f t="shared" si="156"/>
        <v>dxHP_equip</v>
      </c>
      <c r="U658" s="3" t="str">
        <f t="shared" si="153"/>
        <v>dxHP_equip</v>
      </c>
      <c r="V658" s="3" t="s">
        <v>105</v>
      </c>
      <c r="W658" s="3" t="s">
        <v>106</v>
      </c>
      <c r="X658" s="3" t="s">
        <v>105</v>
      </c>
      <c r="Y658" s="3" t="s">
        <v>106</v>
      </c>
      <c r="Z658" s="3" t="s">
        <v>305</v>
      </c>
      <c r="AA658" s="3" t="s">
        <v>55</v>
      </c>
      <c r="AB658" s="3" t="s">
        <v>56</v>
      </c>
      <c r="AC658" s="3" t="s">
        <v>215</v>
      </c>
    </row>
    <row r="659" spans="1:29" s="3" customFormat="1" x14ac:dyDescent="0.25">
      <c r="A659" s="3" t="s">
        <v>0</v>
      </c>
      <c r="B659" s="3" t="s">
        <v>10675</v>
      </c>
      <c r="C659" s="3" t="s">
        <v>10659</v>
      </c>
      <c r="D659" s="3" t="str">
        <f t="shared" si="157"/>
        <v>SWHC049-03 SEER Rated AC/HP_MFm</v>
      </c>
      <c r="F659" s="3" t="s">
        <v>314</v>
      </c>
      <c r="G659" s="3" t="str">
        <f t="shared" si="158"/>
        <v>RE-HV-HP-Splt-lt45-S21p0H10p5</v>
      </c>
      <c r="H659" s="3" t="s">
        <v>301</v>
      </c>
      <c r="I659" s="3" t="s">
        <v>302</v>
      </c>
      <c r="J659" s="3" t="s">
        <v>315</v>
      </c>
      <c r="K659" s="32" t="s">
        <v>265</v>
      </c>
      <c r="L659" s="32" t="s">
        <v>304</v>
      </c>
      <c r="M659" s="32" t="s">
        <v>284</v>
      </c>
      <c r="N659" s="3" t="str">
        <f t="shared" si="155"/>
        <v>MFm&amp;0&amp;rDXHP&amp;Ex&amp;dxHP_equip</v>
      </c>
      <c r="O659" s="3" t="s">
        <v>63</v>
      </c>
      <c r="P659" s="3">
        <v>0</v>
      </c>
      <c r="Q659" s="3" t="s">
        <v>57</v>
      </c>
      <c r="R659" s="3" t="s">
        <v>52</v>
      </c>
      <c r="S659" s="3" t="str">
        <f t="shared" si="154"/>
        <v>No</v>
      </c>
      <c r="T659" s="3" t="str">
        <f t="shared" si="156"/>
        <v>dxHP_equip</v>
      </c>
      <c r="U659" s="3" t="str">
        <f t="shared" si="153"/>
        <v>dxHP_equip</v>
      </c>
      <c r="V659" s="3" t="s">
        <v>105</v>
      </c>
      <c r="W659" s="3" t="s">
        <v>106</v>
      </c>
      <c r="X659" s="3" t="s">
        <v>105</v>
      </c>
      <c r="Y659" s="3" t="s">
        <v>106</v>
      </c>
      <c r="Z659" s="3" t="s">
        <v>305</v>
      </c>
      <c r="AA659" s="3" t="s">
        <v>55</v>
      </c>
      <c r="AB659" s="3" t="s">
        <v>56</v>
      </c>
      <c r="AC659" s="3" t="s">
        <v>215</v>
      </c>
    </row>
    <row r="660" spans="1:29" s="3" customFormat="1" x14ac:dyDescent="0.25">
      <c r="A660" s="3" t="s">
        <v>0</v>
      </c>
      <c r="B660" s="3" t="s">
        <v>10675</v>
      </c>
      <c r="C660" s="3" t="s">
        <v>10659</v>
      </c>
      <c r="D660" s="3" t="str">
        <f t="shared" si="157"/>
        <v>SWHC049-03 SEER Rated AC/HP_SFm</v>
      </c>
      <c r="F660" s="3" t="s">
        <v>314</v>
      </c>
      <c r="G660" s="3" t="str">
        <f t="shared" si="158"/>
        <v>RE-HV-HP-Splt-lt45-S21p0H10p5</v>
      </c>
      <c r="H660" s="3" t="s">
        <v>301</v>
      </c>
      <c r="I660" s="3" t="s">
        <v>302</v>
      </c>
      <c r="J660" s="3" t="s">
        <v>315</v>
      </c>
      <c r="K660" s="32" t="s">
        <v>265</v>
      </c>
      <c r="L660" s="32" t="s">
        <v>304</v>
      </c>
      <c r="M660" s="32" t="s">
        <v>284</v>
      </c>
      <c r="N660" s="3" t="str">
        <f t="shared" si="155"/>
        <v>SFm&amp;1&amp;rDXHP&amp;New&amp;dxHP_equip</v>
      </c>
      <c r="O660" s="3" t="s">
        <v>50</v>
      </c>
      <c r="P660" s="3">
        <v>1</v>
      </c>
      <c r="Q660" s="3" t="s">
        <v>57</v>
      </c>
      <c r="R660" s="3" t="s">
        <v>107</v>
      </c>
      <c r="S660" s="3" t="str">
        <f t="shared" si="154"/>
        <v>No</v>
      </c>
      <c r="T660" s="3" t="str">
        <f t="shared" si="156"/>
        <v>dxHP_equip</v>
      </c>
      <c r="U660" s="3" t="str">
        <f t="shared" si="153"/>
        <v>dxHP_equip</v>
      </c>
      <c r="V660" s="3" t="s">
        <v>105</v>
      </c>
      <c r="W660" s="3" t="s">
        <v>106</v>
      </c>
      <c r="X660" s="3" t="s">
        <v>105</v>
      </c>
      <c r="Y660" s="3" t="s">
        <v>106</v>
      </c>
      <c r="Z660" s="3" t="s">
        <v>305</v>
      </c>
      <c r="AA660" s="3" t="s">
        <v>55</v>
      </c>
      <c r="AB660" s="3" t="s">
        <v>56</v>
      </c>
      <c r="AC660" s="3" t="s">
        <v>215</v>
      </c>
    </row>
    <row r="661" spans="1:29" s="3" customFormat="1" x14ac:dyDescent="0.25">
      <c r="A661" s="3" t="s">
        <v>0</v>
      </c>
      <c r="B661" s="3" t="s">
        <v>10675</v>
      </c>
      <c r="C661" s="3" t="s">
        <v>10659</v>
      </c>
      <c r="D661" s="3" t="str">
        <f t="shared" si="157"/>
        <v>SWHC049-03 SEER Rated AC/HP_SFm</v>
      </c>
      <c r="F661" s="3" t="s">
        <v>314</v>
      </c>
      <c r="G661" s="3" t="str">
        <f t="shared" si="158"/>
        <v>RE-HV-HP-Splt-lt45-S21p0H10p5</v>
      </c>
      <c r="H661" s="3" t="s">
        <v>301</v>
      </c>
      <c r="I661" s="3" t="s">
        <v>302</v>
      </c>
      <c r="J661" s="3" t="s">
        <v>315</v>
      </c>
      <c r="K661" s="32" t="s">
        <v>265</v>
      </c>
      <c r="L661" s="32" t="s">
        <v>304</v>
      </c>
      <c r="M661" s="32" t="s">
        <v>284</v>
      </c>
      <c r="N661" s="3" t="str">
        <f t="shared" si="155"/>
        <v>SFm&amp;2&amp;rDXHP&amp;New&amp;dxHP_equip</v>
      </c>
      <c r="O661" s="3" t="s">
        <v>50</v>
      </c>
      <c r="P661" s="3">
        <v>2</v>
      </c>
      <c r="Q661" s="3" t="s">
        <v>57</v>
      </c>
      <c r="R661" s="3" t="s">
        <v>107</v>
      </c>
      <c r="S661" s="3" t="str">
        <f t="shared" si="154"/>
        <v>No</v>
      </c>
      <c r="T661" s="3" t="str">
        <f t="shared" si="156"/>
        <v>dxHP_equip</v>
      </c>
      <c r="U661" s="3" t="str">
        <f t="shared" si="153"/>
        <v>dxHP_equip</v>
      </c>
      <c r="V661" s="3" t="s">
        <v>105</v>
      </c>
      <c r="W661" s="3" t="s">
        <v>106</v>
      </c>
      <c r="X661" s="3" t="s">
        <v>105</v>
      </c>
      <c r="Y661" s="3" t="s">
        <v>106</v>
      </c>
      <c r="Z661" s="3" t="s">
        <v>305</v>
      </c>
      <c r="AA661" s="3" t="s">
        <v>55</v>
      </c>
      <c r="AB661" s="3" t="s">
        <v>56</v>
      </c>
      <c r="AC661" s="3" t="s">
        <v>215</v>
      </c>
    </row>
    <row r="662" spans="1:29" s="3" customFormat="1" x14ac:dyDescent="0.25">
      <c r="A662" s="3" t="s">
        <v>0</v>
      </c>
      <c r="B662" s="3" t="s">
        <v>10675</v>
      </c>
      <c r="C662" s="3" t="s">
        <v>10659</v>
      </c>
      <c r="D662" s="3" t="str">
        <f t="shared" si="157"/>
        <v>SWHC049-03 SEER Rated AC/HP_DMo</v>
      </c>
      <c r="F662" s="3" t="s">
        <v>314</v>
      </c>
      <c r="G662" s="3" t="str">
        <f t="shared" si="158"/>
        <v>RE-HV-HP-Splt-lt45-S21p0H10p5</v>
      </c>
      <c r="H662" s="3" t="s">
        <v>301</v>
      </c>
      <c r="I662" s="3" t="s">
        <v>302</v>
      </c>
      <c r="J662" s="3" t="s">
        <v>315</v>
      </c>
      <c r="K662" s="32" t="s">
        <v>265</v>
      </c>
      <c r="L662" s="32" t="s">
        <v>304</v>
      </c>
      <c r="M662" s="32" t="s">
        <v>284</v>
      </c>
      <c r="N662" s="3" t="str">
        <f t="shared" si="155"/>
        <v>DMo&amp;0&amp;rDXHP&amp;New&amp;dxHP_equip</v>
      </c>
      <c r="O662" s="3" t="s">
        <v>62</v>
      </c>
      <c r="P662" s="3">
        <v>0</v>
      </c>
      <c r="Q662" s="3" t="s">
        <v>57</v>
      </c>
      <c r="R662" s="3" t="s">
        <v>107</v>
      </c>
      <c r="S662" s="3" t="str">
        <f t="shared" si="154"/>
        <v>No</v>
      </c>
      <c r="T662" s="3" t="str">
        <f t="shared" si="156"/>
        <v>dxHP_equip</v>
      </c>
      <c r="U662" s="3" t="str">
        <f t="shared" si="153"/>
        <v>dxHP_equip</v>
      </c>
      <c r="V662" s="3" t="s">
        <v>105</v>
      </c>
      <c r="W662" s="3" t="s">
        <v>106</v>
      </c>
      <c r="X662" s="3" t="s">
        <v>105</v>
      </c>
      <c r="Y662" s="3" t="s">
        <v>106</v>
      </c>
      <c r="Z662" s="3" t="s">
        <v>305</v>
      </c>
      <c r="AA662" s="3" t="s">
        <v>55</v>
      </c>
      <c r="AB662" s="3" t="s">
        <v>56</v>
      </c>
      <c r="AC662" s="3" t="s">
        <v>215</v>
      </c>
    </row>
    <row r="663" spans="1:29" s="3" customFormat="1" x14ac:dyDescent="0.25">
      <c r="A663" s="3" t="s">
        <v>0</v>
      </c>
      <c r="B663" s="3" t="s">
        <v>10675</v>
      </c>
      <c r="C663" s="3" t="s">
        <v>10659</v>
      </c>
      <c r="D663" s="3" t="str">
        <f t="shared" si="157"/>
        <v>SWHC049-03 SEER Rated AC/HP_MFm</v>
      </c>
      <c r="F663" s="3" t="s">
        <v>314</v>
      </c>
      <c r="G663" s="3" t="str">
        <f t="shared" si="158"/>
        <v>RE-HV-HP-Splt-lt45-S21p0H10p5</v>
      </c>
      <c r="H663" s="3" t="s">
        <v>301</v>
      </c>
      <c r="I663" s="3" t="s">
        <v>302</v>
      </c>
      <c r="J663" s="3" t="s">
        <v>315</v>
      </c>
      <c r="K663" s="32" t="s">
        <v>265</v>
      </c>
      <c r="L663" s="32" t="s">
        <v>304</v>
      </c>
      <c r="M663" s="32" t="s">
        <v>284</v>
      </c>
      <c r="N663" s="3" t="str">
        <f t="shared" si="155"/>
        <v>MFm&amp;0&amp;rDXHP&amp;New&amp;dxHP_equip</v>
      </c>
      <c r="O663" s="3" t="s">
        <v>63</v>
      </c>
      <c r="P663" s="3">
        <v>0</v>
      </c>
      <c r="Q663" s="3" t="s">
        <v>57</v>
      </c>
      <c r="R663" s="3" t="s">
        <v>107</v>
      </c>
      <c r="S663" s="3" t="str">
        <f t="shared" si="154"/>
        <v>No</v>
      </c>
      <c r="T663" s="3" t="str">
        <f t="shared" si="156"/>
        <v>dxHP_equip</v>
      </c>
      <c r="U663" s="3" t="str">
        <f t="shared" si="153"/>
        <v>dxHP_equip</v>
      </c>
      <c r="V663" s="3" t="s">
        <v>105</v>
      </c>
      <c r="W663" s="3" t="s">
        <v>106</v>
      </c>
      <c r="X663" s="3" t="s">
        <v>105</v>
      </c>
      <c r="Y663" s="3" t="s">
        <v>106</v>
      </c>
      <c r="Z663" s="3" t="s">
        <v>305</v>
      </c>
      <c r="AA663" s="3" t="s">
        <v>55</v>
      </c>
      <c r="AB663" s="3" t="s">
        <v>56</v>
      </c>
      <c r="AC663" s="3" t="s">
        <v>215</v>
      </c>
    </row>
    <row r="664" spans="1:29" x14ac:dyDescent="0.25">
      <c r="A664" s="42" t="s">
        <v>10664</v>
      </c>
      <c r="B664" s="42" t="s">
        <v>10665</v>
      </c>
      <c r="C664" s="42" t="s">
        <v>10663</v>
      </c>
      <c r="D664" s="42" t="str">
        <f>_xlfn.CONCAT(C664, " ", A664,)</f>
        <v>SWXX111-00 Example_SEER_AC</v>
      </c>
      <c r="E664" s="42" t="str">
        <f>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55"/>
        <v>Asm&amp;0&amp;cDXGF&amp;1975&amp;dxAC_equip</v>
      </c>
      <c r="O664" s="42" t="s">
        <v>10670</v>
      </c>
      <c r="P664" s="42">
        <v>0</v>
      </c>
      <c r="Q664" s="42" t="s">
        <v>10666</v>
      </c>
      <c r="R664" s="42">
        <v>1975</v>
      </c>
      <c r="S664" s="3" t="str">
        <f t="shared" si="154"/>
        <v>No</v>
      </c>
      <c r="T664" s="42" t="s">
        <v>111</v>
      </c>
      <c r="U664" s="42" t="s">
        <v>111</v>
      </c>
      <c r="V664" s="42" t="s">
        <v>111</v>
      </c>
      <c r="W664" s="42" t="s">
        <v>235</v>
      </c>
      <c r="X664" s="42" t="s">
        <v>111</v>
      </c>
      <c r="Y664" s="42" t="s">
        <v>235</v>
      </c>
      <c r="Z664" s="42"/>
    </row>
    <row r="665" spans="1:29" x14ac:dyDescent="0.25">
      <c r="A665" s="42" t="s">
        <v>10664</v>
      </c>
      <c r="B665" s="42" t="s">
        <v>10665</v>
      </c>
      <c r="C665" s="42" t="s">
        <v>10663</v>
      </c>
      <c r="D665" s="42" t="str">
        <f t="shared" ref="D665:D667" si="159">_xlfn.CONCAT(C665, " ", A665,)</f>
        <v>SWXX111-00 Example_SEER_AC</v>
      </c>
      <c r="E665" s="42" t="str">
        <f t="shared" ref="E665:E667" si="160">_xlfn.CONCAT(D665, "_", R665)</f>
        <v>SWXX111-00 Example_SEER_AC_1975</v>
      </c>
      <c r="F665" s="42" t="s">
        <v>10664</v>
      </c>
      <c r="G665" s="42" t="s">
        <v>10664</v>
      </c>
      <c r="H665" s="43" t="s">
        <v>10667</v>
      </c>
      <c r="I665" s="42" t="s">
        <v>10668</v>
      </c>
      <c r="J665" s="44" t="s">
        <v>10669</v>
      </c>
      <c r="K665" s="42" t="s">
        <v>10667</v>
      </c>
      <c r="L665" s="42" t="s">
        <v>10668</v>
      </c>
      <c r="M665" s="42" t="s">
        <v>10669</v>
      </c>
      <c r="N665" s="3" t="str">
        <f t="shared" si="155"/>
        <v>ECC&amp;0&amp;cDXGF&amp;1975&amp;dxAC_equip</v>
      </c>
      <c r="O665" s="42" t="s">
        <v>10671</v>
      </c>
      <c r="P665" s="42">
        <v>0</v>
      </c>
      <c r="Q665" s="42" t="s">
        <v>10666</v>
      </c>
      <c r="R665" s="42">
        <v>1975</v>
      </c>
      <c r="S665" s="3" t="str">
        <f t="shared" si="154"/>
        <v>No</v>
      </c>
      <c r="T665" s="42" t="s">
        <v>111</v>
      </c>
      <c r="U665" s="42" t="s">
        <v>111</v>
      </c>
      <c r="V665" s="42" t="s">
        <v>111</v>
      </c>
      <c r="W665" s="42" t="s">
        <v>235</v>
      </c>
      <c r="X665" s="42" t="s">
        <v>111</v>
      </c>
      <c r="Y665" s="42" t="s">
        <v>235</v>
      </c>
    </row>
    <row r="666" spans="1:29" x14ac:dyDescent="0.25">
      <c r="A666" s="42" t="s">
        <v>10664</v>
      </c>
      <c r="B666" s="42" t="s">
        <v>10665</v>
      </c>
      <c r="C666" s="42" t="s">
        <v>10663</v>
      </c>
      <c r="D666" s="42" t="str">
        <f t="shared" si="159"/>
        <v>SWXX111-00 Example_SEER_AC</v>
      </c>
      <c r="E666" s="42" t="str">
        <f t="shared" si="160"/>
        <v>SWXX111-00 Example_SEER_AC_1975</v>
      </c>
      <c r="F666" s="42" t="s">
        <v>10664</v>
      </c>
      <c r="G666" s="42" t="s">
        <v>10664</v>
      </c>
      <c r="H666" s="43" t="s">
        <v>10667</v>
      </c>
      <c r="I666" s="42" t="s">
        <v>10668</v>
      </c>
      <c r="J666" s="44" t="s">
        <v>10669</v>
      </c>
      <c r="K666" s="42" t="s">
        <v>10667</v>
      </c>
      <c r="L666" s="42" t="s">
        <v>10668</v>
      </c>
      <c r="M666" s="42" t="s">
        <v>10669</v>
      </c>
      <c r="N666" s="3" t="str">
        <f t="shared" si="155"/>
        <v>EPr&amp;0&amp;cDXGF&amp;1975&amp;dxAC_equip</v>
      </c>
      <c r="O666" s="42" t="s">
        <v>10672</v>
      </c>
      <c r="P666" s="42">
        <v>0</v>
      </c>
      <c r="Q666" s="42" t="s">
        <v>10666</v>
      </c>
      <c r="R666" s="42">
        <v>1975</v>
      </c>
      <c r="S666" s="3" t="str">
        <f t="shared" si="154"/>
        <v>No</v>
      </c>
      <c r="T666" s="42" t="s">
        <v>111</v>
      </c>
      <c r="U666" s="42" t="s">
        <v>111</v>
      </c>
      <c r="V666" s="42" t="s">
        <v>111</v>
      </c>
      <c r="W666" s="42" t="s">
        <v>235</v>
      </c>
      <c r="X666" s="42" t="s">
        <v>111</v>
      </c>
      <c r="Y666" s="42" t="s">
        <v>235</v>
      </c>
    </row>
    <row r="667" spans="1:29" x14ac:dyDescent="0.25">
      <c r="A667" s="42" t="s">
        <v>10664</v>
      </c>
      <c r="B667" s="42" t="s">
        <v>10665</v>
      </c>
      <c r="C667" s="42" t="s">
        <v>10663</v>
      </c>
      <c r="D667" s="42" t="str">
        <f t="shared" si="159"/>
        <v>SWXX111-00 Example_SEER_AC</v>
      </c>
      <c r="E667" s="42" t="str">
        <f t="shared" si="160"/>
        <v>SWXX111-00 Example_SEER_AC_1975</v>
      </c>
      <c r="F667" s="42" t="s">
        <v>10664</v>
      </c>
      <c r="G667" s="42" t="s">
        <v>10664</v>
      </c>
      <c r="H667" s="43" t="s">
        <v>10667</v>
      </c>
      <c r="I667" s="42" t="s">
        <v>10668</v>
      </c>
      <c r="J667" s="44" t="s">
        <v>10669</v>
      </c>
      <c r="K667" s="42" t="s">
        <v>10667</v>
      </c>
      <c r="L667" s="42" t="s">
        <v>10668</v>
      </c>
      <c r="M667" s="42" t="s">
        <v>10669</v>
      </c>
      <c r="N667" s="3" t="str">
        <f t="shared" si="155"/>
        <v>Htl&amp;0&amp;cDXGF&amp;1975&amp;dxAC_equip</v>
      </c>
      <c r="O667" s="42" t="s">
        <v>10673</v>
      </c>
      <c r="P667" s="42">
        <v>0</v>
      </c>
      <c r="Q667" s="42" t="s">
        <v>10666</v>
      </c>
      <c r="R667" s="42">
        <v>1975</v>
      </c>
      <c r="S667" s="3" t="str">
        <f t="shared" si="154"/>
        <v>No</v>
      </c>
      <c r="T667" s="42" t="s">
        <v>111</v>
      </c>
      <c r="U667" s="42" t="s">
        <v>111</v>
      </c>
      <c r="V667" s="42" t="s">
        <v>111</v>
      </c>
      <c r="W667" s="42" t="s">
        <v>235</v>
      </c>
      <c r="X667" s="42" t="s">
        <v>111</v>
      </c>
      <c r="Y667" s="42" t="s">
        <v>235</v>
      </c>
    </row>
    <row r="668" spans="1:29" s="27" customFormat="1" x14ac:dyDescent="0.25">
      <c r="A668" s="27" t="s">
        <v>10664</v>
      </c>
      <c r="B668" s="27" t="s">
        <v>10665</v>
      </c>
      <c r="C668" s="27" t="s">
        <v>10663</v>
      </c>
      <c r="D668" s="27" t="str">
        <f>_xlfn.CONCAT(C668, " ", A668,)</f>
        <v>SWXX111-00 Example_SEER_AC</v>
      </c>
      <c r="E668" s="27" t="str">
        <f>_xlfn.CONCAT(D668, "_", R668)</f>
        <v>SWXX111-00 Example_SEER_AC_Ex</v>
      </c>
      <c r="F668" s="27" t="s">
        <v>10664</v>
      </c>
      <c r="G668" s="27" t="s">
        <v>10664</v>
      </c>
      <c r="H668" s="45" t="s">
        <v>10667</v>
      </c>
      <c r="I668" s="27" t="s">
        <v>10668</v>
      </c>
      <c r="J668" s="46" t="s">
        <v>10669</v>
      </c>
      <c r="K668" s="27" t="s">
        <v>10667</v>
      </c>
      <c r="L668" s="27" t="s">
        <v>10668</v>
      </c>
      <c r="M668" s="27" t="s">
        <v>10669</v>
      </c>
      <c r="N668" s="27" t="str">
        <f t="shared" ref="N668:N671" si="161">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 t="shared" ref="S668:S671" si="162">IF(T668=U668, "No", "Yes")</f>
        <v>No</v>
      </c>
      <c r="T668" s="27" t="s">
        <v>111</v>
      </c>
      <c r="U668" s="27" t="s">
        <v>111</v>
      </c>
      <c r="V668" s="27" t="s">
        <v>111</v>
      </c>
      <c r="W668" s="27" t="s">
        <v>235</v>
      </c>
      <c r="X668" s="27" t="s">
        <v>111</v>
      </c>
      <c r="Y668" s="27" t="s">
        <v>235</v>
      </c>
    </row>
    <row r="669" spans="1:29" s="27" customFormat="1" x14ac:dyDescent="0.25">
      <c r="A669" s="27" t="s">
        <v>10664</v>
      </c>
      <c r="B669" s="27" t="s">
        <v>10665</v>
      </c>
      <c r="C669" s="27" t="s">
        <v>10663</v>
      </c>
      <c r="D669" s="27" t="str">
        <f t="shared" ref="D669:D671" si="163">_xlfn.CONCAT(C669, " ", A669,)</f>
        <v>SWXX111-00 Example_SEER_AC</v>
      </c>
      <c r="E669" s="27" t="str">
        <f t="shared" ref="E669:E671" si="164">_xlfn.CONCAT(D669, "_", R669)</f>
        <v>SWXX111-00 Example_SEER_AC_Ex</v>
      </c>
      <c r="F669" s="27" t="s">
        <v>10664</v>
      </c>
      <c r="G669" s="27" t="s">
        <v>10664</v>
      </c>
      <c r="H669" s="45" t="s">
        <v>10667</v>
      </c>
      <c r="I669" s="27" t="s">
        <v>10668</v>
      </c>
      <c r="J669" s="46" t="s">
        <v>10669</v>
      </c>
      <c r="K669" s="27" t="s">
        <v>10667</v>
      </c>
      <c r="L669" s="27" t="s">
        <v>10668</v>
      </c>
      <c r="M669" s="27" t="s">
        <v>10669</v>
      </c>
      <c r="N669" s="27" t="str">
        <f t="shared" si="161"/>
        <v>ECC&amp;0&amp;cDXGF&amp;Ex&amp;dxAC_equip</v>
      </c>
      <c r="O669" s="27" t="s">
        <v>10671</v>
      </c>
      <c r="P669" s="27">
        <v>0</v>
      </c>
      <c r="Q669" s="27" t="s">
        <v>10666</v>
      </c>
      <c r="R669" s="27" t="s">
        <v>52</v>
      </c>
      <c r="S669" s="27" t="str">
        <f t="shared" si="162"/>
        <v>No</v>
      </c>
      <c r="T669" s="27" t="s">
        <v>111</v>
      </c>
      <c r="U669" s="27" t="s">
        <v>111</v>
      </c>
      <c r="V669" s="27" t="s">
        <v>111</v>
      </c>
      <c r="W669" s="27" t="s">
        <v>235</v>
      </c>
      <c r="X669" s="27" t="s">
        <v>111</v>
      </c>
      <c r="Y669" s="27" t="s">
        <v>235</v>
      </c>
    </row>
    <row r="670" spans="1:29" s="27" customFormat="1" x14ac:dyDescent="0.25">
      <c r="A670" s="27" t="s">
        <v>10664</v>
      </c>
      <c r="B670" s="27" t="s">
        <v>10665</v>
      </c>
      <c r="C670" s="27" t="s">
        <v>10663</v>
      </c>
      <c r="D670" s="27" t="str">
        <f t="shared" si="163"/>
        <v>SWXX111-00 Example_SEER_AC</v>
      </c>
      <c r="E670" s="27" t="str">
        <f t="shared" si="164"/>
        <v>SWXX111-00 Example_SEER_AC_Ex</v>
      </c>
      <c r="F670" s="27" t="s">
        <v>10664</v>
      </c>
      <c r="G670" s="27" t="s">
        <v>10664</v>
      </c>
      <c r="H670" s="45" t="s">
        <v>10667</v>
      </c>
      <c r="I670" s="27" t="s">
        <v>10668</v>
      </c>
      <c r="J670" s="46" t="s">
        <v>10669</v>
      </c>
      <c r="K670" s="27" t="s">
        <v>10667</v>
      </c>
      <c r="L670" s="27" t="s">
        <v>10668</v>
      </c>
      <c r="M670" s="27" t="s">
        <v>10669</v>
      </c>
      <c r="N670" s="27" t="str">
        <f t="shared" si="161"/>
        <v>EPr&amp;0&amp;cDXGF&amp;Ex&amp;dxAC_equip</v>
      </c>
      <c r="O670" s="27" t="s">
        <v>10672</v>
      </c>
      <c r="P670" s="27">
        <v>0</v>
      </c>
      <c r="Q670" s="27" t="s">
        <v>10666</v>
      </c>
      <c r="R670" s="27" t="s">
        <v>52</v>
      </c>
      <c r="S670" s="27" t="str">
        <f t="shared" si="162"/>
        <v>No</v>
      </c>
      <c r="T670" s="27" t="s">
        <v>111</v>
      </c>
      <c r="U670" s="27" t="s">
        <v>111</v>
      </c>
      <c r="V670" s="27" t="s">
        <v>111</v>
      </c>
      <c r="W670" s="27" t="s">
        <v>235</v>
      </c>
      <c r="X670" s="27" t="s">
        <v>111</v>
      </c>
      <c r="Y670" s="27" t="s">
        <v>235</v>
      </c>
    </row>
    <row r="671" spans="1:29" s="27" customFormat="1" x14ac:dyDescent="0.25">
      <c r="A671" s="27" t="s">
        <v>10664</v>
      </c>
      <c r="B671" s="27" t="s">
        <v>10665</v>
      </c>
      <c r="C671" s="27" t="s">
        <v>10663</v>
      </c>
      <c r="D671" s="27" t="str">
        <f t="shared" si="163"/>
        <v>SWXX111-00 Example_SEER_AC</v>
      </c>
      <c r="E671" s="27" t="str">
        <f t="shared" si="164"/>
        <v>SWXX111-00 Example_SEER_AC_Ex</v>
      </c>
      <c r="F671" s="27" t="s">
        <v>10664</v>
      </c>
      <c r="G671" s="27" t="s">
        <v>10664</v>
      </c>
      <c r="H671" s="45" t="s">
        <v>10667</v>
      </c>
      <c r="I671" s="27" t="s">
        <v>10668</v>
      </c>
      <c r="J671" s="46" t="s">
        <v>10669</v>
      </c>
      <c r="K671" s="27" t="s">
        <v>10667</v>
      </c>
      <c r="L671" s="27" t="s">
        <v>10668</v>
      </c>
      <c r="M671" s="27" t="s">
        <v>10669</v>
      </c>
      <c r="N671" s="27" t="str">
        <f t="shared" si="161"/>
        <v>Htl&amp;0&amp;cDXGF&amp;Ex&amp;dxAC_equip</v>
      </c>
      <c r="O671" s="27" t="s">
        <v>10673</v>
      </c>
      <c r="P671" s="27">
        <v>0</v>
      </c>
      <c r="Q671" s="27" t="s">
        <v>10666</v>
      </c>
      <c r="R671" s="27" t="s">
        <v>52</v>
      </c>
      <c r="S671" s="27" t="str">
        <f t="shared" si="162"/>
        <v>No</v>
      </c>
      <c r="T671" s="27" t="s">
        <v>111</v>
      </c>
      <c r="U671" s="27" t="s">
        <v>111</v>
      </c>
      <c r="V671" s="27" t="s">
        <v>111</v>
      </c>
      <c r="W671" s="27" t="s">
        <v>235</v>
      </c>
      <c r="X671" s="27" t="s">
        <v>111</v>
      </c>
      <c r="Y671" s="27" t="s">
        <v>235</v>
      </c>
    </row>
    <row r="672" spans="1:29" s="27" customFormat="1" x14ac:dyDescent="0.25">
      <c r="A672" s="27" t="s">
        <v>10664</v>
      </c>
      <c r="B672" s="27" t="s">
        <v>10665</v>
      </c>
      <c r="C672" s="27" t="s">
        <v>10663</v>
      </c>
      <c r="D672" s="27" t="str">
        <f>_xlfn.CONCAT(C672, " ", A672,)</f>
        <v>SWXX111-00 Example_SEER_AC</v>
      </c>
      <c r="E672" s="27" t="str">
        <f>_xlfn.CONCAT(D672, "_", R672)</f>
        <v>SWXX111-00 Example_SEER_AC_New</v>
      </c>
      <c r="F672" s="27" t="s">
        <v>10664</v>
      </c>
      <c r="G672" s="27" t="s">
        <v>10664</v>
      </c>
      <c r="H672" s="45" t="s">
        <v>10667</v>
      </c>
      <c r="I672" s="27" t="s">
        <v>10668</v>
      </c>
      <c r="J672" s="46" t="s">
        <v>10669</v>
      </c>
      <c r="K672" s="27" t="s">
        <v>10667</v>
      </c>
      <c r="L672" s="27" t="s">
        <v>10668</v>
      </c>
      <c r="M672" s="27" t="s">
        <v>10669</v>
      </c>
      <c r="N672" s="27" t="str">
        <f t="shared" ref="N672:N735" si="165">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66">IF(T672=U672, "No", "Yes")</f>
        <v>No</v>
      </c>
      <c r="T672" s="27" t="s">
        <v>111</v>
      </c>
      <c r="U672" s="27" t="s">
        <v>111</v>
      </c>
      <c r="V672" s="27" t="s">
        <v>111</v>
      </c>
      <c r="W672" s="27" t="s">
        <v>235</v>
      </c>
      <c r="X672" s="27" t="s">
        <v>111</v>
      </c>
      <c r="Y672" s="27" t="s">
        <v>235</v>
      </c>
    </row>
    <row r="673" spans="1:28" s="27" customFormat="1" x14ac:dyDescent="0.25">
      <c r="A673" s="27" t="s">
        <v>10664</v>
      </c>
      <c r="B673" s="27" t="s">
        <v>10665</v>
      </c>
      <c r="C673" s="27" t="s">
        <v>10663</v>
      </c>
      <c r="D673" s="27" t="str">
        <f t="shared" ref="D673:D676" si="167">_xlfn.CONCAT(C673, " ", A673,)</f>
        <v>SWXX111-00 Example_SEER_AC</v>
      </c>
      <c r="E673" s="27" t="str">
        <f t="shared" ref="E673:E676" si="168">_xlfn.CONCAT(D673, "_", R673)</f>
        <v>SWXX111-00 Example_SEER_AC_New</v>
      </c>
      <c r="F673" s="27" t="s">
        <v>10664</v>
      </c>
      <c r="G673" s="27" t="s">
        <v>10664</v>
      </c>
      <c r="H673" s="45" t="s">
        <v>10667</v>
      </c>
      <c r="I673" s="27" t="s">
        <v>10668</v>
      </c>
      <c r="J673" s="46" t="s">
        <v>10669</v>
      </c>
      <c r="K673" s="27" t="s">
        <v>10667</v>
      </c>
      <c r="L673" s="27" t="s">
        <v>10668</v>
      </c>
      <c r="M673" s="27" t="s">
        <v>10669</v>
      </c>
      <c r="N673" s="27" t="str">
        <f t="shared" si="165"/>
        <v>ECC&amp;0&amp;cDXGF&amp;New&amp;dxAC_equip</v>
      </c>
      <c r="O673" s="27" t="s">
        <v>10671</v>
      </c>
      <c r="P673" s="27">
        <v>0</v>
      </c>
      <c r="Q673" s="27" t="s">
        <v>10666</v>
      </c>
      <c r="R673" s="27" t="s">
        <v>107</v>
      </c>
      <c r="S673" s="27" t="str">
        <f t="shared" si="166"/>
        <v>No</v>
      </c>
      <c r="T673" s="27" t="s">
        <v>111</v>
      </c>
      <c r="U673" s="27" t="s">
        <v>111</v>
      </c>
      <c r="V673" s="27" t="s">
        <v>111</v>
      </c>
      <c r="W673" s="27" t="s">
        <v>235</v>
      </c>
      <c r="X673" s="27" t="s">
        <v>111</v>
      </c>
      <c r="Y673" s="27" t="s">
        <v>235</v>
      </c>
    </row>
    <row r="674" spans="1:28" s="27" customFormat="1" x14ac:dyDescent="0.25">
      <c r="A674" s="27" t="s">
        <v>10664</v>
      </c>
      <c r="B674" s="27" t="s">
        <v>10665</v>
      </c>
      <c r="C674" s="27" t="s">
        <v>10663</v>
      </c>
      <c r="D674" s="27" t="str">
        <f t="shared" si="167"/>
        <v>SWXX111-00 Example_SEER_AC</v>
      </c>
      <c r="E674" s="27" t="str">
        <f t="shared" si="168"/>
        <v>SWXX111-00 Example_SEER_AC_New</v>
      </c>
      <c r="F674" s="27" t="s">
        <v>10664</v>
      </c>
      <c r="G674" s="27" t="s">
        <v>10664</v>
      </c>
      <c r="H674" s="45" t="s">
        <v>10667</v>
      </c>
      <c r="I674" s="27" t="s">
        <v>10668</v>
      </c>
      <c r="J674" s="46" t="s">
        <v>10669</v>
      </c>
      <c r="K674" s="27" t="s">
        <v>10667</v>
      </c>
      <c r="L674" s="27" t="s">
        <v>10668</v>
      </c>
      <c r="M674" s="27" t="s">
        <v>10669</v>
      </c>
      <c r="N674" s="27" t="str">
        <f t="shared" si="165"/>
        <v>EPr&amp;0&amp;cDXGF&amp;New&amp;dxAC_equip</v>
      </c>
      <c r="O674" s="27" t="s">
        <v>10672</v>
      </c>
      <c r="P674" s="27">
        <v>0</v>
      </c>
      <c r="Q674" s="27" t="s">
        <v>10666</v>
      </c>
      <c r="R674" s="27" t="s">
        <v>107</v>
      </c>
      <c r="S674" s="27" t="str">
        <f t="shared" si="166"/>
        <v>No</v>
      </c>
      <c r="T674" s="27" t="s">
        <v>111</v>
      </c>
      <c r="U674" s="27" t="s">
        <v>111</v>
      </c>
      <c r="V674" s="27" t="s">
        <v>111</v>
      </c>
      <c r="W674" s="27" t="s">
        <v>235</v>
      </c>
      <c r="X674" s="27" t="s">
        <v>111</v>
      </c>
      <c r="Y674" s="27" t="s">
        <v>235</v>
      </c>
    </row>
    <row r="675" spans="1:28" s="27" customFormat="1" x14ac:dyDescent="0.25">
      <c r="A675" s="27" t="s">
        <v>10664</v>
      </c>
      <c r="B675" s="27" t="s">
        <v>10665</v>
      </c>
      <c r="C675" s="27" t="s">
        <v>10663</v>
      </c>
      <c r="D675" s="27" t="str">
        <f t="shared" si="167"/>
        <v>SWXX111-00 Example_SEER_AC</v>
      </c>
      <c r="E675" s="27" t="str">
        <f t="shared" si="168"/>
        <v>SWXX111-00 Example_SEER_AC_New</v>
      </c>
      <c r="F675" s="27" t="s">
        <v>10664</v>
      </c>
      <c r="G675" s="27" t="s">
        <v>10664</v>
      </c>
      <c r="H675" s="45" t="s">
        <v>10667</v>
      </c>
      <c r="I675" s="27" t="s">
        <v>10668</v>
      </c>
      <c r="J675" s="46" t="s">
        <v>10669</v>
      </c>
      <c r="K675" s="27" t="s">
        <v>10667</v>
      </c>
      <c r="L675" s="27" t="s">
        <v>10668</v>
      </c>
      <c r="M675" s="27" t="s">
        <v>10669</v>
      </c>
      <c r="N675" s="27" t="str">
        <f t="shared" si="165"/>
        <v>Htl&amp;0&amp;cDXGF&amp;New&amp;dxAC_equip</v>
      </c>
      <c r="O675" s="27" t="s">
        <v>10673</v>
      </c>
      <c r="P675" s="27">
        <v>0</v>
      </c>
      <c r="Q675" s="27" t="s">
        <v>10666</v>
      </c>
      <c r="R675" s="27" t="s">
        <v>107</v>
      </c>
      <c r="S675" s="27" t="str">
        <f t="shared" si="166"/>
        <v>No</v>
      </c>
      <c r="T675" s="27" t="s">
        <v>111</v>
      </c>
      <c r="U675" s="27" t="s">
        <v>111</v>
      </c>
      <c r="V675" s="27" t="s">
        <v>111</v>
      </c>
      <c r="W675" s="27" t="s">
        <v>235</v>
      </c>
      <c r="X675" s="27" t="s">
        <v>111</v>
      </c>
      <c r="Y675" s="27" t="s">
        <v>235</v>
      </c>
    </row>
    <row r="676" spans="1:28" x14ac:dyDescent="0.25">
      <c r="A676" s="47" t="s">
        <v>10677</v>
      </c>
      <c r="B676" s="27" t="s">
        <v>10675</v>
      </c>
      <c r="C676" s="27" t="s">
        <v>10690</v>
      </c>
      <c r="D676" s="27" t="str">
        <f t="shared" si="167"/>
        <v>SWHC001-05 Wall Furnace</v>
      </c>
      <c r="E676" s="27" t="str">
        <f t="shared" si="168"/>
        <v>SWHC001-05 Wall Furnace_Ex</v>
      </c>
      <c r="F676" s="47" t="s">
        <v>10678</v>
      </c>
      <c r="G676" s="47" t="s">
        <v>10678</v>
      </c>
      <c r="H676" s="47" t="s">
        <v>10683</v>
      </c>
      <c r="I676" s="47" t="s">
        <v>10683</v>
      </c>
      <c r="J676" s="47" t="s">
        <v>10684</v>
      </c>
      <c r="K676" s="47" t="str">
        <f>H676</f>
        <v>RG-SpaceHtg_eq-GasFurnace-rDXGF-AFUE65-NoFanPower</v>
      </c>
      <c r="L676" s="47" t="str">
        <f t="shared" ref="L676:M695" si="169">I676</f>
        <v>RG-SpaceHtg_eq-GasFurnace-rDXGF-AFUE65-NoFanPower</v>
      </c>
      <c r="M676" s="47" t="str">
        <f t="shared" si="169"/>
        <v>RG-SpaceHtg_eq-GasFurnace-rDXGF-AFUE70-NoFanPower</v>
      </c>
      <c r="N676" s="47" t="str">
        <f t="shared" si="165"/>
        <v>MFm&amp;0&amp;rDXGF&amp;Ex&amp;SpaceHtg_eq__GasFurnace</v>
      </c>
      <c r="O676" s="47" t="s">
        <v>63</v>
      </c>
      <c r="P676" s="47">
        <v>0</v>
      </c>
      <c r="Q676" s="47" t="s">
        <v>51</v>
      </c>
      <c r="R676" s="47" t="s">
        <v>52</v>
      </c>
      <c r="S676" s="47" t="str">
        <f t="shared" si="166"/>
        <v>No</v>
      </c>
      <c r="T676" t="str">
        <f t="shared" ref="T676:T695" si="170">V676&amp;"__"&amp;W676</f>
        <v>SpaceHtg_eq__GasFurnace</v>
      </c>
      <c r="U676" s="47" t="str">
        <f t="shared" ref="U676:U695" si="171">X676&amp;"__"&amp;Y676</f>
        <v>SpaceHtg_eq__GasFurnace</v>
      </c>
      <c r="V676" s="47" t="s">
        <v>137</v>
      </c>
      <c r="W676" t="s">
        <v>138</v>
      </c>
      <c r="X676" s="47" t="s">
        <v>137</v>
      </c>
      <c r="Y676" t="s">
        <v>138</v>
      </c>
      <c r="Z676" s="47"/>
      <c r="AA676" s="47" t="s">
        <v>55</v>
      </c>
      <c r="AB676" s="47" t="s">
        <v>139</v>
      </c>
    </row>
    <row r="677" spans="1:28" x14ac:dyDescent="0.25">
      <c r="A677" s="47" t="s">
        <v>10677</v>
      </c>
      <c r="B677" s="27" t="s">
        <v>10675</v>
      </c>
      <c r="C677" s="27" t="s">
        <v>10690</v>
      </c>
      <c r="D677" s="27" t="str">
        <f t="shared" ref="D677:D695" si="172">_xlfn.CONCAT(C677, " ", A677,)</f>
        <v>SWHC001-05 Wall Furnace</v>
      </c>
      <c r="E677" s="27" t="str">
        <f t="shared" ref="E677:E695" si="173">_xlfn.CONCAT(D677, "_", R677)</f>
        <v>SWHC001-05 Wall Furnace_Ex</v>
      </c>
      <c r="F677" s="47" t="s">
        <v>10679</v>
      </c>
      <c r="G677" s="47" t="s">
        <v>10679</v>
      </c>
      <c r="H677" s="47" t="s">
        <v>10685</v>
      </c>
      <c r="I677" s="47" t="s">
        <v>10685</v>
      </c>
      <c r="J677" s="47" t="s">
        <v>10684</v>
      </c>
      <c r="K677" s="47" t="str">
        <f t="shared" ref="K677:K695" si="174">H677</f>
        <v>RG-SpaceHtg_eq-GasFurnace-rDXGF-AFUE66-NoFanPower</v>
      </c>
      <c r="L677" s="47" t="str">
        <f t="shared" si="169"/>
        <v>RG-SpaceHtg_eq-GasFurnace-rDXGF-AFUE66-NoFanPower</v>
      </c>
      <c r="M677" s="47" t="str">
        <f t="shared" si="169"/>
        <v>RG-SpaceHtg_eq-GasFurnace-rDXGF-AFUE70-NoFanPower</v>
      </c>
      <c r="N677" s="47" t="str">
        <f t="shared" si="165"/>
        <v>MFm&amp;0&amp;rDXGF&amp;Ex&amp;SpaceHtg_eq__GasFurnace</v>
      </c>
      <c r="O677" s="47" t="s">
        <v>63</v>
      </c>
      <c r="P677" s="47">
        <v>0</v>
      </c>
      <c r="Q677" s="47" t="s">
        <v>51</v>
      </c>
      <c r="R677" s="47" t="s">
        <v>52</v>
      </c>
      <c r="S677" s="47" t="str">
        <f t="shared" si="166"/>
        <v>No</v>
      </c>
      <c r="T677" t="str">
        <f t="shared" si="170"/>
        <v>SpaceHtg_eq__GasFurnace</v>
      </c>
      <c r="U677" s="47" t="str">
        <f t="shared" si="171"/>
        <v>SpaceHtg_eq__GasFurnace</v>
      </c>
      <c r="V677" s="47" t="s">
        <v>137</v>
      </c>
      <c r="W677" t="s">
        <v>138</v>
      </c>
      <c r="X677" s="47" t="s">
        <v>137</v>
      </c>
      <c r="Y677" t="s">
        <v>138</v>
      </c>
      <c r="Z677" s="47"/>
      <c r="AA677" s="47" t="s">
        <v>55</v>
      </c>
      <c r="AB677" s="47" t="s">
        <v>139</v>
      </c>
    </row>
    <row r="678" spans="1:28" x14ac:dyDescent="0.25">
      <c r="A678" s="47" t="s">
        <v>10677</v>
      </c>
      <c r="B678" s="27" t="s">
        <v>10675</v>
      </c>
      <c r="C678" s="27" t="s">
        <v>10690</v>
      </c>
      <c r="D678" s="27" t="str">
        <f t="shared" si="172"/>
        <v>SWHC001-05 Wall Furnace</v>
      </c>
      <c r="E678" s="27" t="str">
        <f t="shared" si="173"/>
        <v>SWHC001-05 Wall Furnace_Ex</v>
      </c>
      <c r="F678" s="47" t="s">
        <v>10680</v>
      </c>
      <c r="G678" s="47" t="s">
        <v>10680</v>
      </c>
      <c r="H678" s="47" t="s">
        <v>10686</v>
      </c>
      <c r="I678" s="47" t="s">
        <v>10686</v>
      </c>
      <c r="J678" s="47" t="s">
        <v>10684</v>
      </c>
      <c r="K678" s="47" t="str">
        <f t="shared" si="174"/>
        <v>RG-SpaceHtg_eq-GasFurnace-rDXGF-AFUE67-NoFanPower</v>
      </c>
      <c r="L678" s="47" t="str">
        <f t="shared" si="169"/>
        <v>RG-SpaceHtg_eq-GasFurnace-rDXGF-AFUE67-NoFanPower</v>
      </c>
      <c r="M678" s="47" t="str">
        <f t="shared" si="169"/>
        <v>RG-SpaceHtg_eq-GasFurnace-rDXGF-AFUE70-NoFanPower</v>
      </c>
      <c r="N678" s="47" t="str">
        <f t="shared" si="165"/>
        <v>MFm&amp;0&amp;rDXGF&amp;Ex&amp;SpaceHtg_eq__GasFurnace</v>
      </c>
      <c r="O678" s="47" t="s">
        <v>63</v>
      </c>
      <c r="P678" s="47">
        <v>0</v>
      </c>
      <c r="Q678" s="47" t="s">
        <v>51</v>
      </c>
      <c r="R678" s="47" t="s">
        <v>52</v>
      </c>
      <c r="S678" s="47" t="str">
        <f t="shared" si="166"/>
        <v>No</v>
      </c>
      <c r="T678" t="str">
        <f t="shared" si="170"/>
        <v>SpaceHtg_eq__GasFurnace</v>
      </c>
      <c r="U678" s="47" t="str">
        <f t="shared" si="171"/>
        <v>SpaceHtg_eq__GasFurnace</v>
      </c>
      <c r="V678" s="47" t="s">
        <v>137</v>
      </c>
      <c r="W678" t="s">
        <v>138</v>
      </c>
      <c r="X678" s="47" t="s">
        <v>137</v>
      </c>
      <c r="Y678" t="s">
        <v>138</v>
      </c>
      <c r="Z678" s="47"/>
      <c r="AA678" s="47" t="s">
        <v>55</v>
      </c>
      <c r="AB678" s="47" t="s">
        <v>139</v>
      </c>
    </row>
    <row r="679" spans="1:28" x14ac:dyDescent="0.25">
      <c r="A679" s="47" t="s">
        <v>10677</v>
      </c>
      <c r="B679" s="27" t="s">
        <v>10675</v>
      </c>
      <c r="C679" s="27" t="s">
        <v>10690</v>
      </c>
      <c r="D679" s="27" t="str">
        <f t="shared" si="172"/>
        <v>SWHC001-05 Wall Furnace</v>
      </c>
      <c r="E679" s="27" t="str">
        <f t="shared" si="173"/>
        <v>SWHC001-05 Wall Furnace_Ex</v>
      </c>
      <c r="F679" s="47" t="s">
        <v>10681</v>
      </c>
      <c r="G679" s="47" t="s">
        <v>10681</v>
      </c>
      <c r="H679" s="47" t="s">
        <v>10685</v>
      </c>
      <c r="I679" s="47" t="s">
        <v>10685</v>
      </c>
      <c r="J679" s="47" t="s">
        <v>10687</v>
      </c>
      <c r="K679" s="47" t="str">
        <f t="shared" si="174"/>
        <v>RG-SpaceHtg_eq-GasFurnace-rDXGF-AFUE66-NoFanPower</v>
      </c>
      <c r="L679" s="47" t="str">
        <f t="shared" si="169"/>
        <v>RG-SpaceHtg_eq-GasFurnace-rDXGF-AFUE66-NoFanPower</v>
      </c>
      <c r="M679" s="47" t="str">
        <f t="shared" si="169"/>
        <v>RG-SpaceHtg_eq-GasFurnace-rDXGF-AFUE82-NoFanPower</v>
      </c>
      <c r="N679" s="47" t="str">
        <f t="shared" si="165"/>
        <v>MFm&amp;0&amp;rDXGF&amp;Ex&amp;SpaceHtg_eq__GasFurnace</v>
      </c>
      <c r="O679" s="47" t="s">
        <v>63</v>
      </c>
      <c r="P679" s="47">
        <v>0</v>
      </c>
      <c r="Q679" s="47" t="s">
        <v>51</v>
      </c>
      <c r="R679" s="47" t="s">
        <v>52</v>
      </c>
      <c r="S679" s="47" t="str">
        <f t="shared" si="166"/>
        <v>No</v>
      </c>
      <c r="T679" t="str">
        <f t="shared" si="170"/>
        <v>SpaceHtg_eq__GasFurnace</v>
      </c>
      <c r="U679" s="47" t="str">
        <f t="shared" si="171"/>
        <v>SpaceHtg_eq__GasFurnace</v>
      </c>
      <c r="V679" s="47" t="s">
        <v>137</v>
      </c>
      <c r="W679" t="s">
        <v>138</v>
      </c>
      <c r="X679" s="47" t="s">
        <v>137</v>
      </c>
      <c r="Y679" t="s">
        <v>138</v>
      </c>
      <c r="Z679" s="47"/>
      <c r="AA679" s="47" t="s">
        <v>55</v>
      </c>
      <c r="AB679" s="47" t="s">
        <v>139</v>
      </c>
    </row>
    <row r="680" spans="1:28" x14ac:dyDescent="0.25">
      <c r="A680" s="47" t="s">
        <v>10677</v>
      </c>
      <c r="B680" s="27" t="s">
        <v>10675</v>
      </c>
      <c r="C680" s="27" t="s">
        <v>10690</v>
      </c>
      <c r="D680" s="27" t="str">
        <f t="shared" si="172"/>
        <v>SWHC001-05 Wall Furnace</v>
      </c>
      <c r="E680" s="27" t="str">
        <f t="shared" si="173"/>
        <v>SWHC001-05 Wall Furnace_Ex</v>
      </c>
      <c r="F680" s="47" t="s">
        <v>10682</v>
      </c>
      <c r="G680" s="47" t="s">
        <v>10682</v>
      </c>
      <c r="H680" s="47" t="s">
        <v>10688</v>
      </c>
      <c r="I680" s="47" t="s">
        <v>10688</v>
      </c>
      <c r="J680" s="47" t="s">
        <v>10689</v>
      </c>
      <c r="K680" s="47" t="str">
        <f t="shared" si="174"/>
        <v>RG-SpaceHtg_eq-GasFurnace-rDXGF-AFUE75-PoweredFan</v>
      </c>
      <c r="L680" s="47" t="str">
        <f t="shared" si="169"/>
        <v>RG-SpaceHtg_eq-GasFurnace-rDXGF-AFUE75-PoweredFan</v>
      </c>
      <c r="M680" s="47" t="str">
        <f t="shared" si="169"/>
        <v>RG-SpaceHtg_eq-GasFurnace-rDXGF-AFUE82-PoweredFan</v>
      </c>
      <c r="N680" s="47" t="str">
        <f t="shared" si="165"/>
        <v>MFm&amp;0&amp;rDXGF&amp;Ex&amp;SpaceHtg_eq__GasFurnace</v>
      </c>
      <c r="O680" s="47" t="s">
        <v>63</v>
      </c>
      <c r="P680" s="47">
        <v>0</v>
      </c>
      <c r="Q680" s="47" t="s">
        <v>51</v>
      </c>
      <c r="R680" s="47" t="s">
        <v>52</v>
      </c>
      <c r="S680" s="47" t="str">
        <f t="shared" si="166"/>
        <v>No</v>
      </c>
      <c r="T680" t="str">
        <f t="shared" si="170"/>
        <v>SpaceHtg_eq__GasFurnace</v>
      </c>
      <c r="U680" s="47" t="str">
        <f t="shared" si="171"/>
        <v>SpaceHtg_eq__GasFurnace</v>
      </c>
      <c r="V680" s="47" t="s">
        <v>137</v>
      </c>
      <c r="W680" t="s">
        <v>138</v>
      </c>
      <c r="X680" s="47" t="s">
        <v>137</v>
      </c>
      <c r="Y680" t="s">
        <v>138</v>
      </c>
      <c r="Z680" s="47"/>
      <c r="AA680" s="47" t="s">
        <v>55</v>
      </c>
      <c r="AB680" s="47" t="s">
        <v>139</v>
      </c>
    </row>
    <row r="681" spans="1:28" x14ac:dyDescent="0.25">
      <c r="A681" s="48" t="s">
        <v>10677</v>
      </c>
      <c r="B681" s="27" t="s">
        <v>10675</v>
      </c>
      <c r="C681" s="27" t="s">
        <v>10690</v>
      </c>
      <c r="D681" s="27" t="str">
        <f t="shared" si="172"/>
        <v>SWHC001-05 Wall Furnace</v>
      </c>
      <c r="E681" s="27" t="str">
        <f t="shared" si="173"/>
        <v>SWHC001-05 Wall Furnace_Ex</v>
      </c>
      <c r="F681" s="48" t="s">
        <v>10678</v>
      </c>
      <c r="G681" s="48" t="s">
        <v>10678</v>
      </c>
      <c r="H681" s="49" t="s">
        <v>10683</v>
      </c>
      <c r="I681" s="49" t="s">
        <v>10683</v>
      </c>
      <c r="J681" s="48" t="s">
        <v>10684</v>
      </c>
      <c r="K681" s="48" t="str">
        <f t="shared" si="174"/>
        <v>RG-SpaceHtg_eq-GasFurnace-rDXGF-AFUE65-NoFanPower</v>
      </c>
      <c r="L681" s="48" t="str">
        <f t="shared" si="169"/>
        <v>RG-SpaceHtg_eq-GasFurnace-rDXGF-AFUE65-NoFanPower</v>
      </c>
      <c r="M681" s="48" t="str">
        <f t="shared" si="169"/>
        <v>RG-SpaceHtg_eq-GasFurnace-rDXGF-AFUE70-NoFanPower</v>
      </c>
      <c r="N681" s="48" t="str">
        <f t="shared" si="165"/>
        <v>DMo&amp;0&amp;rDXGF&amp;Ex&amp;SpaceHtg_eq__GasFurnace</v>
      </c>
      <c r="O681" s="48" t="s">
        <v>62</v>
      </c>
      <c r="P681" s="49">
        <v>0</v>
      </c>
      <c r="Q681" s="49" t="s">
        <v>51</v>
      </c>
      <c r="R681" s="49" t="s">
        <v>52</v>
      </c>
      <c r="S681" s="49" t="str">
        <f t="shared" si="166"/>
        <v>No</v>
      </c>
      <c r="T681" t="str">
        <f t="shared" si="170"/>
        <v>SpaceHtg_eq__GasFurnace</v>
      </c>
      <c r="U681" s="47" t="str">
        <f t="shared" si="171"/>
        <v>SpaceHtg_eq__GasFurnace</v>
      </c>
      <c r="V681" s="47" t="s">
        <v>137</v>
      </c>
      <c r="W681" t="s">
        <v>138</v>
      </c>
      <c r="X681" s="47" t="s">
        <v>137</v>
      </c>
      <c r="Y681" t="s">
        <v>138</v>
      </c>
      <c r="Z681" s="47"/>
      <c r="AA681" s="47" t="s">
        <v>55</v>
      </c>
      <c r="AB681" s="47" t="s">
        <v>139</v>
      </c>
    </row>
    <row r="682" spans="1:28" x14ac:dyDescent="0.25">
      <c r="A682" s="48" t="s">
        <v>10677</v>
      </c>
      <c r="B682" s="27" t="s">
        <v>10675</v>
      </c>
      <c r="C682" s="27" t="s">
        <v>10690</v>
      </c>
      <c r="D682" s="27" t="str">
        <f t="shared" si="172"/>
        <v>SWHC001-05 Wall Furnace</v>
      </c>
      <c r="E682" s="27" t="str">
        <f t="shared" si="173"/>
        <v>SWHC001-05 Wall Furnace_Ex</v>
      </c>
      <c r="F682" s="48" t="s">
        <v>10679</v>
      </c>
      <c r="G682" s="48" t="s">
        <v>10679</v>
      </c>
      <c r="H682" s="49" t="s">
        <v>10685</v>
      </c>
      <c r="I682" s="49" t="s">
        <v>10685</v>
      </c>
      <c r="J682" s="48" t="s">
        <v>10684</v>
      </c>
      <c r="K682" s="48" t="str">
        <f t="shared" si="174"/>
        <v>RG-SpaceHtg_eq-GasFurnace-rDXGF-AFUE66-NoFanPower</v>
      </c>
      <c r="L682" s="48" t="str">
        <f t="shared" si="169"/>
        <v>RG-SpaceHtg_eq-GasFurnace-rDXGF-AFUE66-NoFanPower</v>
      </c>
      <c r="M682" s="48" t="str">
        <f t="shared" si="169"/>
        <v>RG-SpaceHtg_eq-GasFurnace-rDXGF-AFUE70-NoFanPower</v>
      </c>
      <c r="N682" s="48" t="str">
        <f t="shared" si="165"/>
        <v>DMo&amp;0&amp;rDXGF&amp;Ex&amp;SpaceHtg_eq__GasFurnace</v>
      </c>
      <c r="O682" s="48" t="s">
        <v>62</v>
      </c>
      <c r="P682" s="49">
        <v>0</v>
      </c>
      <c r="Q682" s="49" t="s">
        <v>51</v>
      </c>
      <c r="R682" s="49" t="s">
        <v>52</v>
      </c>
      <c r="S682" s="49" t="str">
        <f t="shared" si="166"/>
        <v>No</v>
      </c>
      <c r="T682" t="str">
        <f t="shared" si="170"/>
        <v>SpaceHtg_eq__GasFurnace</v>
      </c>
      <c r="U682" s="47" t="str">
        <f t="shared" si="171"/>
        <v>SpaceHtg_eq__GasFurnace</v>
      </c>
      <c r="V682" s="47" t="s">
        <v>137</v>
      </c>
      <c r="W682" t="s">
        <v>138</v>
      </c>
      <c r="X682" s="47" t="s">
        <v>137</v>
      </c>
      <c r="Y682" t="s">
        <v>138</v>
      </c>
      <c r="Z682" s="47"/>
      <c r="AA682" s="47" t="s">
        <v>55</v>
      </c>
      <c r="AB682" s="47" t="s">
        <v>139</v>
      </c>
    </row>
    <row r="683" spans="1:28" x14ac:dyDescent="0.25">
      <c r="A683" s="48" t="s">
        <v>10677</v>
      </c>
      <c r="B683" s="27" t="s">
        <v>10675</v>
      </c>
      <c r="C683" s="27" t="s">
        <v>10690</v>
      </c>
      <c r="D683" s="27" t="str">
        <f t="shared" si="172"/>
        <v>SWHC001-05 Wall Furnace</v>
      </c>
      <c r="E683" s="27" t="str">
        <f t="shared" si="173"/>
        <v>SWHC001-05 Wall Furnace_Ex</v>
      </c>
      <c r="F683" s="48" t="s">
        <v>10680</v>
      </c>
      <c r="G683" s="48" t="s">
        <v>10680</v>
      </c>
      <c r="H683" s="49" t="s">
        <v>10686</v>
      </c>
      <c r="I683" s="49" t="s">
        <v>10686</v>
      </c>
      <c r="J683" s="48" t="s">
        <v>10684</v>
      </c>
      <c r="K683" s="48" t="str">
        <f t="shared" si="174"/>
        <v>RG-SpaceHtg_eq-GasFurnace-rDXGF-AFUE67-NoFanPower</v>
      </c>
      <c r="L683" s="48" t="str">
        <f t="shared" si="169"/>
        <v>RG-SpaceHtg_eq-GasFurnace-rDXGF-AFUE67-NoFanPower</v>
      </c>
      <c r="M683" s="48" t="str">
        <f t="shared" si="169"/>
        <v>RG-SpaceHtg_eq-GasFurnace-rDXGF-AFUE70-NoFanPower</v>
      </c>
      <c r="N683" s="48" t="str">
        <f t="shared" si="165"/>
        <v>DMo&amp;0&amp;rDXGF&amp;Ex&amp;SpaceHtg_eq__GasFurnace</v>
      </c>
      <c r="O683" s="48" t="s">
        <v>62</v>
      </c>
      <c r="P683" s="49">
        <v>0</v>
      </c>
      <c r="Q683" s="49" t="s">
        <v>51</v>
      </c>
      <c r="R683" s="49" t="s">
        <v>52</v>
      </c>
      <c r="S683" s="49" t="str">
        <f t="shared" si="166"/>
        <v>No</v>
      </c>
      <c r="T683" t="str">
        <f t="shared" si="170"/>
        <v>SpaceHtg_eq__GasFurnace</v>
      </c>
      <c r="U683" s="47" t="str">
        <f t="shared" si="171"/>
        <v>SpaceHtg_eq__GasFurnace</v>
      </c>
      <c r="V683" s="47" t="s">
        <v>137</v>
      </c>
      <c r="W683" t="s">
        <v>138</v>
      </c>
      <c r="X683" s="47" t="s">
        <v>137</v>
      </c>
      <c r="Y683" t="s">
        <v>138</v>
      </c>
      <c r="Z683" s="47"/>
      <c r="AA683" s="47" t="s">
        <v>55</v>
      </c>
      <c r="AB683" s="47" t="s">
        <v>139</v>
      </c>
    </row>
    <row r="684" spans="1:28" x14ac:dyDescent="0.25">
      <c r="A684" s="48" t="s">
        <v>10677</v>
      </c>
      <c r="B684" s="27" t="s">
        <v>10675</v>
      </c>
      <c r="C684" s="27" t="s">
        <v>10690</v>
      </c>
      <c r="D684" s="27" t="str">
        <f t="shared" si="172"/>
        <v>SWHC001-05 Wall Furnace</v>
      </c>
      <c r="E684" s="27" t="str">
        <f t="shared" si="173"/>
        <v>SWHC001-05 Wall Furnace_Ex</v>
      </c>
      <c r="F684" s="48" t="s">
        <v>10681</v>
      </c>
      <c r="G684" s="48" t="s">
        <v>10681</v>
      </c>
      <c r="H684" s="49" t="s">
        <v>10685</v>
      </c>
      <c r="I684" s="49" t="s">
        <v>10685</v>
      </c>
      <c r="J684" s="48" t="s">
        <v>10687</v>
      </c>
      <c r="K684" s="48" t="str">
        <f t="shared" si="174"/>
        <v>RG-SpaceHtg_eq-GasFurnace-rDXGF-AFUE66-NoFanPower</v>
      </c>
      <c r="L684" s="48" t="str">
        <f t="shared" si="169"/>
        <v>RG-SpaceHtg_eq-GasFurnace-rDXGF-AFUE66-NoFanPower</v>
      </c>
      <c r="M684" s="48" t="str">
        <f t="shared" si="169"/>
        <v>RG-SpaceHtg_eq-GasFurnace-rDXGF-AFUE82-NoFanPower</v>
      </c>
      <c r="N684" s="48" t="str">
        <f t="shared" si="165"/>
        <v>DMo&amp;0&amp;rDXGF&amp;Ex&amp;SpaceHtg_eq__GasFurnace</v>
      </c>
      <c r="O684" s="48" t="s">
        <v>62</v>
      </c>
      <c r="P684" s="49">
        <v>0</v>
      </c>
      <c r="Q684" s="49" t="s">
        <v>51</v>
      </c>
      <c r="R684" s="49" t="s">
        <v>52</v>
      </c>
      <c r="S684" s="49" t="str">
        <f t="shared" si="166"/>
        <v>No</v>
      </c>
      <c r="T684" t="str">
        <f t="shared" si="170"/>
        <v>SpaceHtg_eq__GasFurnace</v>
      </c>
      <c r="U684" s="47" t="str">
        <f t="shared" si="171"/>
        <v>SpaceHtg_eq__GasFurnace</v>
      </c>
      <c r="V684" s="47" t="s">
        <v>137</v>
      </c>
      <c r="W684" t="s">
        <v>138</v>
      </c>
      <c r="X684" s="47" t="s">
        <v>137</v>
      </c>
      <c r="Y684" t="s">
        <v>138</v>
      </c>
      <c r="Z684" s="47"/>
      <c r="AA684" s="47" t="s">
        <v>55</v>
      </c>
      <c r="AB684" s="47" t="s">
        <v>139</v>
      </c>
    </row>
    <row r="685" spans="1:28" x14ac:dyDescent="0.25">
      <c r="A685" s="48" t="s">
        <v>10677</v>
      </c>
      <c r="B685" s="27" t="s">
        <v>10675</v>
      </c>
      <c r="C685" s="27" t="s">
        <v>10690</v>
      </c>
      <c r="D685" s="27" t="str">
        <f t="shared" si="172"/>
        <v>SWHC001-05 Wall Furnace</v>
      </c>
      <c r="E685" s="27" t="str">
        <f t="shared" si="173"/>
        <v>SWHC001-05 Wall Furnace_Ex</v>
      </c>
      <c r="F685" s="48" t="s">
        <v>10682</v>
      </c>
      <c r="G685" s="48" t="s">
        <v>10682</v>
      </c>
      <c r="H685" s="49" t="s">
        <v>10688</v>
      </c>
      <c r="I685" s="49" t="s">
        <v>10688</v>
      </c>
      <c r="J685" s="48" t="s">
        <v>10689</v>
      </c>
      <c r="K685" s="48" t="str">
        <f t="shared" si="174"/>
        <v>RG-SpaceHtg_eq-GasFurnace-rDXGF-AFUE75-PoweredFan</v>
      </c>
      <c r="L685" s="48" t="str">
        <f t="shared" si="169"/>
        <v>RG-SpaceHtg_eq-GasFurnace-rDXGF-AFUE75-PoweredFan</v>
      </c>
      <c r="M685" s="48" t="str">
        <f t="shared" si="169"/>
        <v>RG-SpaceHtg_eq-GasFurnace-rDXGF-AFUE82-PoweredFan</v>
      </c>
      <c r="N685" s="48" t="str">
        <f t="shared" si="165"/>
        <v>DMo&amp;0&amp;rDXGF&amp;Ex&amp;SpaceHtg_eq__GasFurnace</v>
      </c>
      <c r="O685" s="48" t="s">
        <v>62</v>
      </c>
      <c r="P685" s="49">
        <v>0</v>
      </c>
      <c r="Q685" s="49" t="s">
        <v>51</v>
      </c>
      <c r="R685" s="49" t="s">
        <v>52</v>
      </c>
      <c r="S685" s="49" t="str">
        <f t="shared" si="166"/>
        <v>No</v>
      </c>
      <c r="T685" t="str">
        <f t="shared" si="170"/>
        <v>SpaceHtg_eq__GasFurnace</v>
      </c>
      <c r="U685" s="47" t="str">
        <f t="shared" si="171"/>
        <v>SpaceHtg_eq__GasFurnace</v>
      </c>
      <c r="V685" s="47" t="s">
        <v>137</v>
      </c>
      <c r="W685" t="s">
        <v>138</v>
      </c>
      <c r="X685" s="47" t="s">
        <v>137</v>
      </c>
      <c r="Y685" t="s">
        <v>138</v>
      </c>
      <c r="Z685" s="47"/>
      <c r="AA685" s="47" t="s">
        <v>55</v>
      </c>
      <c r="AB685" s="47" t="s">
        <v>139</v>
      </c>
    </row>
    <row r="686" spans="1:28" x14ac:dyDescent="0.25">
      <c r="A686" s="47" t="s">
        <v>10677</v>
      </c>
      <c r="B686" s="27" t="s">
        <v>10675</v>
      </c>
      <c r="C686" s="27" t="s">
        <v>10690</v>
      </c>
      <c r="D686" s="27" t="str">
        <f t="shared" si="172"/>
        <v>SWHC001-05 Wall Furnace</v>
      </c>
      <c r="E686" s="27" t="str">
        <f t="shared" si="173"/>
        <v>SWHC001-05 Wall Furnace_Ex</v>
      </c>
      <c r="F686" s="47" t="s">
        <v>10678</v>
      </c>
      <c r="G686" s="47" t="s">
        <v>10678</v>
      </c>
      <c r="H686" s="47" t="s">
        <v>10683</v>
      </c>
      <c r="I686" s="47" t="s">
        <v>10683</v>
      </c>
      <c r="J686" s="47" t="s">
        <v>10684</v>
      </c>
      <c r="K686" s="47" t="str">
        <f t="shared" si="174"/>
        <v>RG-SpaceHtg_eq-GasFurnace-rDXGF-AFUE65-NoFanPower</v>
      </c>
      <c r="L686" s="47" t="str">
        <f t="shared" si="169"/>
        <v>RG-SpaceHtg_eq-GasFurnace-rDXGF-AFUE65-NoFanPower</v>
      </c>
      <c r="M686" s="47" t="str">
        <f t="shared" si="169"/>
        <v>RG-SpaceHtg_eq-GasFurnace-rDXGF-AFUE70-NoFanPower</v>
      </c>
      <c r="N686" s="47" t="str">
        <f t="shared" si="165"/>
        <v>SFm&amp;1&amp;rDXGF&amp;Ex&amp;SpaceHtg_eq__GasFurnace</v>
      </c>
      <c r="O686" s="47" t="s">
        <v>50</v>
      </c>
      <c r="P686" s="47">
        <v>1</v>
      </c>
      <c r="Q686" s="47" t="s">
        <v>51</v>
      </c>
      <c r="R686" s="47" t="s">
        <v>52</v>
      </c>
      <c r="S686" s="47" t="str">
        <f t="shared" si="166"/>
        <v>No</v>
      </c>
      <c r="T686" t="str">
        <f t="shared" si="170"/>
        <v>SpaceHtg_eq__GasFurnace</v>
      </c>
      <c r="U686" s="47" t="str">
        <f t="shared" si="171"/>
        <v>SpaceHtg_eq__GasFurnace</v>
      </c>
      <c r="V686" s="47" t="s">
        <v>137</v>
      </c>
      <c r="W686" t="s">
        <v>138</v>
      </c>
      <c r="X686" s="47" t="s">
        <v>137</v>
      </c>
      <c r="Y686" t="s">
        <v>138</v>
      </c>
      <c r="Z686" s="47"/>
      <c r="AA686" s="47" t="s">
        <v>55</v>
      </c>
      <c r="AB686" s="47" t="s">
        <v>139</v>
      </c>
    </row>
    <row r="687" spans="1:28" x14ac:dyDescent="0.25">
      <c r="A687" s="47" t="s">
        <v>10677</v>
      </c>
      <c r="B687" s="27" t="s">
        <v>10675</v>
      </c>
      <c r="C687" s="27" t="s">
        <v>10690</v>
      </c>
      <c r="D687" s="27" t="str">
        <f t="shared" si="172"/>
        <v>SWHC001-05 Wall Furnace</v>
      </c>
      <c r="E687" s="27" t="str">
        <f t="shared" si="173"/>
        <v>SWHC001-05 Wall Furnace_Ex</v>
      </c>
      <c r="F687" s="47" t="s">
        <v>10679</v>
      </c>
      <c r="G687" s="47" t="s">
        <v>10679</v>
      </c>
      <c r="H687" s="47" t="s">
        <v>10685</v>
      </c>
      <c r="I687" s="47" t="s">
        <v>10685</v>
      </c>
      <c r="J687" s="47" t="s">
        <v>10684</v>
      </c>
      <c r="K687" s="47" t="str">
        <f t="shared" si="174"/>
        <v>RG-SpaceHtg_eq-GasFurnace-rDXGF-AFUE66-NoFanPower</v>
      </c>
      <c r="L687" s="47" t="str">
        <f t="shared" si="169"/>
        <v>RG-SpaceHtg_eq-GasFurnace-rDXGF-AFUE66-NoFanPower</v>
      </c>
      <c r="M687" s="47" t="str">
        <f t="shared" si="169"/>
        <v>RG-SpaceHtg_eq-GasFurnace-rDXGF-AFUE70-NoFanPower</v>
      </c>
      <c r="N687" s="47" t="str">
        <f t="shared" si="165"/>
        <v>SFm&amp;1&amp;rDXGF&amp;Ex&amp;SpaceHtg_eq__GasFurnace</v>
      </c>
      <c r="O687" s="47" t="s">
        <v>50</v>
      </c>
      <c r="P687" s="47">
        <v>1</v>
      </c>
      <c r="Q687" s="47" t="s">
        <v>51</v>
      </c>
      <c r="R687" s="47" t="s">
        <v>52</v>
      </c>
      <c r="S687" s="47" t="str">
        <f t="shared" si="166"/>
        <v>No</v>
      </c>
      <c r="T687" t="str">
        <f t="shared" si="170"/>
        <v>SpaceHtg_eq__GasFurnace</v>
      </c>
      <c r="U687" s="47" t="str">
        <f t="shared" si="171"/>
        <v>SpaceHtg_eq__GasFurnace</v>
      </c>
      <c r="V687" s="47" t="s">
        <v>137</v>
      </c>
      <c r="W687" t="s">
        <v>138</v>
      </c>
      <c r="X687" s="47" t="s">
        <v>137</v>
      </c>
      <c r="Y687" t="s">
        <v>138</v>
      </c>
      <c r="Z687" s="47"/>
      <c r="AA687" s="47" t="s">
        <v>55</v>
      </c>
      <c r="AB687" s="47" t="s">
        <v>139</v>
      </c>
    </row>
    <row r="688" spans="1:28" x14ac:dyDescent="0.25">
      <c r="A688" s="47" t="s">
        <v>10677</v>
      </c>
      <c r="B688" s="27" t="s">
        <v>10675</v>
      </c>
      <c r="C688" s="27" t="s">
        <v>10690</v>
      </c>
      <c r="D688" s="27" t="str">
        <f t="shared" si="172"/>
        <v>SWHC001-05 Wall Furnace</v>
      </c>
      <c r="E688" s="27" t="str">
        <f t="shared" si="173"/>
        <v>SWHC001-05 Wall Furnace_Ex</v>
      </c>
      <c r="F688" s="47" t="s">
        <v>10680</v>
      </c>
      <c r="G688" s="47" t="s">
        <v>10680</v>
      </c>
      <c r="H688" s="47" t="s">
        <v>10686</v>
      </c>
      <c r="I688" s="47" t="s">
        <v>10686</v>
      </c>
      <c r="J688" s="47" t="s">
        <v>10684</v>
      </c>
      <c r="K688" s="47" t="str">
        <f t="shared" si="174"/>
        <v>RG-SpaceHtg_eq-GasFurnace-rDXGF-AFUE67-NoFanPower</v>
      </c>
      <c r="L688" s="47" t="str">
        <f t="shared" si="169"/>
        <v>RG-SpaceHtg_eq-GasFurnace-rDXGF-AFUE67-NoFanPower</v>
      </c>
      <c r="M688" s="47" t="str">
        <f t="shared" si="169"/>
        <v>RG-SpaceHtg_eq-GasFurnace-rDXGF-AFUE70-NoFanPower</v>
      </c>
      <c r="N688" s="47" t="str">
        <f t="shared" si="165"/>
        <v>SFm&amp;1&amp;rDXGF&amp;Ex&amp;SpaceHtg_eq__GasFurnace</v>
      </c>
      <c r="O688" s="47" t="s">
        <v>50</v>
      </c>
      <c r="P688" s="47">
        <v>1</v>
      </c>
      <c r="Q688" s="47" t="s">
        <v>51</v>
      </c>
      <c r="R688" s="47" t="s">
        <v>52</v>
      </c>
      <c r="S688" s="47" t="str">
        <f t="shared" si="166"/>
        <v>No</v>
      </c>
      <c r="T688" t="str">
        <f t="shared" si="170"/>
        <v>SpaceHtg_eq__GasFurnace</v>
      </c>
      <c r="U688" s="47" t="str">
        <f t="shared" si="171"/>
        <v>SpaceHtg_eq__GasFurnace</v>
      </c>
      <c r="V688" s="47" t="s">
        <v>137</v>
      </c>
      <c r="W688" t="s">
        <v>138</v>
      </c>
      <c r="X688" s="47" t="s">
        <v>137</v>
      </c>
      <c r="Y688" t="s">
        <v>138</v>
      </c>
      <c r="Z688" s="47"/>
      <c r="AA688" s="47" t="s">
        <v>55</v>
      </c>
      <c r="AB688" s="47" t="s">
        <v>139</v>
      </c>
    </row>
    <row r="689" spans="1:28" x14ac:dyDescent="0.25">
      <c r="A689" s="47" t="s">
        <v>10677</v>
      </c>
      <c r="B689" s="27" t="s">
        <v>10675</v>
      </c>
      <c r="C689" s="27" t="s">
        <v>10690</v>
      </c>
      <c r="D689" s="27" t="str">
        <f t="shared" si="172"/>
        <v>SWHC001-05 Wall Furnace</v>
      </c>
      <c r="E689" s="27" t="str">
        <f t="shared" si="173"/>
        <v>SWHC001-05 Wall Furnace_Ex</v>
      </c>
      <c r="F689" s="47" t="s">
        <v>10681</v>
      </c>
      <c r="G689" s="47" t="s">
        <v>10681</v>
      </c>
      <c r="H689" s="47" t="s">
        <v>10685</v>
      </c>
      <c r="I689" s="47" t="s">
        <v>10685</v>
      </c>
      <c r="J689" s="47" t="s">
        <v>10687</v>
      </c>
      <c r="K689" s="47" t="str">
        <f t="shared" si="174"/>
        <v>RG-SpaceHtg_eq-GasFurnace-rDXGF-AFUE66-NoFanPower</v>
      </c>
      <c r="L689" s="47" t="str">
        <f t="shared" si="169"/>
        <v>RG-SpaceHtg_eq-GasFurnace-rDXGF-AFUE66-NoFanPower</v>
      </c>
      <c r="M689" s="47" t="str">
        <f t="shared" si="169"/>
        <v>RG-SpaceHtg_eq-GasFurnace-rDXGF-AFUE82-NoFanPower</v>
      </c>
      <c r="N689" s="47" t="str">
        <f t="shared" si="165"/>
        <v>SFm&amp;1&amp;rDXGF&amp;Ex&amp;SpaceHtg_eq__GasFurnace</v>
      </c>
      <c r="O689" s="47" t="s">
        <v>50</v>
      </c>
      <c r="P689" s="47">
        <v>1</v>
      </c>
      <c r="Q689" s="47" t="s">
        <v>51</v>
      </c>
      <c r="R689" s="47" t="s">
        <v>52</v>
      </c>
      <c r="S689" s="47" t="str">
        <f t="shared" si="166"/>
        <v>No</v>
      </c>
      <c r="T689" t="str">
        <f t="shared" si="170"/>
        <v>SpaceHtg_eq__GasFurnace</v>
      </c>
      <c r="U689" s="47" t="str">
        <f t="shared" si="171"/>
        <v>SpaceHtg_eq__GasFurnace</v>
      </c>
      <c r="V689" s="47" t="s">
        <v>137</v>
      </c>
      <c r="W689" t="s">
        <v>138</v>
      </c>
      <c r="X689" s="47" t="s">
        <v>137</v>
      </c>
      <c r="Y689" t="s">
        <v>138</v>
      </c>
      <c r="Z689" s="47"/>
      <c r="AA689" s="47" t="s">
        <v>55</v>
      </c>
      <c r="AB689" s="47" t="s">
        <v>139</v>
      </c>
    </row>
    <row r="690" spans="1:28" x14ac:dyDescent="0.25">
      <c r="A690" s="47" t="s">
        <v>10677</v>
      </c>
      <c r="B690" s="27" t="s">
        <v>10675</v>
      </c>
      <c r="C690" s="27" t="s">
        <v>10690</v>
      </c>
      <c r="D690" s="27" t="str">
        <f t="shared" si="172"/>
        <v>SWHC001-05 Wall Furnace</v>
      </c>
      <c r="E690" s="27" t="str">
        <f t="shared" si="173"/>
        <v>SWHC001-05 Wall Furnace_Ex</v>
      </c>
      <c r="F690" s="47" t="s">
        <v>10682</v>
      </c>
      <c r="G690" s="47" t="s">
        <v>10682</v>
      </c>
      <c r="H690" s="47" t="s">
        <v>10688</v>
      </c>
      <c r="I690" s="47" t="s">
        <v>10688</v>
      </c>
      <c r="J690" s="47" t="s">
        <v>10689</v>
      </c>
      <c r="K690" s="47" t="str">
        <f t="shared" si="174"/>
        <v>RG-SpaceHtg_eq-GasFurnace-rDXGF-AFUE75-PoweredFan</v>
      </c>
      <c r="L690" s="47" t="str">
        <f t="shared" si="169"/>
        <v>RG-SpaceHtg_eq-GasFurnace-rDXGF-AFUE75-PoweredFan</v>
      </c>
      <c r="M690" s="47" t="str">
        <f t="shared" si="169"/>
        <v>RG-SpaceHtg_eq-GasFurnace-rDXGF-AFUE82-PoweredFan</v>
      </c>
      <c r="N690" s="47" t="str">
        <f t="shared" si="165"/>
        <v>SFm&amp;1&amp;rDXGF&amp;Ex&amp;SpaceHtg_eq__GasFurnace</v>
      </c>
      <c r="O690" s="47" t="s">
        <v>50</v>
      </c>
      <c r="P690" s="47">
        <v>1</v>
      </c>
      <c r="Q690" s="47" t="s">
        <v>51</v>
      </c>
      <c r="R690" s="47" t="s">
        <v>52</v>
      </c>
      <c r="S690" s="47" t="str">
        <f t="shared" si="166"/>
        <v>No</v>
      </c>
      <c r="T690" t="str">
        <f t="shared" si="170"/>
        <v>SpaceHtg_eq__GasFurnace</v>
      </c>
      <c r="U690" s="47" t="str">
        <f t="shared" si="171"/>
        <v>SpaceHtg_eq__GasFurnace</v>
      </c>
      <c r="V690" s="47" t="s">
        <v>137</v>
      </c>
      <c r="W690" t="s">
        <v>138</v>
      </c>
      <c r="X690" s="47" t="s">
        <v>137</v>
      </c>
      <c r="Y690" t="s">
        <v>138</v>
      </c>
      <c r="Z690" s="47"/>
      <c r="AA690" s="47" t="s">
        <v>55</v>
      </c>
      <c r="AB690" s="47" t="s">
        <v>139</v>
      </c>
    </row>
    <row r="691" spans="1:28" x14ac:dyDescent="0.25">
      <c r="A691" s="49" t="s">
        <v>10677</v>
      </c>
      <c r="B691" s="27" t="s">
        <v>10675</v>
      </c>
      <c r="C691" s="27" t="s">
        <v>10690</v>
      </c>
      <c r="D691" s="27" t="str">
        <f t="shared" si="172"/>
        <v>SWHC001-05 Wall Furnace</v>
      </c>
      <c r="E691" s="27" t="str">
        <f t="shared" si="173"/>
        <v>SWHC001-05 Wall Furnace_Ex</v>
      </c>
      <c r="F691" s="49" t="s">
        <v>10678</v>
      </c>
      <c r="G691" s="49" t="s">
        <v>10678</v>
      </c>
      <c r="H691" s="49" t="s">
        <v>10683</v>
      </c>
      <c r="I691" s="49" t="s">
        <v>10683</v>
      </c>
      <c r="J691" s="48" t="s">
        <v>10684</v>
      </c>
      <c r="K691" s="48" t="str">
        <f t="shared" si="174"/>
        <v>RG-SpaceHtg_eq-GasFurnace-rDXGF-AFUE65-NoFanPower</v>
      </c>
      <c r="L691" s="48" t="str">
        <f t="shared" si="169"/>
        <v>RG-SpaceHtg_eq-GasFurnace-rDXGF-AFUE65-NoFanPower</v>
      </c>
      <c r="M691" s="48" t="str">
        <f t="shared" si="169"/>
        <v>RG-SpaceHtg_eq-GasFurnace-rDXGF-AFUE70-NoFanPower</v>
      </c>
      <c r="N691" s="48" t="str">
        <f t="shared" si="165"/>
        <v>SFm&amp;2&amp;rDXGF&amp;Ex&amp;SpaceHtg_eq__GasFurnace</v>
      </c>
      <c r="O691" s="48" t="s">
        <v>50</v>
      </c>
      <c r="P691" s="49">
        <v>2</v>
      </c>
      <c r="Q691" s="49" t="s">
        <v>51</v>
      </c>
      <c r="R691" s="49" t="s">
        <v>52</v>
      </c>
      <c r="S691" s="49" t="str">
        <f t="shared" si="166"/>
        <v>No</v>
      </c>
      <c r="T691" t="str">
        <f t="shared" si="170"/>
        <v>SpaceHtg_eq__GasFurnace</v>
      </c>
      <c r="U691" s="47" t="str">
        <f t="shared" si="171"/>
        <v>SpaceHtg_eq__GasFurnace</v>
      </c>
      <c r="V691" s="47" t="s">
        <v>137</v>
      </c>
      <c r="W691" t="s">
        <v>138</v>
      </c>
      <c r="X691" s="47" t="s">
        <v>137</v>
      </c>
      <c r="Y691" t="s">
        <v>138</v>
      </c>
      <c r="Z691" s="47"/>
      <c r="AA691" s="47" t="s">
        <v>55</v>
      </c>
      <c r="AB691" s="47" t="s">
        <v>139</v>
      </c>
    </row>
    <row r="692" spans="1:28" x14ac:dyDescent="0.25">
      <c r="A692" s="49" t="s">
        <v>10677</v>
      </c>
      <c r="B692" s="27" t="s">
        <v>10675</v>
      </c>
      <c r="C692" s="27" t="s">
        <v>10690</v>
      </c>
      <c r="D692" s="27" t="str">
        <f t="shared" si="172"/>
        <v>SWHC001-05 Wall Furnace</v>
      </c>
      <c r="E692" s="27" t="str">
        <f t="shared" si="173"/>
        <v>SWHC001-05 Wall Furnace_Ex</v>
      </c>
      <c r="F692" s="49" t="s">
        <v>10679</v>
      </c>
      <c r="G692" s="49" t="s">
        <v>10679</v>
      </c>
      <c r="H692" s="49" t="s">
        <v>10685</v>
      </c>
      <c r="I692" s="49" t="s">
        <v>10685</v>
      </c>
      <c r="J692" s="48" t="s">
        <v>10684</v>
      </c>
      <c r="K692" s="48" t="str">
        <f t="shared" si="174"/>
        <v>RG-SpaceHtg_eq-GasFurnace-rDXGF-AFUE66-NoFanPower</v>
      </c>
      <c r="L692" s="48" t="str">
        <f t="shared" si="169"/>
        <v>RG-SpaceHtg_eq-GasFurnace-rDXGF-AFUE66-NoFanPower</v>
      </c>
      <c r="M692" s="48" t="str">
        <f t="shared" si="169"/>
        <v>RG-SpaceHtg_eq-GasFurnace-rDXGF-AFUE70-NoFanPower</v>
      </c>
      <c r="N692" s="48" t="str">
        <f t="shared" si="165"/>
        <v>SFm&amp;2&amp;rDXGF&amp;Ex&amp;SpaceHtg_eq__GasFurnace</v>
      </c>
      <c r="O692" s="48" t="s">
        <v>50</v>
      </c>
      <c r="P692" s="49">
        <v>2</v>
      </c>
      <c r="Q692" s="49" t="s">
        <v>51</v>
      </c>
      <c r="R692" s="49" t="s">
        <v>52</v>
      </c>
      <c r="S692" s="49" t="str">
        <f t="shared" si="166"/>
        <v>No</v>
      </c>
      <c r="T692" t="str">
        <f t="shared" si="170"/>
        <v>SpaceHtg_eq__GasFurnace</v>
      </c>
      <c r="U692" s="47" t="str">
        <f t="shared" si="171"/>
        <v>SpaceHtg_eq__GasFurnace</v>
      </c>
      <c r="V692" s="47" t="s">
        <v>137</v>
      </c>
      <c r="W692" t="s">
        <v>138</v>
      </c>
      <c r="X692" s="47" t="s">
        <v>137</v>
      </c>
      <c r="Y692" t="s">
        <v>138</v>
      </c>
      <c r="Z692" s="47"/>
      <c r="AA692" s="47" t="s">
        <v>55</v>
      </c>
      <c r="AB692" s="47" t="s">
        <v>139</v>
      </c>
    </row>
    <row r="693" spans="1:28" x14ac:dyDescent="0.25">
      <c r="A693" s="49" t="s">
        <v>10677</v>
      </c>
      <c r="B693" s="27" t="s">
        <v>10675</v>
      </c>
      <c r="C693" s="27" t="s">
        <v>10690</v>
      </c>
      <c r="D693" s="27" t="str">
        <f t="shared" si="172"/>
        <v>SWHC001-05 Wall Furnace</v>
      </c>
      <c r="E693" s="27" t="str">
        <f t="shared" si="173"/>
        <v>SWHC001-05 Wall Furnace_Ex</v>
      </c>
      <c r="F693" s="49" t="s">
        <v>10680</v>
      </c>
      <c r="G693" s="49" t="s">
        <v>10680</v>
      </c>
      <c r="H693" s="49" t="s">
        <v>10686</v>
      </c>
      <c r="I693" s="49" t="s">
        <v>10686</v>
      </c>
      <c r="J693" s="48" t="s">
        <v>10684</v>
      </c>
      <c r="K693" s="48" t="str">
        <f t="shared" si="174"/>
        <v>RG-SpaceHtg_eq-GasFurnace-rDXGF-AFUE67-NoFanPower</v>
      </c>
      <c r="L693" s="48" t="str">
        <f t="shared" si="169"/>
        <v>RG-SpaceHtg_eq-GasFurnace-rDXGF-AFUE67-NoFanPower</v>
      </c>
      <c r="M693" s="48" t="str">
        <f t="shared" si="169"/>
        <v>RG-SpaceHtg_eq-GasFurnace-rDXGF-AFUE70-NoFanPower</v>
      </c>
      <c r="N693" s="48" t="str">
        <f t="shared" si="165"/>
        <v>SFm&amp;2&amp;rDXGF&amp;Ex&amp;SpaceHtg_eq__GasFurnace</v>
      </c>
      <c r="O693" s="48" t="s">
        <v>50</v>
      </c>
      <c r="P693" s="49">
        <v>2</v>
      </c>
      <c r="Q693" s="49" t="s">
        <v>51</v>
      </c>
      <c r="R693" s="49" t="s">
        <v>52</v>
      </c>
      <c r="S693" s="49" t="str">
        <f t="shared" si="166"/>
        <v>No</v>
      </c>
      <c r="T693" t="str">
        <f t="shared" si="170"/>
        <v>SpaceHtg_eq__GasFurnace</v>
      </c>
      <c r="U693" s="47" t="str">
        <f t="shared" si="171"/>
        <v>SpaceHtg_eq__GasFurnace</v>
      </c>
      <c r="V693" s="47" t="s">
        <v>137</v>
      </c>
      <c r="W693" t="s">
        <v>138</v>
      </c>
      <c r="X693" s="47" t="s">
        <v>137</v>
      </c>
      <c r="Y693" t="s">
        <v>138</v>
      </c>
      <c r="Z693" s="47"/>
      <c r="AA693" s="47" t="s">
        <v>55</v>
      </c>
      <c r="AB693" s="47" t="s">
        <v>139</v>
      </c>
    </row>
    <row r="694" spans="1:28" x14ac:dyDescent="0.25">
      <c r="A694" s="49" t="s">
        <v>10677</v>
      </c>
      <c r="B694" s="27" t="s">
        <v>10675</v>
      </c>
      <c r="C694" s="27" t="s">
        <v>10690</v>
      </c>
      <c r="D694" s="27" t="str">
        <f t="shared" si="172"/>
        <v>SWHC001-05 Wall Furnace</v>
      </c>
      <c r="E694" s="27" t="str">
        <f t="shared" si="173"/>
        <v>SWHC001-05 Wall Furnace_Ex</v>
      </c>
      <c r="F694" s="49" t="s">
        <v>10681</v>
      </c>
      <c r="G694" s="49" t="s">
        <v>10681</v>
      </c>
      <c r="H694" s="49" t="s">
        <v>10685</v>
      </c>
      <c r="I694" s="49" t="s">
        <v>10685</v>
      </c>
      <c r="J694" s="48" t="s">
        <v>10687</v>
      </c>
      <c r="K694" s="48" t="str">
        <f t="shared" si="174"/>
        <v>RG-SpaceHtg_eq-GasFurnace-rDXGF-AFUE66-NoFanPower</v>
      </c>
      <c r="L694" s="48" t="str">
        <f t="shared" si="169"/>
        <v>RG-SpaceHtg_eq-GasFurnace-rDXGF-AFUE66-NoFanPower</v>
      </c>
      <c r="M694" s="48" t="str">
        <f t="shared" si="169"/>
        <v>RG-SpaceHtg_eq-GasFurnace-rDXGF-AFUE82-NoFanPower</v>
      </c>
      <c r="N694" s="48" t="str">
        <f t="shared" si="165"/>
        <v>SFm&amp;2&amp;rDXGF&amp;Ex&amp;SpaceHtg_eq__GasFurnace</v>
      </c>
      <c r="O694" s="48" t="s">
        <v>50</v>
      </c>
      <c r="P694" s="49">
        <v>2</v>
      </c>
      <c r="Q694" s="49" t="s">
        <v>51</v>
      </c>
      <c r="R694" s="49" t="s">
        <v>52</v>
      </c>
      <c r="S694" s="49" t="str">
        <f t="shared" si="166"/>
        <v>No</v>
      </c>
      <c r="T694" t="str">
        <f t="shared" si="170"/>
        <v>SpaceHtg_eq__GasFurnace</v>
      </c>
      <c r="U694" s="47" t="str">
        <f t="shared" si="171"/>
        <v>SpaceHtg_eq__GasFurnace</v>
      </c>
      <c r="V694" s="47" t="s">
        <v>137</v>
      </c>
      <c r="W694" t="s">
        <v>138</v>
      </c>
      <c r="X694" s="47" t="s">
        <v>137</v>
      </c>
      <c r="Y694" t="s">
        <v>138</v>
      </c>
      <c r="Z694" s="47"/>
      <c r="AA694" s="47" t="s">
        <v>55</v>
      </c>
      <c r="AB694" s="47" t="s">
        <v>139</v>
      </c>
    </row>
    <row r="695" spans="1:28" x14ac:dyDescent="0.25">
      <c r="A695" s="49" t="s">
        <v>10677</v>
      </c>
      <c r="B695" s="27" t="s">
        <v>10675</v>
      </c>
      <c r="C695" s="27" t="s">
        <v>10690</v>
      </c>
      <c r="D695" s="27" t="str">
        <f t="shared" si="172"/>
        <v>SWHC001-05 Wall Furnace</v>
      </c>
      <c r="E695" s="27" t="str">
        <f t="shared" si="173"/>
        <v>SWHC001-05 Wall Furnace_Ex</v>
      </c>
      <c r="F695" s="49" t="s">
        <v>10682</v>
      </c>
      <c r="G695" s="49" t="s">
        <v>10682</v>
      </c>
      <c r="H695" s="49" t="s">
        <v>10688</v>
      </c>
      <c r="I695" s="49" t="s">
        <v>10688</v>
      </c>
      <c r="J695" s="48" t="s">
        <v>10689</v>
      </c>
      <c r="K695" s="48" t="str">
        <f t="shared" si="174"/>
        <v>RG-SpaceHtg_eq-GasFurnace-rDXGF-AFUE75-PoweredFan</v>
      </c>
      <c r="L695" s="48" t="str">
        <f t="shared" si="169"/>
        <v>RG-SpaceHtg_eq-GasFurnace-rDXGF-AFUE75-PoweredFan</v>
      </c>
      <c r="M695" s="48" t="str">
        <f t="shared" si="169"/>
        <v>RG-SpaceHtg_eq-GasFurnace-rDXGF-AFUE82-PoweredFan</v>
      </c>
      <c r="N695" s="48" t="str">
        <f t="shared" si="165"/>
        <v>SFm&amp;2&amp;rDXGF&amp;Ex&amp;SpaceHtg_eq__GasFurnace</v>
      </c>
      <c r="O695" s="48" t="s">
        <v>50</v>
      </c>
      <c r="P695" s="49">
        <v>2</v>
      </c>
      <c r="Q695" s="49" t="s">
        <v>51</v>
      </c>
      <c r="R695" s="49" t="s">
        <v>52</v>
      </c>
      <c r="S695" s="49" t="str">
        <f t="shared" si="166"/>
        <v>No</v>
      </c>
      <c r="T695" t="str">
        <f t="shared" si="170"/>
        <v>SpaceHtg_eq__GasFurnace</v>
      </c>
      <c r="U695" s="47" t="str">
        <f t="shared" si="171"/>
        <v>SpaceHtg_eq__GasFurnace</v>
      </c>
      <c r="V695" s="47" t="s">
        <v>137</v>
      </c>
      <c r="W695" t="s">
        <v>138</v>
      </c>
      <c r="X695" s="47" t="s">
        <v>137</v>
      </c>
      <c r="Y695" t="s">
        <v>138</v>
      </c>
      <c r="Z695" s="47"/>
      <c r="AA695" s="47" t="s">
        <v>55</v>
      </c>
      <c r="AB695" s="47" t="s">
        <v>139</v>
      </c>
    </row>
    <row r="696" spans="1:28" x14ac:dyDescent="0.25">
      <c r="A696" s="3" t="s">
        <v>10691</v>
      </c>
      <c r="B696" s="27" t="s">
        <v>10675</v>
      </c>
      <c r="C696" t="s">
        <v>10699</v>
      </c>
      <c r="D696" t="s">
        <v>10700</v>
      </c>
      <c r="E696" t="s">
        <v>10701</v>
      </c>
      <c r="F696" t="s">
        <v>10693</v>
      </c>
      <c r="G696" s="3" t="str">
        <f t="shared" ref="G696:G705" si="175">F696</f>
        <v>Res-HW Boiler-AFUE93-Replacing-AFUE84_Noncond</v>
      </c>
      <c r="H696" t="s">
        <v>10703</v>
      </c>
      <c r="I696" t="s">
        <v>10704</v>
      </c>
      <c r="J696" t="s">
        <v>10705</v>
      </c>
      <c r="K696" t="s">
        <v>10706</v>
      </c>
      <c r="L696" t="s">
        <v>10706</v>
      </c>
      <c r="M696" t="s">
        <v>10705</v>
      </c>
      <c r="N696" s="3" t="str">
        <f t="shared" si="165"/>
        <v>MFm&amp;0&amp;rNCGF&amp;Ex&amp;SpaceHtg_eq__HotWaterBoiler</v>
      </c>
      <c r="O696" s="3" t="s">
        <v>63</v>
      </c>
      <c r="P696" s="3">
        <v>0</v>
      </c>
      <c r="Q696" s="3" t="s">
        <v>58</v>
      </c>
      <c r="R696" s="3" t="s">
        <v>52</v>
      </c>
      <c r="S696" s="3" t="str">
        <f t="shared" si="166"/>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x14ac:dyDescent="0.25">
      <c r="A697" s="3" t="s">
        <v>10691</v>
      </c>
      <c r="B697" s="27" t="s">
        <v>10675</v>
      </c>
      <c r="C697" t="s">
        <v>10699</v>
      </c>
      <c r="D697" t="s">
        <v>10700</v>
      </c>
      <c r="E697" t="s">
        <v>10701</v>
      </c>
      <c r="F697" t="s">
        <v>10694</v>
      </c>
      <c r="G697" s="3" t="str">
        <f t="shared" si="175"/>
        <v>Res-HW Boiler-AFUE94-Replacing-AFUE84_Noncond</v>
      </c>
      <c r="H697" t="s">
        <v>10703</v>
      </c>
      <c r="I697" t="s">
        <v>10704</v>
      </c>
      <c r="J697" t="s">
        <v>10707</v>
      </c>
      <c r="K697" t="s">
        <v>10706</v>
      </c>
      <c r="L697" t="s">
        <v>10706</v>
      </c>
      <c r="M697" t="s">
        <v>10707</v>
      </c>
      <c r="N697" s="3" t="str">
        <f t="shared" si="165"/>
        <v>MFm&amp;0&amp;rNCGF&amp;Ex&amp;SpaceHtg_eq__HotWaterBoiler</v>
      </c>
      <c r="O697" s="3" t="s">
        <v>63</v>
      </c>
      <c r="P697" s="3">
        <v>0</v>
      </c>
      <c r="Q697" s="3" t="s">
        <v>58</v>
      </c>
      <c r="R697" s="3" t="s">
        <v>52</v>
      </c>
      <c r="S697" s="3" t="str">
        <f t="shared" si="166"/>
        <v>No</v>
      </c>
      <c r="T697" s="3" t="str">
        <f t="shared" ref="T697:T707" si="176">V697&amp;"__"&amp;W697</f>
        <v>SpaceHtg_eq__HotWaterBoiler</v>
      </c>
      <c r="U697" s="3" t="str">
        <f t="shared" ref="U697:U707" si="177">X697&amp;"__"&amp;Y697</f>
        <v>SpaceHtg_eq__HotWaterBoiler</v>
      </c>
      <c r="V697" t="s">
        <v>137</v>
      </c>
      <c r="W697" s="3" t="s">
        <v>10716</v>
      </c>
      <c r="X697" t="s">
        <v>137</v>
      </c>
      <c r="Y697" s="3" t="s">
        <v>10716</v>
      </c>
      <c r="AA697" s="3" t="s">
        <v>55</v>
      </c>
      <c r="AB697" s="3" t="s">
        <v>10718</v>
      </c>
    </row>
    <row r="698" spans="1:28" x14ac:dyDescent="0.25">
      <c r="A698" s="3" t="s">
        <v>10691</v>
      </c>
      <c r="B698" s="27" t="s">
        <v>10675</v>
      </c>
      <c r="C698" t="s">
        <v>10699</v>
      </c>
      <c r="D698" t="s">
        <v>10700</v>
      </c>
      <c r="E698" t="s">
        <v>10701</v>
      </c>
      <c r="F698" t="s">
        <v>10695</v>
      </c>
      <c r="G698" s="3" t="str">
        <f t="shared" si="175"/>
        <v>Res-HW Boiler-AFUE85-Replacing-AFUE84_Noncond</v>
      </c>
      <c r="H698" t="s">
        <v>10703</v>
      </c>
      <c r="I698" t="s">
        <v>10704</v>
      </c>
      <c r="J698" t="s">
        <v>10708</v>
      </c>
      <c r="K698" t="s">
        <v>10706</v>
      </c>
      <c r="L698" t="s">
        <v>10706</v>
      </c>
      <c r="M698" t="s">
        <v>10708</v>
      </c>
      <c r="N698" s="3" t="str">
        <f t="shared" si="165"/>
        <v>MFm&amp;0&amp;rNCGF&amp;Ex&amp;SpaceHtg_eq__HotWaterBoiler</v>
      </c>
      <c r="O698" s="3" t="s">
        <v>63</v>
      </c>
      <c r="P698" s="3">
        <v>0</v>
      </c>
      <c r="Q698" s="3" t="s">
        <v>58</v>
      </c>
      <c r="R698" s="3" t="s">
        <v>52</v>
      </c>
      <c r="S698" s="3" t="str">
        <f t="shared" si="166"/>
        <v>No</v>
      </c>
      <c r="T698" s="3" t="str">
        <f t="shared" si="176"/>
        <v>SpaceHtg_eq__HotWaterBoiler</v>
      </c>
      <c r="U698" s="3" t="str">
        <f t="shared" si="177"/>
        <v>SpaceHtg_eq__HotWaterBoiler</v>
      </c>
      <c r="V698" t="s">
        <v>137</v>
      </c>
      <c r="W698" s="3" t="s">
        <v>10716</v>
      </c>
      <c r="X698" t="s">
        <v>137</v>
      </c>
      <c r="Y698" s="3" t="s">
        <v>10716</v>
      </c>
      <c r="AA698" s="3" t="s">
        <v>55</v>
      </c>
      <c r="AB698" s="3" t="s">
        <v>10718</v>
      </c>
    </row>
    <row r="699" spans="1:28" x14ac:dyDescent="0.25">
      <c r="A699" s="3" t="s">
        <v>10691</v>
      </c>
      <c r="B699" s="27" t="s">
        <v>10675</v>
      </c>
      <c r="C699" t="s">
        <v>10699</v>
      </c>
      <c r="D699" t="s">
        <v>10700</v>
      </c>
      <c r="E699" t="s">
        <v>10701</v>
      </c>
      <c r="F699" t="s">
        <v>10696</v>
      </c>
      <c r="G699" s="3" t="str">
        <f t="shared" si="175"/>
        <v>Res-HW Boiler-AFUE85.3-Replacing-AFUE83_Noncond</v>
      </c>
      <c r="H699" t="s">
        <v>10709</v>
      </c>
      <c r="I699" t="s">
        <v>10710</v>
      </c>
      <c r="J699" t="s">
        <v>10711</v>
      </c>
      <c r="K699" t="s">
        <v>10712</v>
      </c>
      <c r="L699" t="s">
        <v>10712</v>
      </c>
      <c r="M699" t="s">
        <v>10711</v>
      </c>
      <c r="N699" s="3" t="str">
        <f t="shared" si="165"/>
        <v>MFm&amp;0&amp;rNCGF&amp;Ex&amp;SpaceHtg_eq__HotWaterBoiler</v>
      </c>
      <c r="O699" s="3" t="s">
        <v>63</v>
      </c>
      <c r="P699" s="3">
        <v>0</v>
      </c>
      <c r="Q699" s="3" t="s">
        <v>58</v>
      </c>
      <c r="R699" s="3" t="s">
        <v>52</v>
      </c>
      <c r="S699" s="3" t="str">
        <f t="shared" si="166"/>
        <v>No</v>
      </c>
      <c r="T699" s="3" t="str">
        <f t="shared" si="176"/>
        <v>SpaceHtg_eq__HotWaterBoiler</v>
      </c>
      <c r="U699" s="3" t="str">
        <f t="shared" si="177"/>
        <v>SpaceHtg_eq__HotWaterBoiler</v>
      </c>
      <c r="V699" t="s">
        <v>137</v>
      </c>
      <c r="W699" s="3" t="s">
        <v>10716</v>
      </c>
      <c r="X699" t="s">
        <v>137</v>
      </c>
      <c r="Y699" s="3" t="s">
        <v>10716</v>
      </c>
      <c r="AA699" s="3" t="s">
        <v>55</v>
      </c>
      <c r="AB699" s="3" t="s">
        <v>10718</v>
      </c>
    </row>
    <row r="700" spans="1:28" x14ac:dyDescent="0.25">
      <c r="A700" s="3" t="s">
        <v>10691</v>
      </c>
      <c r="B700" s="27" t="s">
        <v>10675</v>
      </c>
      <c r="C700" t="s">
        <v>10699</v>
      </c>
      <c r="D700" t="s">
        <v>10700</v>
      </c>
      <c r="E700" t="s">
        <v>10701</v>
      </c>
      <c r="F700" t="s">
        <v>10697</v>
      </c>
      <c r="G700" s="3" t="str">
        <f t="shared" si="175"/>
        <v>Res-HW Boiler-AFUE93-Replacing-AFUE83_Noncond</v>
      </c>
      <c r="H700" t="s">
        <v>10709</v>
      </c>
      <c r="I700" t="s">
        <v>10710</v>
      </c>
      <c r="J700" t="s">
        <v>10705</v>
      </c>
      <c r="K700" t="s">
        <v>10712</v>
      </c>
      <c r="L700" t="s">
        <v>10712</v>
      </c>
      <c r="M700" t="s">
        <v>10705</v>
      </c>
      <c r="N700" s="3" t="str">
        <f t="shared" si="165"/>
        <v>MFm&amp;0&amp;rNCGF&amp;Ex&amp;SpaceHtg_eq__HotWaterBoiler</v>
      </c>
      <c r="O700" s="3" t="s">
        <v>63</v>
      </c>
      <c r="P700" s="3">
        <v>0</v>
      </c>
      <c r="Q700" s="3" t="s">
        <v>58</v>
      </c>
      <c r="R700" s="3" t="s">
        <v>52</v>
      </c>
      <c r="S700" s="3" t="str">
        <f t="shared" si="166"/>
        <v>No</v>
      </c>
      <c r="T700" s="3" t="str">
        <f t="shared" si="176"/>
        <v>SpaceHtg_eq__HotWaterBoiler</v>
      </c>
      <c r="U700" s="3" t="str">
        <f t="shared" si="177"/>
        <v>SpaceHtg_eq__HotWaterBoiler</v>
      </c>
      <c r="V700" t="s">
        <v>137</v>
      </c>
      <c r="W700" s="3" t="s">
        <v>10716</v>
      </c>
      <c r="X700" t="s">
        <v>137</v>
      </c>
      <c r="Y700" s="3" t="s">
        <v>10716</v>
      </c>
      <c r="AA700" s="3" t="s">
        <v>55</v>
      </c>
      <c r="AB700" s="3" t="s">
        <v>10718</v>
      </c>
    </row>
    <row r="701" spans="1:28" x14ac:dyDescent="0.25">
      <c r="A701" s="3" t="s">
        <v>10691</v>
      </c>
      <c r="B701" s="27" t="s">
        <v>10675</v>
      </c>
      <c r="C701" t="s">
        <v>10699</v>
      </c>
      <c r="D701" t="s">
        <v>10700</v>
      </c>
      <c r="E701" t="s">
        <v>10702</v>
      </c>
      <c r="F701" t="s">
        <v>10693</v>
      </c>
      <c r="G701" s="3" t="str">
        <f t="shared" si="175"/>
        <v>Res-HW Boiler-AFUE93-Replacing-AFUE84_Noncond</v>
      </c>
      <c r="H701" t="s">
        <v>10703</v>
      </c>
      <c r="I701" t="s">
        <v>10704</v>
      </c>
      <c r="J701" t="s">
        <v>10705</v>
      </c>
      <c r="K701" t="s">
        <v>10706</v>
      </c>
      <c r="L701" t="s">
        <v>10706</v>
      </c>
      <c r="M701" t="s">
        <v>10705</v>
      </c>
      <c r="N701" s="3" t="str">
        <f t="shared" si="165"/>
        <v>MFm&amp;0&amp;rNCGF&amp;New&amp;SpaceHtg_eq__HotWaterBoiler</v>
      </c>
      <c r="O701" s="3" t="s">
        <v>63</v>
      </c>
      <c r="P701" s="3">
        <v>0</v>
      </c>
      <c r="Q701" s="3" t="s">
        <v>58</v>
      </c>
      <c r="R701" s="3" t="s">
        <v>107</v>
      </c>
      <c r="S701" s="3" t="str">
        <f t="shared" si="166"/>
        <v>No</v>
      </c>
      <c r="T701" s="3" t="str">
        <f t="shared" si="176"/>
        <v>SpaceHtg_eq__HotWaterBoiler</v>
      </c>
      <c r="U701" s="3" t="str">
        <f t="shared" si="177"/>
        <v>SpaceHtg_eq__HotWaterBoiler</v>
      </c>
      <c r="V701" t="s">
        <v>137</v>
      </c>
      <c r="W701" s="3" t="s">
        <v>10716</v>
      </c>
      <c r="X701" t="s">
        <v>137</v>
      </c>
      <c r="Y701" s="3" t="s">
        <v>10716</v>
      </c>
      <c r="AA701" s="3" t="s">
        <v>55</v>
      </c>
      <c r="AB701" s="3" t="s">
        <v>10718</v>
      </c>
    </row>
    <row r="702" spans="1:28" x14ac:dyDescent="0.25">
      <c r="A702" s="3" t="s">
        <v>10691</v>
      </c>
      <c r="B702" s="27" t="s">
        <v>10675</v>
      </c>
      <c r="C702" t="s">
        <v>10699</v>
      </c>
      <c r="D702" t="s">
        <v>10700</v>
      </c>
      <c r="E702" t="s">
        <v>10702</v>
      </c>
      <c r="F702" t="s">
        <v>10694</v>
      </c>
      <c r="G702" s="3" t="str">
        <f t="shared" si="175"/>
        <v>Res-HW Boiler-AFUE94-Replacing-AFUE84_Noncond</v>
      </c>
      <c r="H702" t="s">
        <v>10703</v>
      </c>
      <c r="I702" t="s">
        <v>10704</v>
      </c>
      <c r="J702" t="s">
        <v>10707</v>
      </c>
      <c r="K702" t="s">
        <v>10706</v>
      </c>
      <c r="L702" t="s">
        <v>10706</v>
      </c>
      <c r="M702" t="s">
        <v>10707</v>
      </c>
      <c r="N702" s="3" t="str">
        <f t="shared" si="165"/>
        <v>MFm&amp;0&amp;rNCGF&amp;New&amp;SpaceHtg_eq__HotWaterBoiler</v>
      </c>
      <c r="O702" s="3" t="s">
        <v>63</v>
      </c>
      <c r="P702" s="3">
        <v>0</v>
      </c>
      <c r="Q702" s="3" t="s">
        <v>58</v>
      </c>
      <c r="R702" s="3" t="s">
        <v>107</v>
      </c>
      <c r="S702" s="3" t="str">
        <f t="shared" si="166"/>
        <v>No</v>
      </c>
      <c r="T702" s="3" t="str">
        <f t="shared" si="176"/>
        <v>SpaceHtg_eq__HotWaterBoiler</v>
      </c>
      <c r="U702" s="3" t="str">
        <f t="shared" si="177"/>
        <v>SpaceHtg_eq__HotWaterBoiler</v>
      </c>
      <c r="V702" t="s">
        <v>137</v>
      </c>
      <c r="W702" s="3" t="s">
        <v>10716</v>
      </c>
      <c r="X702" t="s">
        <v>137</v>
      </c>
      <c r="Y702" s="3" t="s">
        <v>10716</v>
      </c>
      <c r="AA702" s="3" t="s">
        <v>55</v>
      </c>
      <c r="AB702" s="3" t="s">
        <v>10718</v>
      </c>
    </row>
    <row r="703" spans="1:28" x14ac:dyDescent="0.25">
      <c r="A703" s="3" t="s">
        <v>10691</v>
      </c>
      <c r="B703" s="27" t="s">
        <v>10675</v>
      </c>
      <c r="C703" t="s">
        <v>10699</v>
      </c>
      <c r="D703" t="s">
        <v>10700</v>
      </c>
      <c r="E703" t="s">
        <v>10702</v>
      </c>
      <c r="F703" t="s">
        <v>10695</v>
      </c>
      <c r="G703" s="3" t="str">
        <f t="shared" si="175"/>
        <v>Res-HW Boiler-AFUE85-Replacing-AFUE84_Noncond</v>
      </c>
      <c r="H703" t="s">
        <v>10703</v>
      </c>
      <c r="I703" t="s">
        <v>10704</v>
      </c>
      <c r="J703" t="s">
        <v>10708</v>
      </c>
      <c r="K703" t="s">
        <v>10706</v>
      </c>
      <c r="L703" t="s">
        <v>10706</v>
      </c>
      <c r="M703" t="s">
        <v>10708</v>
      </c>
      <c r="N703" s="3" t="str">
        <f t="shared" si="165"/>
        <v>MFm&amp;0&amp;rNCGF&amp;New&amp;SpaceHtg_eq__HotWaterBoiler</v>
      </c>
      <c r="O703" s="3" t="s">
        <v>63</v>
      </c>
      <c r="P703" s="3">
        <v>0</v>
      </c>
      <c r="Q703" s="3" t="s">
        <v>58</v>
      </c>
      <c r="R703" s="3" t="s">
        <v>107</v>
      </c>
      <c r="S703" s="3" t="str">
        <f t="shared" si="166"/>
        <v>No</v>
      </c>
      <c r="T703" s="3" t="str">
        <f t="shared" si="176"/>
        <v>SpaceHtg_eq__HotWaterBoiler</v>
      </c>
      <c r="U703" s="3" t="str">
        <f t="shared" si="177"/>
        <v>SpaceHtg_eq__HotWaterBoiler</v>
      </c>
      <c r="V703" t="s">
        <v>137</v>
      </c>
      <c r="W703" s="3" t="s">
        <v>10716</v>
      </c>
      <c r="X703" t="s">
        <v>137</v>
      </c>
      <c r="Y703" s="3" t="s">
        <v>10716</v>
      </c>
      <c r="AA703" s="3" t="s">
        <v>55</v>
      </c>
      <c r="AB703" s="3" t="s">
        <v>10718</v>
      </c>
    </row>
    <row r="704" spans="1:28" x14ac:dyDescent="0.25">
      <c r="A704" s="3" t="s">
        <v>10691</v>
      </c>
      <c r="B704" s="27" t="s">
        <v>10675</v>
      </c>
      <c r="C704" t="s">
        <v>10699</v>
      </c>
      <c r="D704" t="s">
        <v>10700</v>
      </c>
      <c r="E704" t="s">
        <v>10702</v>
      </c>
      <c r="F704" t="s">
        <v>10696</v>
      </c>
      <c r="G704" s="3" t="str">
        <f t="shared" si="175"/>
        <v>Res-HW Boiler-AFUE85.3-Replacing-AFUE83_Noncond</v>
      </c>
      <c r="H704" t="s">
        <v>10709</v>
      </c>
      <c r="I704" t="s">
        <v>10710</v>
      </c>
      <c r="J704" t="s">
        <v>10711</v>
      </c>
      <c r="K704" t="s">
        <v>10712</v>
      </c>
      <c r="L704" t="s">
        <v>10712</v>
      </c>
      <c r="M704" t="s">
        <v>10711</v>
      </c>
      <c r="N704" s="3" t="str">
        <f t="shared" si="165"/>
        <v>MFm&amp;0&amp;rNCGF&amp;New&amp;SpaceHtg_eq__HotWaterBoiler</v>
      </c>
      <c r="O704" s="3" t="s">
        <v>63</v>
      </c>
      <c r="P704" s="3">
        <v>0</v>
      </c>
      <c r="Q704" s="3" t="s">
        <v>58</v>
      </c>
      <c r="R704" s="3" t="s">
        <v>107</v>
      </c>
      <c r="S704" s="3" t="str">
        <f t="shared" si="166"/>
        <v>No</v>
      </c>
      <c r="T704" s="3" t="str">
        <f t="shared" si="176"/>
        <v>SpaceHtg_eq__HotWaterBoiler</v>
      </c>
      <c r="U704" s="3" t="str">
        <f t="shared" si="177"/>
        <v>SpaceHtg_eq__HotWaterBoiler</v>
      </c>
      <c r="V704" t="s">
        <v>137</v>
      </c>
      <c r="W704" s="3" t="s">
        <v>10716</v>
      </c>
      <c r="X704" t="s">
        <v>137</v>
      </c>
      <c r="Y704" s="3" t="s">
        <v>10716</v>
      </c>
      <c r="AA704" s="3" t="s">
        <v>55</v>
      </c>
      <c r="AB704" s="3" t="s">
        <v>10718</v>
      </c>
    </row>
    <row r="705" spans="1:28" x14ac:dyDescent="0.25">
      <c r="A705" s="3" t="s">
        <v>10691</v>
      </c>
      <c r="B705" s="27" t="s">
        <v>10675</v>
      </c>
      <c r="C705" t="s">
        <v>10699</v>
      </c>
      <c r="D705" t="s">
        <v>10700</v>
      </c>
      <c r="E705" t="s">
        <v>10702</v>
      </c>
      <c r="F705" t="s">
        <v>10697</v>
      </c>
      <c r="G705" s="3" t="str">
        <f t="shared" si="175"/>
        <v>Res-HW Boiler-AFUE93-Replacing-AFUE83_Noncond</v>
      </c>
      <c r="H705" t="s">
        <v>10709</v>
      </c>
      <c r="I705" t="s">
        <v>10710</v>
      </c>
      <c r="J705" t="s">
        <v>10705</v>
      </c>
      <c r="K705" t="s">
        <v>10712</v>
      </c>
      <c r="L705" t="s">
        <v>10712</v>
      </c>
      <c r="M705" t="s">
        <v>10705</v>
      </c>
      <c r="N705" s="3" t="str">
        <f t="shared" si="165"/>
        <v>MFm&amp;0&amp;rNCGF&amp;New&amp;SpaceHtg_eq__HotWaterBoiler</v>
      </c>
      <c r="O705" s="3" t="s">
        <v>63</v>
      </c>
      <c r="P705" s="3">
        <v>0</v>
      </c>
      <c r="Q705" s="3" t="s">
        <v>58</v>
      </c>
      <c r="R705" s="3" t="s">
        <v>107</v>
      </c>
      <c r="S705" s="3" t="str">
        <f t="shared" si="166"/>
        <v>No</v>
      </c>
      <c r="T705" s="3" t="str">
        <f t="shared" si="176"/>
        <v>SpaceHtg_eq__HotWaterBoiler</v>
      </c>
      <c r="U705" s="3" t="str">
        <f t="shared" si="177"/>
        <v>SpaceHtg_eq__HotWaterBoiler</v>
      </c>
      <c r="V705" t="s">
        <v>137</v>
      </c>
      <c r="W705" s="3" t="s">
        <v>10716</v>
      </c>
      <c r="X705" t="s">
        <v>137</v>
      </c>
      <c r="Y705" s="3" t="s">
        <v>10716</v>
      </c>
      <c r="AA705" s="3" t="s">
        <v>55</v>
      </c>
      <c r="AB705" s="3" t="s">
        <v>10718</v>
      </c>
    </row>
    <row r="706" spans="1:28" x14ac:dyDescent="0.25">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65"/>
        <v>MFm&amp;0&amp;rNCGF&amp;Ex&amp;SpaceHtg_eq__SteamBoiler</v>
      </c>
      <c r="O706" s="3" t="s">
        <v>63</v>
      </c>
      <c r="P706" s="3">
        <v>0</v>
      </c>
      <c r="Q706" s="3" t="s">
        <v>58</v>
      </c>
      <c r="R706" s="3" t="s">
        <v>52</v>
      </c>
      <c r="S706" s="3" t="str">
        <f t="shared" si="166"/>
        <v>No</v>
      </c>
      <c r="T706" s="3" t="str">
        <f t="shared" si="176"/>
        <v>SpaceHtg_eq__SteamBoiler</v>
      </c>
      <c r="U706" s="3" t="str">
        <f t="shared" si="177"/>
        <v>SpaceHtg_eq__SteamBoiler</v>
      </c>
      <c r="V706" t="s">
        <v>137</v>
      </c>
      <c r="W706" s="3" t="s">
        <v>10717</v>
      </c>
      <c r="X706" t="s">
        <v>137</v>
      </c>
      <c r="Y706" s="3" t="s">
        <v>10717</v>
      </c>
      <c r="AA706" s="3" t="s">
        <v>55</v>
      </c>
      <c r="AB706" s="3" t="s">
        <v>10718</v>
      </c>
    </row>
    <row r="707" spans="1:28" x14ac:dyDescent="0.25">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65"/>
        <v>MFm&amp;0&amp;rNCGF&amp;New&amp;SpaceHtg_eq__SteamBoiler</v>
      </c>
      <c r="O707" s="3" t="s">
        <v>63</v>
      </c>
      <c r="P707" s="3">
        <v>0</v>
      </c>
      <c r="Q707" s="3" t="s">
        <v>58</v>
      </c>
      <c r="R707" s="3" t="s">
        <v>107</v>
      </c>
      <c r="S707" s="3" t="str">
        <f t="shared" si="166"/>
        <v>No</v>
      </c>
      <c r="T707" s="3" t="str">
        <f t="shared" si="176"/>
        <v>SpaceHtg_eq__SteamBoiler</v>
      </c>
      <c r="U707" s="3" t="str">
        <f t="shared" si="177"/>
        <v>SpaceHtg_eq__SteamBoiler</v>
      </c>
      <c r="V707" t="s">
        <v>137</v>
      </c>
      <c r="W707" s="3" t="s">
        <v>10717</v>
      </c>
      <c r="X707" t="s">
        <v>137</v>
      </c>
      <c r="Y707" s="3" t="s">
        <v>10717</v>
      </c>
      <c r="AA707" s="3" t="s">
        <v>55</v>
      </c>
      <c r="AB707" s="3" t="s">
        <v>10718</v>
      </c>
    </row>
    <row r="708" spans="1:28" x14ac:dyDescent="0.25">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65"/>
        <v>Asm&amp;0&amp;cDXGF&amp;Ex&amp;HV_AirDist</v>
      </c>
      <c r="O708" t="s">
        <v>10670</v>
      </c>
      <c r="P708">
        <v>0</v>
      </c>
      <c r="Q708" t="s">
        <v>10666</v>
      </c>
      <c r="R708" t="s">
        <v>52</v>
      </c>
      <c r="S708" t="s">
        <v>10734</v>
      </c>
      <c r="T708" t="s">
        <v>53</v>
      </c>
      <c r="U708" t="s">
        <v>53</v>
      </c>
    </row>
    <row r="709" spans="1:28" x14ac:dyDescent="0.25">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65"/>
        <v>ECC&amp;0&amp;cDXGF&amp;Ex&amp;HV_AirDist</v>
      </c>
      <c r="O709" t="s">
        <v>10671</v>
      </c>
      <c r="P709">
        <v>0</v>
      </c>
      <c r="Q709" t="s">
        <v>10666</v>
      </c>
      <c r="R709" t="s">
        <v>52</v>
      </c>
      <c r="S709" t="s">
        <v>10734</v>
      </c>
      <c r="T709" t="s">
        <v>53</v>
      </c>
      <c r="U709" t="s">
        <v>53</v>
      </c>
    </row>
    <row r="710" spans="1:28" x14ac:dyDescent="0.25">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65"/>
        <v>EPr&amp;0&amp;cDXGF&amp;Ex&amp;HV_AirDist</v>
      </c>
      <c r="O710" t="s">
        <v>10672</v>
      </c>
      <c r="P710">
        <v>0</v>
      </c>
      <c r="Q710" t="s">
        <v>10666</v>
      </c>
      <c r="R710" t="s">
        <v>52</v>
      </c>
      <c r="S710" t="s">
        <v>10734</v>
      </c>
      <c r="T710" t="s">
        <v>53</v>
      </c>
      <c r="U710" t="s">
        <v>53</v>
      </c>
    </row>
    <row r="711" spans="1:28" x14ac:dyDescent="0.25">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65"/>
        <v>ERC&amp;0&amp;cDXGF&amp;Ex&amp;HV_AirDist</v>
      </c>
      <c r="O711" t="s">
        <v>10735</v>
      </c>
      <c r="P711">
        <v>0</v>
      </c>
      <c r="Q711" t="s">
        <v>10666</v>
      </c>
      <c r="R711" t="s">
        <v>52</v>
      </c>
      <c r="S711" t="s">
        <v>10734</v>
      </c>
      <c r="T711" t="s">
        <v>53</v>
      </c>
      <c r="U711" t="s">
        <v>53</v>
      </c>
    </row>
    <row r="712" spans="1:28" x14ac:dyDescent="0.25">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65"/>
        <v>ESe&amp;0&amp;cDXGF&amp;Ex&amp;HV_AirDist</v>
      </c>
      <c r="O712" t="s">
        <v>10736</v>
      </c>
      <c r="P712">
        <v>0</v>
      </c>
      <c r="Q712" t="s">
        <v>10666</v>
      </c>
      <c r="R712" t="s">
        <v>52</v>
      </c>
      <c r="S712" t="s">
        <v>10734</v>
      </c>
      <c r="T712" t="s">
        <v>53</v>
      </c>
      <c r="U712" t="s">
        <v>53</v>
      </c>
    </row>
    <row r="713" spans="1:28" x14ac:dyDescent="0.25">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65"/>
        <v>EUn&amp;0&amp;cDXGF&amp;Ex&amp;HV_AirDist</v>
      </c>
      <c r="O713" t="s">
        <v>10737</v>
      </c>
      <c r="P713">
        <v>0</v>
      </c>
      <c r="Q713" t="s">
        <v>10666</v>
      </c>
      <c r="R713" t="s">
        <v>52</v>
      </c>
      <c r="S713" t="s">
        <v>10734</v>
      </c>
      <c r="T713" t="s">
        <v>53</v>
      </c>
      <c r="U713" t="s">
        <v>53</v>
      </c>
    </row>
    <row r="714" spans="1:28" x14ac:dyDescent="0.25">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65"/>
        <v>Gro&amp;0&amp;cDXGF&amp;Ex&amp;HV_AirDist</v>
      </c>
      <c r="O714" t="s">
        <v>10738</v>
      </c>
      <c r="P714">
        <v>0</v>
      </c>
      <c r="Q714" t="s">
        <v>10666</v>
      </c>
      <c r="R714" t="s">
        <v>52</v>
      </c>
      <c r="S714" t="s">
        <v>10734</v>
      </c>
      <c r="T714" t="s">
        <v>53</v>
      </c>
      <c r="U714" t="s">
        <v>53</v>
      </c>
    </row>
    <row r="715" spans="1:28" x14ac:dyDescent="0.25">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65"/>
        <v>Hsp&amp;0&amp;cDXGF&amp;Ex&amp;HV_AirDist</v>
      </c>
      <c r="O715" t="s">
        <v>10739</v>
      </c>
      <c r="P715">
        <v>0</v>
      </c>
      <c r="Q715" t="s">
        <v>10666</v>
      </c>
      <c r="R715" t="s">
        <v>52</v>
      </c>
      <c r="S715" t="s">
        <v>10734</v>
      </c>
      <c r="T715" t="s">
        <v>53</v>
      </c>
      <c r="U715" t="s">
        <v>53</v>
      </c>
    </row>
    <row r="716" spans="1:28" x14ac:dyDescent="0.25">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65"/>
        <v>Htl&amp;0&amp;cDXGF&amp;Ex&amp;HV_AirDist</v>
      </c>
      <c r="O716" t="s">
        <v>10673</v>
      </c>
      <c r="P716">
        <v>0</v>
      </c>
      <c r="Q716" t="s">
        <v>10666</v>
      </c>
      <c r="R716" t="s">
        <v>52</v>
      </c>
      <c r="S716" t="s">
        <v>10734</v>
      </c>
      <c r="T716" t="s">
        <v>53</v>
      </c>
      <c r="U716" t="s">
        <v>53</v>
      </c>
    </row>
    <row r="717" spans="1:28" x14ac:dyDescent="0.25">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65"/>
        <v>MBT&amp;0&amp;cDXGF&amp;Ex&amp;HV_AirDist</v>
      </c>
      <c r="O717" t="s">
        <v>10740</v>
      </c>
      <c r="P717">
        <v>0</v>
      </c>
      <c r="Q717" t="s">
        <v>10666</v>
      </c>
      <c r="R717" t="s">
        <v>52</v>
      </c>
      <c r="S717" t="s">
        <v>10734</v>
      </c>
      <c r="T717" t="s">
        <v>53</v>
      </c>
      <c r="U717" t="s">
        <v>53</v>
      </c>
    </row>
    <row r="718" spans="1:28" x14ac:dyDescent="0.25">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65"/>
        <v>MLI&amp;0&amp;cDXGF&amp;Ex&amp;HV_AirDist</v>
      </c>
      <c r="O718" t="s">
        <v>10741</v>
      </c>
      <c r="P718">
        <v>0</v>
      </c>
      <c r="Q718" t="s">
        <v>10666</v>
      </c>
      <c r="R718" t="s">
        <v>52</v>
      </c>
      <c r="S718" t="s">
        <v>10734</v>
      </c>
      <c r="T718" t="s">
        <v>53</v>
      </c>
      <c r="U718" t="s">
        <v>53</v>
      </c>
    </row>
    <row r="719" spans="1:28" x14ac:dyDescent="0.25">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65"/>
        <v>Mtl&amp;0&amp;cDXGF&amp;Ex&amp;HV_AirDist</v>
      </c>
      <c r="O719" t="s">
        <v>10742</v>
      </c>
      <c r="P719">
        <v>0</v>
      </c>
      <c r="Q719" t="s">
        <v>10666</v>
      </c>
      <c r="R719" t="s">
        <v>52</v>
      </c>
      <c r="S719" t="s">
        <v>10734</v>
      </c>
      <c r="T719" t="s">
        <v>53</v>
      </c>
      <c r="U719" t="s">
        <v>53</v>
      </c>
    </row>
    <row r="720" spans="1:28" x14ac:dyDescent="0.25">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65"/>
        <v>Nrs&amp;0&amp;cDXGF&amp;Ex&amp;HV_AirDist</v>
      </c>
      <c r="O720" t="s">
        <v>10743</v>
      </c>
      <c r="P720">
        <v>0</v>
      </c>
      <c r="Q720" t="s">
        <v>10666</v>
      </c>
      <c r="R720" t="s">
        <v>52</v>
      </c>
      <c r="S720" t="s">
        <v>10734</v>
      </c>
      <c r="T720" t="s">
        <v>53</v>
      </c>
      <c r="U720" t="s">
        <v>53</v>
      </c>
    </row>
    <row r="721" spans="1:21" x14ac:dyDescent="0.25">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65"/>
        <v>OfL&amp;0&amp;cDXGF&amp;Ex&amp;HV_AirDist</v>
      </c>
      <c r="O721" t="s">
        <v>10744</v>
      </c>
      <c r="P721">
        <v>0</v>
      </c>
      <c r="Q721" t="s">
        <v>10666</v>
      </c>
      <c r="R721" t="s">
        <v>52</v>
      </c>
      <c r="S721" t="s">
        <v>10734</v>
      </c>
      <c r="T721" t="s">
        <v>53</v>
      </c>
      <c r="U721" t="s">
        <v>53</v>
      </c>
    </row>
    <row r="722" spans="1:21" x14ac:dyDescent="0.25">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65"/>
        <v>OfS&amp;0&amp;cDXGF&amp;Ex&amp;HV_AirDist</v>
      </c>
      <c r="O722" t="s">
        <v>10745</v>
      </c>
      <c r="P722">
        <v>0</v>
      </c>
      <c r="Q722" t="s">
        <v>10666</v>
      </c>
      <c r="R722" t="s">
        <v>52</v>
      </c>
      <c r="S722" t="s">
        <v>10734</v>
      </c>
      <c r="T722" t="s">
        <v>53</v>
      </c>
      <c r="U722" t="s">
        <v>53</v>
      </c>
    </row>
    <row r="723" spans="1:21" x14ac:dyDescent="0.25">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65"/>
        <v>RFF&amp;0&amp;cDXGF&amp;Ex&amp;HV_AirDist</v>
      </c>
      <c r="O723" t="s">
        <v>10746</v>
      </c>
      <c r="P723">
        <v>0</v>
      </c>
      <c r="Q723" t="s">
        <v>10666</v>
      </c>
      <c r="R723" t="s">
        <v>52</v>
      </c>
      <c r="S723" t="s">
        <v>10734</v>
      </c>
      <c r="T723" t="s">
        <v>53</v>
      </c>
      <c r="U723" t="s">
        <v>53</v>
      </c>
    </row>
    <row r="724" spans="1:21" x14ac:dyDescent="0.25">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65"/>
        <v>RSD&amp;0&amp;cDXGF&amp;Ex&amp;HV_AirDist</v>
      </c>
      <c r="O724" t="s">
        <v>10747</v>
      </c>
      <c r="P724">
        <v>0</v>
      </c>
      <c r="Q724" t="s">
        <v>10666</v>
      </c>
      <c r="R724" t="s">
        <v>52</v>
      </c>
      <c r="S724" t="s">
        <v>10734</v>
      </c>
      <c r="T724" t="s">
        <v>53</v>
      </c>
      <c r="U724" t="s">
        <v>53</v>
      </c>
    </row>
    <row r="725" spans="1:21" x14ac:dyDescent="0.25">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65"/>
        <v>Rt3&amp;0&amp;cDXGF&amp;Ex&amp;HV_AirDist</v>
      </c>
      <c r="O725" t="s">
        <v>10748</v>
      </c>
      <c r="P725">
        <v>0</v>
      </c>
      <c r="Q725" t="s">
        <v>10666</v>
      </c>
      <c r="R725" t="s">
        <v>52</v>
      </c>
      <c r="S725" t="s">
        <v>10734</v>
      </c>
      <c r="T725" t="s">
        <v>53</v>
      </c>
      <c r="U725" t="s">
        <v>53</v>
      </c>
    </row>
    <row r="726" spans="1:21" x14ac:dyDescent="0.25">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65"/>
        <v>RtL&amp;0&amp;cDXGF&amp;Ex&amp;HV_AirDist</v>
      </c>
      <c r="O726" t="s">
        <v>10749</v>
      </c>
      <c r="P726">
        <v>0</v>
      </c>
      <c r="Q726" t="s">
        <v>10666</v>
      </c>
      <c r="R726" t="s">
        <v>52</v>
      </c>
      <c r="S726" t="s">
        <v>10734</v>
      </c>
      <c r="T726" t="s">
        <v>53</v>
      </c>
      <c r="U726" t="s">
        <v>53</v>
      </c>
    </row>
    <row r="727" spans="1:21" x14ac:dyDescent="0.25">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65"/>
        <v>RtS&amp;0&amp;cDXGF&amp;Ex&amp;HV_AirDist</v>
      </c>
      <c r="O727" t="s">
        <v>10750</v>
      </c>
      <c r="P727">
        <v>0</v>
      </c>
      <c r="Q727" t="s">
        <v>10666</v>
      </c>
      <c r="R727" t="s">
        <v>52</v>
      </c>
      <c r="S727" t="s">
        <v>10734</v>
      </c>
      <c r="T727" t="s">
        <v>53</v>
      </c>
      <c r="U727" t="s">
        <v>53</v>
      </c>
    </row>
    <row r="728" spans="1:21" x14ac:dyDescent="0.25">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65"/>
        <v>SCn&amp;0&amp;cDXGF&amp;Ex&amp;HV_AirDist</v>
      </c>
      <c r="O728" t="s">
        <v>10751</v>
      </c>
      <c r="P728">
        <v>0</v>
      </c>
      <c r="Q728" t="s">
        <v>10666</v>
      </c>
      <c r="R728" t="s">
        <v>52</v>
      </c>
      <c r="S728" t="s">
        <v>10734</v>
      </c>
      <c r="T728" t="s">
        <v>53</v>
      </c>
      <c r="U728" t="s">
        <v>53</v>
      </c>
    </row>
    <row r="729" spans="1:21" x14ac:dyDescent="0.25">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65"/>
        <v>Asm&amp;0&amp;cDXHP&amp;Ex&amp;HV_AirDist</v>
      </c>
      <c r="O729" t="s">
        <v>10670</v>
      </c>
      <c r="P729">
        <v>0</v>
      </c>
      <c r="Q729" t="s">
        <v>10752</v>
      </c>
      <c r="R729" t="s">
        <v>52</v>
      </c>
      <c r="S729" t="s">
        <v>10734</v>
      </c>
      <c r="T729" t="s">
        <v>53</v>
      </c>
      <c r="U729" t="s">
        <v>53</v>
      </c>
    </row>
    <row r="730" spans="1:21" x14ac:dyDescent="0.25">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65"/>
        <v>ECC&amp;0&amp;cDXHP&amp;Ex&amp;HV_AirDist</v>
      </c>
      <c r="O730" t="s">
        <v>10671</v>
      </c>
      <c r="P730">
        <v>0</v>
      </c>
      <c r="Q730" t="s">
        <v>10752</v>
      </c>
      <c r="R730" t="s">
        <v>52</v>
      </c>
      <c r="S730" t="s">
        <v>10734</v>
      </c>
      <c r="T730" t="s">
        <v>53</v>
      </c>
      <c r="U730" t="s">
        <v>53</v>
      </c>
    </row>
    <row r="731" spans="1:21" x14ac:dyDescent="0.25">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65"/>
        <v>EPr&amp;0&amp;cDXHP&amp;Ex&amp;HV_AirDist</v>
      </c>
      <c r="O731" t="s">
        <v>10672</v>
      </c>
      <c r="P731">
        <v>0</v>
      </c>
      <c r="Q731" t="s">
        <v>10752</v>
      </c>
      <c r="R731" t="s">
        <v>52</v>
      </c>
      <c r="S731" t="s">
        <v>10734</v>
      </c>
      <c r="T731" t="s">
        <v>53</v>
      </c>
      <c r="U731" t="s">
        <v>53</v>
      </c>
    </row>
    <row r="732" spans="1:21" x14ac:dyDescent="0.25">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65"/>
        <v>ERC&amp;0&amp;cDXHP&amp;Ex&amp;HV_AirDist</v>
      </c>
      <c r="O732" t="s">
        <v>10735</v>
      </c>
      <c r="P732">
        <v>0</v>
      </c>
      <c r="Q732" t="s">
        <v>10752</v>
      </c>
      <c r="R732" t="s">
        <v>52</v>
      </c>
      <c r="S732" t="s">
        <v>10734</v>
      </c>
      <c r="T732" t="s">
        <v>53</v>
      </c>
      <c r="U732" t="s">
        <v>53</v>
      </c>
    </row>
    <row r="733" spans="1:21" x14ac:dyDescent="0.25">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65"/>
        <v>ESe&amp;0&amp;cDXHP&amp;Ex&amp;HV_AirDist</v>
      </c>
      <c r="O733" t="s">
        <v>10736</v>
      </c>
      <c r="P733">
        <v>0</v>
      </c>
      <c r="Q733" t="s">
        <v>10752</v>
      </c>
      <c r="R733" t="s">
        <v>52</v>
      </c>
      <c r="S733" t="s">
        <v>10734</v>
      </c>
      <c r="T733" t="s">
        <v>53</v>
      </c>
      <c r="U733" t="s">
        <v>53</v>
      </c>
    </row>
    <row r="734" spans="1:21" x14ac:dyDescent="0.25">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65"/>
        <v>EUn&amp;0&amp;cDXHP&amp;Ex&amp;HV_AirDist</v>
      </c>
      <c r="O734" t="s">
        <v>10737</v>
      </c>
      <c r="P734">
        <v>0</v>
      </c>
      <c r="Q734" t="s">
        <v>10752</v>
      </c>
      <c r="R734" t="s">
        <v>52</v>
      </c>
      <c r="S734" t="s">
        <v>10734</v>
      </c>
      <c r="T734" t="s">
        <v>53</v>
      </c>
      <c r="U734" t="s">
        <v>53</v>
      </c>
    </row>
    <row r="735" spans="1:21" x14ac:dyDescent="0.25">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65"/>
        <v>Gro&amp;0&amp;cDXHP&amp;Ex&amp;HV_AirDist</v>
      </c>
      <c r="O735" t="s">
        <v>10738</v>
      </c>
      <c r="P735">
        <v>0</v>
      </c>
      <c r="Q735" t="s">
        <v>10752</v>
      </c>
      <c r="R735" t="s">
        <v>52</v>
      </c>
      <c r="S735" t="s">
        <v>10734</v>
      </c>
      <c r="T735" t="s">
        <v>53</v>
      </c>
      <c r="U735" t="s">
        <v>53</v>
      </c>
    </row>
    <row r="736" spans="1:21" x14ac:dyDescent="0.25">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78">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x14ac:dyDescent="0.25">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78"/>
        <v>Htl&amp;0&amp;cDXHP&amp;Ex&amp;HV_AirDist</v>
      </c>
      <c r="O737" t="s">
        <v>10673</v>
      </c>
      <c r="P737">
        <v>0</v>
      </c>
      <c r="Q737" t="s">
        <v>10752</v>
      </c>
      <c r="R737" t="s">
        <v>52</v>
      </c>
      <c r="S737" t="s">
        <v>10734</v>
      </c>
      <c r="T737" t="s">
        <v>53</v>
      </c>
      <c r="U737" t="s">
        <v>53</v>
      </c>
    </row>
    <row r="738" spans="1:21" x14ac:dyDescent="0.25">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78"/>
        <v>MBT&amp;0&amp;cDXHP&amp;Ex&amp;HV_AirDist</v>
      </c>
      <c r="O738" t="s">
        <v>10740</v>
      </c>
      <c r="P738">
        <v>0</v>
      </c>
      <c r="Q738" t="s">
        <v>10752</v>
      </c>
      <c r="R738" t="s">
        <v>52</v>
      </c>
      <c r="S738" t="s">
        <v>10734</v>
      </c>
      <c r="T738" t="s">
        <v>53</v>
      </c>
      <c r="U738" t="s">
        <v>53</v>
      </c>
    </row>
    <row r="739" spans="1:21" x14ac:dyDescent="0.25">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78"/>
        <v>MLI&amp;0&amp;cDXHP&amp;Ex&amp;HV_AirDist</v>
      </c>
      <c r="O739" t="s">
        <v>10741</v>
      </c>
      <c r="P739">
        <v>0</v>
      </c>
      <c r="Q739" t="s">
        <v>10752</v>
      </c>
      <c r="R739" t="s">
        <v>52</v>
      </c>
      <c r="S739" t="s">
        <v>10734</v>
      </c>
      <c r="T739" t="s">
        <v>53</v>
      </c>
      <c r="U739" t="s">
        <v>53</v>
      </c>
    </row>
    <row r="740" spans="1:21" x14ac:dyDescent="0.25">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78"/>
        <v>Mtl&amp;0&amp;cDXHP&amp;Ex&amp;HV_AirDist</v>
      </c>
      <c r="O740" t="s">
        <v>10742</v>
      </c>
      <c r="P740">
        <v>0</v>
      </c>
      <c r="Q740" t="s">
        <v>10752</v>
      </c>
      <c r="R740" t="s">
        <v>52</v>
      </c>
      <c r="S740" t="s">
        <v>10734</v>
      </c>
      <c r="T740" t="s">
        <v>53</v>
      </c>
      <c r="U740" t="s">
        <v>53</v>
      </c>
    </row>
    <row r="741" spans="1:21" x14ac:dyDescent="0.25">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78"/>
        <v>Nrs&amp;0&amp;cDXHP&amp;Ex&amp;HV_AirDist</v>
      </c>
      <c r="O741" t="s">
        <v>10743</v>
      </c>
      <c r="P741">
        <v>0</v>
      </c>
      <c r="Q741" t="s">
        <v>10752</v>
      </c>
      <c r="R741" t="s">
        <v>52</v>
      </c>
      <c r="S741" t="s">
        <v>10734</v>
      </c>
      <c r="T741" t="s">
        <v>53</v>
      </c>
      <c r="U741" t="s">
        <v>53</v>
      </c>
    </row>
    <row r="742" spans="1:21" x14ac:dyDescent="0.25">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78"/>
        <v>OfL&amp;0&amp;cDXHP&amp;Ex&amp;HV_AirDist</v>
      </c>
      <c r="O742" t="s">
        <v>10744</v>
      </c>
      <c r="P742">
        <v>0</v>
      </c>
      <c r="Q742" t="s">
        <v>10752</v>
      </c>
      <c r="R742" t="s">
        <v>52</v>
      </c>
      <c r="S742" t="s">
        <v>10734</v>
      </c>
      <c r="T742" t="s">
        <v>53</v>
      </c>
      <c r="U742" t="s">
        <v>53</v>
      </c>
    </row>
    <row r="743" spans="1:21" x14ac:dyDescent="0.25">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78"/>
        <v>OfS&amp;0&amp;cDXHP&amp;Ex&amp;HV_AirDist</v>
      </c>
      <c r="O743" t="s">
        <v>10745</v>
      </c>
      <c r="P743">
        <v>0</v>
      </c>
      <c r="Q743" t="s">
        <v>10752</v>
      </c>
      <c r="R743" t="s">
        <v>52</v>
      </c>
      <c r="S743" t="s">
        <v>10734</v>
      </c>
      <c r="T743" t="s">
        <v>53</v>
      </c>
      <c r="U743" t="s">
        <v>53</v>
      </c>
    </row>
    <row r="744" spans="1:21" x14ac:dyDescent="0.25">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78"/>
        <v>RFF&amp;0&amp;cDXHP&amp;Ex&amp;HV_AirDist</v>
      </c>
      <c r="O744" t="s">
        <v>10746</v>
      </c>
      <c r="P744">
        <v>0</v>
      </c>
      <c r="Q744" t="s">
        <v>10752</v>
      </c>
      <c r="R744" t="s">
        <v>52</v>
      </c>
      <c r="S744" t="s">
        <v>10734</v>
      </c>
      <c r="T744" t="s">
        <v>53</v>
      </c>
      <c r="U744" t="s">
        <v>53</v>
      </c>
    </row>
    <row r="745" spans="1:21" x14ac:dyDescent="0.25">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78"/>
        <v>RSD&amp;0&amp;cDXHP&amp;Ex&amp;HV_AirDist</v>
      </c>
      <c r="O745" t="s">
        <v>10747</v>
      </c>
      <c r="P745">
        <v>0</v>
      </c>
      <c r="Q745" t="s">
        <v>10752</v>
      </c>
      <c r="R745" t="s">
        <v>52</v>
      </c>
      <c r="S745" t="s">
        <v>10734</v>
      </c>
      <c r="T745" t="s">
        <v>53</v>
      </c>
      <c r="U745" t="s">
        <v>53</v>
      </c>
    </row>
    <row r="746" spans="1:21" x14ac:dyDescent="0.25">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78"/>
        <v>Rt3&amp;0&amp;cDXHP&amp;Ex&amp;HV_AirDist</v>
      </c>
      <c r="O746" t="s">
        <v>10748</v>
      </c>
      <c r="P746">
        <v>0</v>
      </c>
      <c r="Q746" t="s">
        <v>10752</v>
      </c>
      <c r="R746" t="s">
        <v>52</v>
      </c>
      <c r="S746" t="s">
        <v>10734</v>
      </c>
      <c r="T746" t="s">
        <v>53</v>
      </c>
      <c r="U746" t="s">
        <v>53</v>
      </c>
    </row>
    <row r="747" spans="1:21" x14ac:dyDescent="0.25">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78"/>
        <v>RtL&amp;0&amp;cDXHP&amp;Ex&amp;HV_AirDist</v>
      </c>
      <c r="O747" t="s">
        <v>10749</v>
      </c>
      <c r="P747">
        <v>0</v>
      </c>
      <c r="Q747" t="s">
        <v>10752</v>
      </c>
      <c r="R747" t="s">
        <v>52</v>
      </c>
      <c r="S747" t="s">
        <v>10734</v>
      </c>
      <c r="T747" t="s">
        <v>53</v>
      </c>
      <c r="U747" t="s">
        <v>53</v>
      </c>
    </row>
    <row r="748" spans="1:21" x14ac:dyDescent="0.25">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78"/>
        <v>RtS&amp;0&amp;cDXHP&amp;Ex&amp;HV_AirDist</v>
      </c>
      <c r="O748" t="s">
        <v>10750</v>
      </c>
      <c r="P748">
        <v>0</v>
      </c>
      <c r="Q748" t="s">
        <v>10752</v>
      </c>
      <c r="R748" t="s">
        <v>52</v>
      </c>
      <c r="S748" t="s">
        <v>10734</v>
      </c>
      <c r="T748" t="s">
        <v>53</v>
      </c>
      <c r="U748" t="s">
        <v>53</v>
      </c>
    </row>
    <row r="749" spans="1:21" x14ac:dyDescent="0.25">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78"/>
        <v>SCn&amp;0&amp;cDXHP&amp;Ex&amp;HV_AirDist</v>
      </c>
      <c r="O749" t="s">
        <v>10751</v>
      </c>
      <c r="P749">
        <v>0</v>
      </c>
      <c r="Q749" t="s">
        <v>10752</v>
      </c>
      <c r="R749" t="s">
        <v>52</v>
      </c>
      <c r="S749" t="s">
        <v>10734</v>
      </c>
      <c r="T749" t="s">
        <v>53</v>
      </c>
      <c r="U749" t="s">
        <v>53</v>
      </c>
    </row>
    <row r="750" spans="1:21" x14ac:dyDescent="0.25">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78"/>
        <v>Asm&amp;0&amp;cDXOH&amp;Ex&amp;HV_AirDist</v>
      </c>
      <c r="O750" t="s">
        <v>10670</v>
      </c>
      <c r="P750">
        <v>0</v>
      </c>
      <c r="Q750" t="s">
        <v>10753</v>
      </c>
      <c r="R750" t="s">
        <v>52</v>
      </c>
      <c r="S750" t="s">
        <v>10734</v>
      </c>
      <c r="T750" t="s">
        <v>53</v>
      </c>
      <c r="U750" t="s">
        <v>53</v>
      </c>
    </row>
    <row r="751" spans="1:21" x14ac:dyDescent="0.25">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78"/>
        <v>ECC&amp;0&amp;cDXOH&amp;Ex&amp;HV_AirDist</v>
      </c>
      <c r="O751" t="s">
        <v>10671</v>
      </c>
      <c r="P751">
        <v>0</v>
      </c>
      <c r="Q751" t="s">
        <v>10753</v>
      </c>
      <c r="R751" t="s">
        <v>52</v>
      </c>
      <c r="S751" t="s">
        <v>10734</v>
      </c>
      <c r="T751" t="s">
        <v>53</v>
      </c>
      <c r="U751" t="s">
        <v>53</v>
      </c>
    </row>
    <row r="752" spans="1:21" x14ac:dyDescent="0.25">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78"/>
        <v>EPr&amp;0&amp;cDXOH&amp;Ex&amp;HV_AirDist</v>
      </c>
      <c r="O752" t="s">
        <v>10672</v>
      </c>
      <c r="P752">
        <v>0</v>
      </c>
      <c r="Q752" t="s">
        <v>10753</v>
      </c>
      <c r="R752" t="s">
        <v>52</v>
      </c>
      <c r="S752" t="s">
        <v>10734</v>
      </c>
      <c r="T752" t="s">
        <v>53</v>
      </c>
      <c r="U752" t="s">
        <v>53</v>
      </c>
    </row>
    <row r="753" spans="1:21" x14ac:dyDescent="0.25">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78"/>
        <v>ERC&amp;0&amp;cDXOH&amp;Ex&amp;HV_AirDist</v>
      </c>
      <c r="O753" t="s">
        <v>10735</v>
      </c>
      <c r="P753">
        <v>0</v>
      </c>
      <c r="Q753" t="s">
        <v>10753</v>
      </c>
      <c r="R753" t="s">
        <v>52</v>
      </c>
      <c r="S753" t="s">
        <v>10734</v>
      </c>
      <c r="T753" t="s">
        <v>53</v>
      </c>
      <c r="U753" t="s">
        <v>53</v>
      </c>
    </row>
    <row r="754" spans="1:21" x14ac:dyDescent="0.25">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78"/>
        <v>ESe&amp;0&amp;cDXOH&amp;Ex&amp;HV_AirDist</v>
      </c>
      <c r="O754" t="s">
        <v>10736</v>
      </c>
      <c r="P754">
        <v>0</v>
      </c>
      <c r="Q754" t="s">
        <v>10753</v>
      </c>
      <c r="R754" t="s">
        <v>52</v>
      </c>
      <c r="S754" t="s">
        <v>10734</v>
      </c>
      <c r="T754" t="s">
        <v>53</v>
      </c>
      <c r="U754" t="s">
        <v>53</v>
      </c>
    </row>
    <row r="755" spans="1:21" x14ac:dyDescent="0.25">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78"/>
        <v>EUn&amp;0&amp;cDXOH&amp;Ex&amp;HV_AirDist</v>
      </c>
      <c r="O755" t="s">
        <v>10737</v>
      </c>
      <c r="P755">
        <v>0</v>
      </c>
      <c r="Q755" t="s">
        <v>10753</v>
      </c>
      <c r="R755" t="s">
        <v>52</v>
      </c>
      <c r="S755" t="s">
        <v>10734</v>
      </c>
      <c r="T755" t="s">
        <v>53</v>
      </c>
      <c r="U755" t="s">
        <v>53</v>
      </c>
    </row>
    <row r="756" spans="1:21" x14ac:dyDescent="0.25">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78"/>
        <v>Gro&amp;0&amp;cDXOH&amp;Ex&amp;HV_AirDist</v>
      </c>
      <c r="O756" t="s">
        <v>10738</v>
      </c>
      <c r="P756">
        <v>0</v>
      </c>
      <c r="Q756" t="s">
        <v>10753</v>
      </c>
      <c r="R756" t="s">
        <v>52</v>
      </c>
      <c r="S756" t="s">
        <v>10734</v>
      </c>
      <c r="T756" t="s">
        <v>53</v>
      </c>
      <c r="U756" t="s">
        <v>53</v>
      </c>
    </row>
    <row r="757" spans="1:21" x14ac:dyDescent="0.25">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78"/>
        <v>Hsp&amp;0&amp;cDXOH&amp;Ex&amp;HV_AirDist</v>
      </c>
      <c r="O757" t="s">
        <v>10739</v>
      </c>
      <c r="P757">
        <v>0</v>
      </c>
      <c r="Q757" t="s">
        <v>10753</v>
      </c>
      <c r="R757" t="s">
        <v>52</v>
      </c>
      <c r="S757" t="s">
        <v>10734</v>
      </c>
      <c r="T757" t="s">
        <v>53</v>
      </c>
      <c r="U757" t="s">
        <v>53</v>
      </c>
    </row>
    <row r="758" spans="1:21" x14ac:dyDescent="0.25">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78"/>
        <v>Htl&amp;0&amp;cDXOH&amp;Ex&amp;HV_AirDist</v>
      </c>
      <c r="O758" t="s">
        <v>10673</v>
      </c>
      <c r="P758">
        <v>0</v>
      </c>
      <c r="Q758" t="s">
        <v>10753</v>
      </c>
      <c r="R758" t="s">
        <v>52</v>
      </c>
      <c r="S758" t="s">
        <v>10734</v>
      </c>
      <c r="T758" t="s">
        <v>53</v>
      </c>
      <c r="U758" t="s">
        <v>53</v>
      </c>
    </row>
    <row r="759" spans="1:21" x14ac:dyDescent="0.25">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78"/>
        <v>MBT&amp;0&amp;cDXOH&amp;Ex&amp;HV_AirDist</v>
      </c>
      <c r="O759" t="s">
        <v>10740</v>
      </c>
      <c r="P759">
        <v>0</v>
      </c>
      <c r="Q759" t="s">
        <v>10753</v>
      </c>
      <c r="R759" t="s">
        <v>52</v>
      </c>
      <c r="S759" t="s">
        <v>10734</v>
      </c>
      <c r="T759" t="s">
        <v>53</v>
      </c>
      <c r="U759" t="s">
        <v>53</v>
      </c>
    </row>
    <row r="760" spans="1:21" x14ac:dyDescent="0.25">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78"/>
        <v>MLI&amp;0&amp;cDXOH&amp;Ex&amp;HV_AirDist</v>
      </c>
      <c r="O760" t="s">
        <v>10741</v>
      </c>
      <c r="P760">
        <v>0</v>
      </c>
      <c r="Q760" t="s">
        <v>10753</v>
      </c>
      <c r="R760" t="s">
        <v>52</v>
      </c>
      <c r="S760" t="s">
        <v>10734</v>
      </c>
      <c r="T760" t="s">
        <v>53</v>
      </c>
      <c r="U760" t="s">
        <v>53</v>
      </c>
    </row>
    <row r="761" spans="1:21" x14ac:dyDescent="0.25">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78"/>
        <v>Mtl&amp;0&amp;cDXOH&amp;Ex&amp;HV_AirDist</v>
      </c>
      <c r="O761" t="s">
        <v>10742</v>
      </c>
      <c r="P761">
        <v>0</v>
      </c>
      <c r="Q761" t="s">
        <v>10753</v>
      </c>
      <c r="R761" t="s">
        <v>52</v>
      </c>
      <c r="S761" t="s">
        <v>10734</v>
      </c>
      <c r="T761" t="s">
        <v>53</v>
      </c>
      <c r="U761" t="s">
        <v>53</v>
      </c>
    </row>
    <row r="762" spans="1:21" x14ac:dyDescent="0.25">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78"/>
        <v>Nrs&amp;0&amp;cDXOH&amp;Ex&amp;HV_AirDist</v>
      </c>
      <c r="O762" t="s">
        <v>10743</v>
      </c>
      <c r="P762">
        <v>0</v>
      </c>
      <c r="Q762" t="s">
        <v>10753</v>
      </c>
      <c r="R762" t="s">
        <v>52</v>
      </c>
      <c r="S762" t="s">
        <v>10734</v>
      </c>
      <c r="T762" t="s">
        <v>53</v>
      </c>
      <c r="U762" t="s">
        <v>53</v>
      </c>
    </row>
    <row r="763" spans="1:21" x14ac:dyDescent="0.25">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78"/>
        <v>OfL&amp;0&amp;cDXOH&amp;Ex&amp;HV_AirDist</v>
      </c>
      <c r="O763" t="s">
        <v>10744</v>
      </c>
      <c r="P763">
        <v>0</v>
      </c>
      <c r="Q763" t="s">
        <v>10753</v>
      </c>
      <c r="R763" t="s">
        <v>52</v>
      </c>
      <c r="S763" t="s">
        <v>10734</v>
      </c>
      <c r="T763" t="s">
        <v>53</v>
      </c>
      <c r="U763" t="s">
        <v>53</v>
      </c>
    </row>
    <row r="764" spans="1:21" x14ac:dyDescent="0.25">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78"/>
        <v>OfS&amp;0&amp;cDXOH&amp;Ex&amp;HV_AirDist</v>
      </c>
      <c r="O764" t="s">
        <v>10745</v>
      </c>
      <c r="P764">
        <v>0</v>
      </c>
      <c r="Q764" t="s">
        <v>10753</v>
      </c>
      <c r="R764" t="s">
        <v>52</v>
      </c>
      <c r="S764" t="s">
        <v>10734</v>
      </c>
      <c r="T764" t="s">
        <v>53</v>
      </c>
      <c r="U764" t="s">
        <v>53</v>
      </c>
    </row>
    <row r="765" spans="1:21" x14ac:dyDescent="0.25">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78"/>
        <v>RFF&amp;0&amp;cDXOH&amp;Ex&amp;HV_AirDist</v>
      </c>
      <c r="O765" t="s">
        <v>10746</v>
      </c>
      <c r="P765">
        <v>0</v>
      </c>
      <c r="Q765" t="s">
        <v>10753</v>
      </c>
      <c r="R765" t="s">
        <v>52</v>
      </c>
      <c r="S765" t="s">
        <v>10734</v>
      </c>
      <c r="T765" t="s">
        <v>53</v>
      </c>
      <c r="U765" t="s">
        <v>53</v>
      </c>
    </row>
    <row r="766" spans="1:21" x14ac:dyDescent="0.25">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78"/>
        <v>RSD&amp;0&amp;cDXOH&amp;Ex&amp;HV_AirDist</v>
      </c>
      <c r="O766" t="s">
        <v>10747</v>
      </c>
      <c r="P766">
        <v>0</v>
      </c>
      <c r="Q766" t="s">
        <v>10753</v>
      </c>
      <c r="R766" t="s">
        <v>52</v>
      </c>
      <c r="S766" t="s">
        <v>10734</v>
      </c>
      <c r="T766" t="s">
        <v>53</v>
      </c>
      <c r="U766" t="s">
        <v>53</v>
      </c>
    </row>
    <row r="767" spans="1:21" x14ac:dyDescent="0.25">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78"/>
        <v>Rt3&amp;0&amp;cDXOH&amp;Ex&amp;HV_AirDist</v>
      </c>
      <c r="O767" t="s">
        <v>10748</v>
      </c>
      <c r="P767">
        <v>0</v>
      </c>
      <c r="Q767" t="s">
        <v>10753</v>
      </c>
      <c r="R767" t="s">
        <v>52</v>
      </c>
      <c r="S767" t="s">
        <v>10734</v>
      </c>
      <c r="T767" t="s">
        <v>53</v>
      </c>
      <c r="U767" t="s">
        <v>53</v>
      </c>
    </row>
    <row r="768" spans="1:21" x14ac:dyDescent="0.25">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78"/>
        <v>RtL&amp;0&amp;cDXOH&amp;Ex&amp;HV_AirDist</v>
      </c>
      <c r="O768" t="s">
        <v>10749</v>
      </c>
      <c r="P768">
        <v>0</v>
      </c>
      <c r="Q768" t="s">
        <v>10753</v>
      </c>
      <c r="R768" t="s">
        <v>52</v>
      </c>
      <c r="S768" t="s">
        <v>10734</v>
      </c>
      <c r="T768" t="s">
        <v>53</v>
      </c>
      <c r="U768" t="s">
        <v>53</v>
      </c>
    </row>
    <row r="769" spans="1:27" x14ac:dyDescent="0.25">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78"/>
        <v>RtS&amp;0&amp;cDXOH&amp;Ex&amp;HV_AirDist</v>
      </c>
      <c r="O769" t="s">
        <v>10750</v>
      </c>
      <c r="P769">
        <v>0</v>
      </c>
      <c r="Q769" t="s">
        <v>10753</v>
      </c>
      <c r="R769" t="s">
        <v>52</v>
      </c>
      <c r="S769" t="s">
        <v>10734</v>
      </c>
      <c r="T769" t="s">
        <v>53</v>
      </c>
      <c r="U769" t="s">
        <v>53</v>
      </c>
    </row>
    <row r="770" spans="1:27" x14ac:dyDescent="0.25">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78"/>
        <v>SCn&amp;0&amp;cDXOH&amp;Ex&amp;HV_AirDist</v>
      </c>
      <c r="O770" t="s">
        <v>10751</v>
      </c>
      <c r="P770">
        <v>0</v>
      </c>
      <c r="Q770" t="s">
        <v>10753</v>
      </c>
      <c r="R770" t="s">
        <v>52</v>
      </c>
      <c r="S770" t="s">
        <v>10734</v>
      </c>
      <c r="T770" t="s">
        <v>53</v>
      </c>
      <c r="U770" t="s">
        <v>53</v>
      </c>
    </row>
    <row r="771" spans="1:27" x14ac:dyDescent="0.25">
      <c r="A771" s="3" t="s">
        <v>10754</v>
      </c>
      <c r="B771" s="3" t="s">
        <v>10675</v>
      </c>
      <c r="C771" s="3" t="s">
        <v>10755</v>
      </c>
      <c r="D771" s="3" t="str">
        <f t="shared" ref="D771:D834" si="179">_xlfn.CONCAT(C771, " ", A771,"_",O771)</f>
        <v>SWBE011-01 Windows_DMo</v>
      </c>
      <c r="E771" s="3" t="str">
        <f>CONCATENATE(D771,"_","Msr1")</f>
        <v>SWBE011-01 Windows_DMo_Msr1</v>
      </c>
      <c r="F771" s="3" t="s">
        <v>10769</v>
      </c>
      <c r="G771" s="3" t="s">
        <v>10769</v>
      </c>
      <c r="H771" s="3" t="str">
        <f>K771</f>
        <v>RG-Fenest-ManufWin-rDXGF-Ex</v>
      </c>
      <c r="J771" t="str">
        <f>M771</f>
        <v>RG-Fenest-ManufWin-rDXGF-Eff</v>
      </c>
      <c r="K771" t="s">
        <v>10756</v>
      </c>
      <c r="M771" t="s">
        <v>10757</v>
      </c>
      <c r="N771" s="3" t="str">
        <f t="shared" si="178"/>
        <v>DMo&amp;0&amp;rDXGF&amp;Ex&amp;Fenest__ManufWin</v>
      </c>
      <c r="O771" s="3" t="s">
        <v>62</v>
      </c>
      <c r="P771" s="3">
        <v>0</v>
      </c>
      <c r="Q771" s="3" t="s">
        <v>51</v>
      </c>
      <c r="R771" s="3" t="s">
        <v>52</v>
      </c>
      <c r="S771" s="3" t="s">
        <v>10734</v>
      </c>
      <c r="T771" s="3" t="str">
        <f t="shared" ref="T771:T834" si="180">V771&amp;"__"&amp;W771</f>
        <v>Fenest__ManufWin</v>
      </c>
      <c r="U771" s="3" t="str">
        <f>X771&amp;"__"&amp;Y771</f>
        <v>Fenest__ManufWin</v>
      </c>
      <c r="V771" s="3" t="s">
        <v>785</v>
      </c>
      <c r="W771" s="3" t="s">
        <v>1040</v>
      </c>
      <c r="X771" s="3" t="s">
        <v>785</v>
      </c>
      <c r="Y771" s="3" t="s">
        <v>1040</v>
      </c>
      <c r="AA771" s="3" t="s">
        <v>55</v>
      </c>
    </row>
    <row r="772" spans="1:27" x14ac:dyDescent="0.25">
      <c r="A772" s="3" t="s">
        <v>10754</v>
      </c>
      <c r="B772" s="3" t="s">
        <v>10675</v>
      </c>
      <c r="C772" s="3" t="s">
        <v>10755</v>
      </c>
      <c r="D772" s="3" t="str">
        <f t="shared" si="179"/>
        <v>SWBE011-01 Windows_DMo</v>
      </c>
      <c r="E772" s="3" t="str">
        <f t="shared" ref="E772:E774" si="181">CONCATENATE(D772,"_","Msr1")</f>
        <v>SWBE011-01 Windows_DMo_Msr1</v>
      </c>
      <c r="F772" s="3" t="s">
        <v>10769</v>
      </c>
      <c r="G772" s="3" t="s">
        <v>10769</v>
      </c>
      <c r="H772" s="3" t="str">
        <f t="shared" ref="H772:H835" si="182">K772</f>
        <v>RE-Fenest-ManufWin-rDXHP-Ex</v>
      </c>
      <c r="J772" t="str">
        <f t="shared" ref="J772:J835" si="183">M772</f>
        <v>RE-Fenest-ManufWin-rDXHP-Eff</v>
      </c>
      <c r="K772" t="s">
        <v>10758</v>
      </c>
      <c r="M772" t="s">
        <v>10759</v>
      </c>
      <c r="N772" s="3" t="str">
        <f t="shared" si="178"/>
        <v>DMo&amp;0&amp;rDXHP&amp;Ex&amp;Fenest__ManufWin</v>
      </c>
      <c r="O772" s="3" t="s">
        <v>62</v>
      </c>
      <c r="P772" s="3">
        <v>0</v>
      </c>
      <c r="Q772" s="3" t="s">
        <v>57</v>
      </c>
      <c r="R772" s="3" t="s">
        <v>52</v>
      </c>
      <c r="S772" s="3" t="s">
        <v>10734</v>
      </c>
      <c r="T772" s="3" t="str">
        <f t="shared" si="180"/>
        <v>Fenest__ManufWin</v>
      </c>
      <c r="U772" s="3" t="str">
        <f t="shared" ref="U772:U835" si="184">X772&amp;"__"&amp;Y772</f>
        <v>Fenest__ManufWin</v>
      </c>
      <c r="V772" s="3" t="s">
        <v>785</v>
      </c>
      <c r="W772" s="3" t="s">
        <v>1040</v>
      </c>
      <c r="X772" s="3" t="s">
        <v>785</v>
      </c>
      <c r="Y772" s="3" t="s">
        <v>1040</v>
      </c>
      <c r="AA772" s="3" t="s">
        <v>55</v>
      </c>
    </row>
    <row r="773" spans="1:27" x14ac:dyDescent="0.25">
      <c r="A773" s="3" t="s">
        <v>10754</v>
      </c>
      <c r="B773" s="3" t="s">
        <v>10675</v>
      </c>
      <c r="C773" s="3" t="s">
        <v>10755</v>
      </c>
      <c r="D773" s="3" t="str">
        <f t="shared" si="179"/>
        <v>SWBE011-01 Windows_DMo</v>
      </c>
      <c r="E773" s="3" t="str">
        <f t="shared" si="181"/>
        <v>SWBE011-01 Windows_DMo_Msr1</v>
      </c>
      <c r="F773" s="3" t="s">
        <v>10769</v>
      </c>
      <c r="G773" s="3" t="s">
        <v>10769</v>
      </c>
      <c r="H773" s="3" t="str">
        <f t="shared" si="182"/>
        <v>RE-Fenest-ManufWin-rNCEH-Ex</v>
      </c>
      <c r="J773" t="str">
        <f t="shared" si="183"/>
        <v>RE-Fenest-ManufWin-rNCEH-Eff</v>
      </c>
      <c r="K773" t="s">
        <v>10760</v>
      </c>
      <c r="M773" t="s">
        <v>10761</v>
      </c>
      <c r="N773" s="3" t="str">
        <f t="shared" si="178"/>
        <v>DMo&amp;0&amp;rNCEH&amp;Ex&amp;Fenest__ManufWin</v>
      </c>
      <c r="O773" s="3" t="s">
        <v>62</v>
      </c>
      <c r="P773" s="3">
        <v>0</v>
      </c>
      <c r="Q773" s="3" t="s">
        <v>71</v>
      </c>
      <c r="R773" s="3" t="s">
        <v>52</v>
      </c>
      <c r="S773" s="3" t="s">
        <v>10734</v>
      </c>
      <c r="T773" s="3" t="str">
        <f t="shared" si="180"/>
        <v>Fenest__ManufWin</v>
      </c>
      <c r="U773" s="3" t="str">
        <f t="shared" si="184"/>
        <v>Fenest__ManufWin</v>
      </c>
      <c r="V773" s="3" t="s">
        <v>785</v>
      </c>
      <c r="W773" s="3" t="s">
        <v>1040</v>
      </c>
      <c r="X773" s="3" t="s">
        <v>785</v>
      </c>
      <c r="Y773" s="3" t="s">
        <v>1040</v>
      </c>
      <c r="AA773" s="3" t="s">
        <v>55</v>
      </c>
    </row>
    <row r="774" spans="1:27" x14ac:dyDescent="0.25">
      <c r="A774" s="3" t="s">
        <v>10754</v>
      </c>
      <c r="B774" s="3" t="s">
        <v>10675</v>
      </c>
      <c r="C774" s="3" t="s">
        <v>10755</v>
      </c>
      <c r="D774" s="3" t="str">
        <f t="shared" si="179"/>
        <v>SWBE011-01 Windows_DMo</v>
      </c>
      <c r="E774" s="3" t="str">
        <f t="shared" si="181"/>
        <v>SWBE011-01 Windows_DMo_Msr1</v>
      </c>
      <c r="F774" s="3" t="s">
        <v>10769</v>
      </c>
      <c r="G774" s="3" t="s">
        <v>10769</v>
      </c>
      <c r="H774" s="3" t="str">
        <f t="shared" si="182"/>
        <v>RG-Fenest-ManufWin-rNCGF-Ex</v>
      </c>
      <c r="J774" t="str">
        <f t="shared" si="183"/>
        <v>RG-Fenest-ManufWin-rNCGF-Eff</v>
      </c>
      <c r="K774" t="s">
        <v>10762</v>
      </c>
      <c r="M774" t="s">
        <v>10763</v>
      </c>
      <c r="N774" s="3" t="str">
        <f t="shared" si="178"/>
        <v>DMo&amp;0&amp;rNCGF&amp;Ex&amp;Fenest__ManufWin</v>
      </c>
      <c r="O774" s="3" t="s">
        <v>62</v>
      </c>
      <c r="P774" s="3">
        <v>0</v>
      </c>
      <c r="Q774" s="3" t="s">
        <v>58</v>
      </c>
      <c r="R774" s="3" t="s">
        <v>52</v>
      </c>
      <c r="S774" s="3" t="s">
        <v>10734</v>
      </c>
      <c r="T774" s="3" t="str">
        <f t="shared" si="180"/>
        <v>Fenest__ManufWin</v>
      </c>
      <c r="U774" s="3" t="str">
        <f t="shared" si="184"/>
        <v>Fenest__ManufWin</v>
      </c>
      <c r="V774" s="3" t="s">
        <v>785</v>
      </c>
      <c r="W774" s="3" t="s">
        <v>1040</v>
      </c>
      <c r="X774" s="3" t="s">
        <v>785</v>
      </c>
      <c r="Y774" s="3" t="s">
        <v>1040</v>
      </c>
      <c r="AA774" s="3" t="s">
        <v>55</v>
      </c>
    </row>
    <row r="775" spans="1:27" x14ac:dyDescent="0.25">
      <c r="A775" s="3" t="s">
        <v>10754</v>
      </c>
      <c r="B775" s="3" t="s">
        <v>10675</v>
      </c>
      <c r="C775" s="3" t="s">
        <v>10755</v>
      </c>
      <c r="D775" s="3" t="str">
        <f t="shared" si="179"/>
        <v>SWBE011-01 Windows_DMo</v>
      </c>
      <c r="E775" s="3" t="str">
        <f>CONCATENATE(D775,"_","Msr2")</f>
        <v>SWBE011-01 Windows_DMo_Msr2</v>
      </c>
      <c r="F775" s="3" t="s">
        <v>10769</v>
      </c>
      <c r="G775" s="3" t="s">
        <v>10769</v>
      </c>
      <c r="H775" s="3" t="str">
        <f t="shared" si="182"/>
        <v>RG-Fenest-ManufWin-rDXGF-Ex</v>
      </c>
      <c r="J775" t="str">
        <f t="shared" si="183"/>
        <v>RG-Fenest-ManufWin-rDXGF-Eff</v>
      </c>
      <c r="K775" t="s">
        <v>10756</v>
      </c>
      <c r="M775" t="s">
        <v>10757</v>
      </c>
      <c r="N775" s="3" t="str">
        <f t="shared" si="178"/>
        <v>DMo&amp;0&amp;rDXGF&amp;Ex&amp;Fenest__ManufWin</v>
      </c>
      <c r="O775" s="3" t="s">
        <v>62</v>
      </c>
      <c r="P775" s="3">
        <v>0</v>
      </c>
      <c r="Q775" s="3" t="s">
        <v>51</v>
      </c>
      <c r="R775" s="3" t="s">
        <v>52</v>
      </c>
      <c r="S775" s="3" t="s">
        <v>10734</v>
      </c>
      <c r="T775" s="3" t="str">
        <f t="shared" si="180"/>
        <v>Fenest__ManufWin</v>
      </c>
      <c r="U775" s="3" t="str">
        <f t="shared" si="184"/>
        <v>Fenest__ManufWin</v>
      </c>
      <c r="V775" s="3" t="s">
        <v>785</v>
      </c>
      <c r="W775" s="3" t="s">
        <v>1040</v>
      </c>
      <c r="X775" s="3" t="s">
        <v>785</v>
      </c>
      <c r="Y775" s="3" t="s">
        <v>1040</v>
      </c>
      <c r="AA775" s="3" t="s">
        <v>55</v>
      </c>
    </row>
    <row r="776" spans="1:27" x14ac:dyDescent="0.25">
      <c r="A776" s="3" t="s">
        <v>10754</v>
      </c>
      <c r="B776" s="3" t="s">
        <v>10675</v>
      </c>
      <c r="C776" s="3" t="s">
        <v>10755</v>
      </c>
      <c r="D776" s="3" t="str">
        <f t="shared" si="179"/>
        <v>SWBE011-01 Windows_DMo</v>
      </c>
      <c r="E776" s="3" t="str">
        <f t="shared" ref="E776:E778" si="185">CONCATENATE(D776,"_","Msr2")</f>
        <v>SWBE011-01 Windows_DMo_Msr2</v>
      </c>
      <c r="F776" s="3" t="s">
        <v>10769</v>
      </c>
      <c r="G776" s="3" t="s">
        <v>10769</v>
      </c>
      <c r="H776" s="3" t="str">
        <f t="shared" si="182"/>
        <v>RE-Fenest-ManufWin-rDXHP-Ex</v>
      </c>
      <c r="J776" t="str">
        <f t="shared" si="183"/>
        <v>RE-Fenest-ManufWin-rDXHP-Eff</v>
      </c>
      <c r="K776" t="s">
        <v>10758</v>
      </c>
      <c r="M776" t="s">
        <v>10759</v>
      </c>
      <c r="N776" s="3" t="str">
        <f t="shared" si="178"/>
        <v>DMo&amp;0&amp;rDXHP&amp;Ex&amp;Fenest__ManufWin</v>
      </c>
      <c r="O776" s="3" t="s">
        <v>62</v>
      </c>
      <c r="P776" s="3">
        <v>0</v>
      </c>
      <c r="Q776" s="3" t="s">
        <v>57</v>
      </c>
      <c r="R776" s="3" t="s">
        <v>52</v>
      </c>
      <c r="S776" s="3" t="s">
        <v>10734</v>
      </c>
      <c r="T776" s="3" t="str">
        <f t="shared" si="180"/>
        <v>Fenest__ManufWin</v>
      </c>
      <c r="U776" s="3" t="str">
        <f t="shared" si="184"/>
        <v>Fenest__ManufWin</v>
      </c>
      <c r="V776" s="3" t="s">
        <v>785</v>
      </c>
      <c r="W776" s="3" t="s">
        <v>1040</v>
      </c>
      <c r="X776" s="3" t="s">
        <v>785</v>
      </c>
      <c r="Y776" s="3" t="s">
        <v>1040</v>
      </c>
      <c r="AA776" s="3" t="s">
        <v>55</v>
      </c>
    </row>
    <row r="777" spans="1:27" x14ac:dyDescent="0.25">
      <c r="A777" s="3" t="s">
        <v>10754</v>
      </c>
      <c r="B777" s="3" t="s">
        <v>10675</v>
      </c>
      <c r="C777" s="3" t="s">
        <v>10755</v>
      </c>
      <c r="D777" s="3" t="str">
        <f t="shared" si="179"/>
        <v>SWBE011-01 Windows_DMo</v>
      </c>
      <c r="E777" s="3" t="str">
        <f t="shared" si="185"/>
        <v>SWBE011-01 Windows_DMo_Msr2</v>
      </c>
      <c r="F777" s="3" t="s">
        <v>10769</v>
      </c>
      <c r="G777" s="3" t="s">
        <v>10769</v>
      </c>
      <c r="H777" s="3" t="str">
        <f t="shared" si="182"/>
        <v>RE-Fenest-ManufWin-rNCEH-Ex</v>
      </c>
      <c r="J777" t="str">
        <f t="shared" si="183"/>
        <v>RE-Fenest-ManufWin-rNCEH-Eff</v>
      </c>
      <c r="K777" t="s">
        <v>10760</v>
      </c>
      <c r="M777" t="s">
        <v>10761</v>
      </c>
      <c r="N777" s="3" t="str">
        <f t="shared" si="178"/>
        <v>DMo&amp;0&amp;rNCEH&amp;Ex&amp;Fenest__ManufWin</v>
      </c>
      <c r="O777" s="3" t="s">
        <v>62</v>
      </c>
      <c r="P777" s="3">
        <v>0</v>
      </c>
      <c r="Q777" s="3" t="s">
        <v>71</v>
      </c>
      <c r="R777" s="3" t="s">
        <v>52</v>
      </c>
      <c r="S777" s="3" t="s">
        <v>10734</v>
      </c>
      <c r="T777" s="3" t="str">
        <f t="shared" si="180"/>
        <v>Fenest__ManufWin</v>
      </c>
      <c r="U777" s="3" t="str">
        <f t="shared" si="184"/>
        <v>Fenest__ManufWin</v>
      </c>
      <c r="V777" s="3" t="s">
        <v>785</v>
      </c>
      <c r="W777" s="3" t="s">
        <v>1040</v>
      </c>
      <c r="X777" s="3" t="s">
        <v>785</v>
      </c>
      <c r="Y777" s="3" t="s">
        <v>1040</v>
      </c>
      <c r="AA777" s="3" t="s">
        <v>55</v>
      </c>
    </row>
    <row r="778" spans="1:27" x14ac:dyDescent="0.25">
      <c r="A778" s="3" t="s">
        <v>10754</v>
      </c>
      <c r="B778" s="3" t="s">
        <v>10675</v>
      </c>
      <c r="C778" s="3" t="s">
        <v>10755</v>
      </c>
      <c r="D778" s="3" t="str">
        <f t="shared" si="179"/>
        <v>SWBE011-01 Windows_DMo</v>
      </c>
      <c r="E778" s="3" t="str">
        <f t="shared" si="185"/>
        <v>SWBE011-01 Windows_DMo_Msr2</v>
      </c>
      <c r="F778" s="3" t="s">
        <v>10769</v>
      </c>
      <c r="G778" s="3" t="s">
        <v>10769</v>
      </c>
      <c r="H778" s="3" t="str">
        <f t="shared" si="182"/>
        <v>RG-Fenest-ManufWin-rNCGF-Ex</v>
      </c>
      <c r="J778" t="str">
        <f t="shared" si="183"/>
        <v>RG-Fenest-ManufWin-rNCGF-Eff</v>
      </c>
      <c r="K778" t="s">
        <v>10762</v>
      </c>
      <c r="M778" t="s">
        <v>10763</v>
      </c>
      <c r="N778" s="3" t="str">
        <f t="shared" si="178"/>
        <v>DMo&amp;0&amp;rNCGF&amp;Ex&amp;Fenest__ManufWin</v>
      </c>
      <c r="O778" s="3" t="s">
        <v>62</v>
      </c>
      <c r="P778" s="3">
        <v>0</v>
      </c>
      <c r="Q778" s="3" t="s">
        <v>58</v>
      </c>
      <c r="R778" s="3" t="s">
        <v>52</v>
      </c>
      <c r="S778" s="3" t="s">
        <v>10734</v>
      </c>
      <c r="T778" s="3" t="str">
        <f t="shared" si="180"/>
        <v>Fenest__ManufWin</v>
      </c>
      <c r="U778" s="3" t="str">
        <f t="shared" si="184"/>
        <v>Fenest__ManufWin</v>
      </c>
      <c r="V778" s="3" t="s">
        <v>785</v>
      </c>
      <c r="W778" s="3" t="s">
        <v>1040</v>
      </c>
      <c r="X778" s="3" t="s">
        <v>785</v>
      </c>
      <c r="Y778" s="3" t="s">
        <v>1040</v>
      </c>
      <c r="AA778" s="3" t="s">
        <v>55</v>
      </c>
    </row>
    <row r="779" spans="1:27" x14ac:dyDescent="0.25">
      <c r="A779" s="3" t="s">
        <v>10754</v>
      </c>
      <c r="B779" s="3" t="s">
        <v>10675</v>
      </c>
      <c r="C779" s="3" t="s">
        <v>10755</v>
      </c>
      <c r="D779" s="3" t="str">
        <f t="shared" si="179"/>
        <v>SWBE011-01 Windows_DMo</v>
      </c>
      <c r="E779" s="3" t="str">
        <f>CONCATENATE(D779,"_","Msr3")</f>
        <v>SWBE011-01 Windows_DMo_Msr3</v>
      </c>
      <c r="F779" s="3" t="s">
        <v>10769</v>
      </c>
      <c r="G779" s="3" t="s">
        <v>10769</v>
      </c>
      <c r="H779" s="3" t="str">
        <f t="shared" si="182"/>
        <v>RG-Fenest-ManufWin-rDXGF-Ex</v>
      </c>
      <c r="J779" t="str">
        <f t="shared" si="183"/>
        <v>RG-Fenest-ManufWin-rDXGF-Eff</v>
      </c>
      <c r="K779" t="s">
        <v>10756</v>
      </c>
      <c r="M779" t="s">
        <v>10757</v>
      </c>
      <c r="N779" s="3" t="str">
        <f t="shared" si="178"/>
        <v>DMo&amp;0&amp;rDXGF&amp;Ex&amp;Fenest__ManufWin</v>
      </c>
      <c r="O779" s="3" t="s">
        <v>62</v>
      </c>
      <c r="P779" s="3">
        <v>0</v>
      </c>
      <c r="Q779" s="3" t="s">
        <v>51</v>
      </c>
      <c r="R779" s="3" t="s">
        <v>52</v>
      </c>
      <c r="S779" s="3" t="s">
        <v>10734</v>
      </c>
      <c r="T779" s="3" t="str">
        <f t="shared" si="180"/>
        <v>Fenest__ManufWin</v>
      </c>
      <c r="U779" s="3" t="str">
        <f t="shared" si="184"/>
        <v>Fenest__ManufWin</v>
      </c>
      <c r="V779" s="3" t="s">
        <v>785</v>
      </c>
      <c r="W779" s="3" t="s">
        <v>1040</v>
      </c>
      <c r="X779" s="3" t="s">
        <v>785</v>
      </c>
      <c r="Y779" s="3" t="s">
        <v>1040</v>
      </c>
      <c r="AA779" s="3" t="s">
        <v>55</v>
      </c>
    </row>
    <row r="780" spans="1:27" x14ac:dyDescent="0.25">
      <c r="A780" s="3" t="s">
        <v>10754</v>
      </c>
      <c r="B780" s="3" t="s">
        <v>10675</v>
      </c>
      <c r="C780" s="3" t="s">
        <v>10755</v>
      </c>
      <c r="D780" s="3" t="str">
        <f t="shared" si="179"/>
        <v>SWBE011-01 Windows_DMo</v>
      </c>
      <c r="E780" s="3" t="str">
        <f>CONCATENATE(D780,"_","Msr3")</f>
        <v>SWBE011-01 Windows_DMo_Msr3</v>
      </c>
      <c r="F780" s="3" t="s">
        <v>10769</v>
      </c>
      <c r="G780" s="3" t="s">
        <v>10769</v>
      </c>
      <c r="H780" s="3" t="str">
        <f t="shared" si="182"/>
        <v>RE-Fenest-ManufWin-rDXHP-Ex</v>
      </c>
      <c r="J780" t="str">
        <f t="shared" si="183"/>
        <v>RE-Fenest-ManufWin-rDXHP-Eff</v>
      </c>
      <c r="K780" t="s">
        <v>10758</v>
      </c>
      <c r="M780" t="s">
        <v>10759</v>
      </c>
      <c r="N780" s="3" t="str">
        <f t="shared" si="178"/>
        <v>DMo&amp;0&amp;rDXHP&amp;Ex&amp;Fenest__ManufWin</v>
      </c>
      <c r="O780" s="3" t="s">
        <v>62</v>
      </c>
      <c r="P780" s="3">
        <v>0</v>
      </c>
      <c r="Q780" s="3" t="s">
        <v>57</v>
      </c>
      <c r="R780" s="3" t="s">
        <v>52</v>
      </c>
      <c r="S780" s="3" t="s">
        <v>10734</v>
      </c>
      <c r="T780" s="3" t="str">
        <f t="shared" si="180"/>
        <v>Fenest__ManufWin</v>
      </c>
      <c r="U780" s="3" t="str">
        <f t="shared" si="184"/>
        <v>Fenest__ManufWin</v>
      </c>
      <c r="V780" s="3" t="s">
        <v>785</v>
      </c>
      <c r="W780" s="3" t="s">
        <v>1040</v>
      </c>
      <c r="X780" s="3" t="s">
        <v>785</v>
      </c>
      <c r="Y780" s="3" t="s">
        <v>1040</v>
      </c>
      <c r="AA780" s="3" t="s">
        <v>55</v>
      </c>
    </row>
    <row r="781" spans="1:27" x14ac:dyDescent="0.25">
      <c r="A781" s="3" t="s">
        <v>10754</v>
      </c>
      <c r="B781" s="3" t="s">
        <v>10675</v>
      </c>
      <c r="C781" s="3" t="s">
        <v>10755</v>
      </c>
      <c r="D781" s="3" t="str">
        <f t="shared" si="179"/>
        <v>SWBE011-01 Windows_DMo</v>
      </c>
      <c r="E781" s="3" t="str">
        <f>CONCATENATE(D781,"_","Msr3")</f>
        <v>SWBE011-01 Windows_DMo_Msr3</v>
      </c>
      <c r="F781" s="3" t="s">
        <v>10769</v>
      </c>
      <c r="G781" s="3" t="s">
        <v>10769</v>
      </c>
      <c r="H781" s="3" t="str">
        <f t="shared" si="182"/>
        <v>RE-Fenest-ManufWin-rNCEH-Ex</v>
      </c>
      <c r="J781" t="str">
        <f t="shared" si="183"/>
        <v>RE-Fenest-ManufWin-rNCEH-Eff</v>
      </c>
      <c r="K781" t="s">
        <v>10760</v>
      </c>
      <c r="M781" t="s">
        <v>10761</v>
      </c>
      <c r="N781" s="3" t="str">
        <f t="shared" si="178"/>
        <v>DMo&amp;0&amp;rNCEH&amp;Ex&amp;Fenest__ManufWin</v>
      </c>
      <c r="O781" s="3" t="s">
        <v>62</v>
      </c>
      <c r="P781" s="3">
        <v>0</v>
      </c>
      <c r="Q781" s="3" t="s">
        <v>71</v>
      </c>
      <c r="R781" s="3" t="s">
        <v>52</v>
      </c>
      <c r="S781" s="3" t="s">
        <v>10734</v>
      </c>
      <c r="T781" s="3" t="str">
        <f t="shared" si="180"/>
        <v>Fenest__ManufWin</v>
      </c>
      <c r="U781" s="3" t="str">
        <f t="shared" si="184"/>
        <v>Fenest__ManufWin</v>
      </c>
      <c r="V781" s="3" t="s">
        <v>785</v>
      </c>
      <c r="W781" s="3" t="s">
        <v>1040</v>
      </c>
      <c r="X781" s="3" t="s">
        <v>785</v>
      </c>
      <c r="Y781" s="3" t="s">
        <v>1040</v>
      </c>
      <c r="AA781" s="3" t="s">
        <v>55</v>
      </c>
    </row>
    <row r="782" spans="1:27" x14ac:dyDescent="0.25">
      <c r="A782" s="3" t="s">
        <v>10754</v>
      </c>
      <c r="B782" s="3" t="s">
        <v>10675</v>
      </c>
      <c r="C782" s="3" t="s">
        <v>10755</v>
      </c>
      <c r="D782" s="3" t="str">
        <f t="shared" si="179"/>
        <v>SWBE011-01 Windows_DMo</v>
      </c>
      <c r="E782" s="3" t="str">
        <f>CONCATENATE(D782,"_","Msr3")</f>
        <v>SWBE011-01 Windows_DMo_Msr3</v>
      </c>
      <c r="F782" s="3" t="s">
        <v>10769</v>
      </c>
      <c r="G782" s="3" t="s">
        <v>10769</v>
      </c>
      <c r="H782" s="3" t="str">
        <f t="shared" si="182"/>
        <v>RG-Fenest-ManufWin-rNCGF-Ex</v>
      </c>
      <c r="J782" t="str">
        <f t="shared" si="183"/>
        <v>RG-Fenest-ManufWin-rNCGF-Eff</v>
      </c>
      <c r="K782" t="s">
        <v>10762</v>
      </c>
      <c r="M782" t="s">
        <v>10763</v>
      </c>
      <c r="N782" s="3" t="str">
        <f t="shared" si="178"/>
        <v>DMo&amp;0&amp;rNCGF&amp;Ex&amp;Fenest__ManufWin</v>
      </c>
      <c r="O782" s="3" t="s">
        <v>62</v>
      </c>
      <c r="P782" s="3">
        <v>0</v>
      </c>
      <c r="Q782" s="3" t="s">
        <v>58</v>
      </c>
      <c r="R782" s="3" t="s">
        <v>52</v>
      </c>
      <c r="S782" s="3" t="s">
        <v>10734</v>
      </c>
      <c r="T782" s="3" t="str">
        <f t="shared" si="180"/>
        <v>Fenest__ManufWin</v>
      </c>
      <c r="U782" s="3" t="str">
        <f t="shared" si="184"/>
        <v>Fenest__ManufWin</v>
      </c>
      <c r="V782" s="3" t="s">
        <v>785</v>
      </c>
      <c r="W782" s="3" t="s">
        <v>1040</v>
      </c>
      <c r="X782" s="3" t="s">
        <v>785</v>
      </c>
      <c r="Y782" s="3" t="s">
        <v>1040</v>
      </c>
      <c r="AA782" s="3" t="s">
        <v>55</v>
      </c>
    </row>
    <row r="783" spans="1:27" x14ac:dyDescent="0.25">
      <c r="A783" s="3" t="s">
        <v>10754</v>
      </c>
      <c r="B783" s="3" t="s">
        <v>10675</v>
      </c>
      <c r="C783" s="3" t="s">
        <v>10755</v>
      </c>
      <c r="D783" s="3" t="str">
        <f t="shared" si="179"/>
        <v>SWBE011-01 Windows_MFm</v>
      </c>
      <c r="E783" s="3" t="str">
        <f>CONCATENATE(D783,"_","Msr1")</f>
        <v>SWBE011-01 Windows_MFm_Msr1</v>
      </c>
      <c r="F783" s="3" t="s">
        <v>10769</v>
      </c>
      <c r="G783" s="3" t="s">
        <v>10769</v>
      </c>
      <c r="H783" s="3" t="str">
        <f t="shared" si="182"/>
        <v>RG-Fenest-ManufWin-rDXGF-Ex</v>
      </c>
      <c r="J783" t="str">
        <f t="shared" si="183"/>
        <v>RG-Fenest-ManufWin-rDXGF-Eff</v>
      </c>
      <c r="K783" t="s">
        <v>10756</v>
      </c>
      <c r="M783" t="s">
        <v>10757</v>
      </c>
      <c r="N783" s="3" t="str">
        <f t="shared" si="178"/>
        <v>MFm&amp;0&amp;rDXGF&amp;Ex&amp;Fenest__ManufWin</v>
      </c>
      <c r="O783" s="3" t="s">
        <v>63</v>
      </c>
      <c r="P783" s="3">
        <v>0</v>
      </c>
      <c r="Q783" s="3" t="s">
        <v>51</v>
      </c>
      <c r="R783" s="3" t="s">
        <v>52</v>
      </c>
      <c r="S783" s="3" t="s">
        <v>10734</v>
      </c>
      <c r="T783" s="3" t="str">
        <f t="shared" si="180"/>
        <v>Fenest__ManufWin</v>
      </c>
      <c r="U783" s="3" t="str">
        <f t="shared" si="184"/>
        <v>Fenest__ManufWin</v>
      </c>
      <c r="V783" s="3" t="s">
        <v>785</v>
      </c>
      <c r="W783" s="3" t="s">
        <v>1040</v>
      </c>
      <c r="X783" s="3" t="s">
        <v>785</v>
      </c>
      <c r="Y783" s="3" t="s">
        <v>1040</v>
      </c>
      <c r="AA783" s="3" t="s">
        <v>55</v>
      </c>
    </row>
    <row r="784" spans="1:27" x14ac:dyDescent="0.25">
      <c r="A784" s="3" t="s">
        <v>10754</v>
      </c>
      <c r="B784" s="3" t="s">
        <v>10675</v>
      </c>
      <c r="C784" s="3" t="s">
        <v>10755</v>
      </c>
      <c r="D784" s="3" t="str">
        <f t="shared" si="179"/>
        <v>SWBE011-01 Windows_MFm</v>
      </c>
      <c r="E784" s="3" t="str">
        <f t="shared" ref="E784:E786" si="186">CONCATENATE(D784,"_","Msr1")</f>
        <v>SWBE011-01 Windows_MFm_Msr1</v>
      </c>
      <c r="F784" s="3" t="s">
        <v>10769</v>
      </c>
      <c r="G784" s="3" t="s">
        <v>10769</v>
      </c>
      <c r="H784" s="3" t="str">
        <f t="shared" si="182"/>
        <v>RE-Fenest-ManufWin-rDXHP-Ex</v>
      </c>
      <c r="J784" t="str">
        <f t="shared" si="183"/>
        <v>RE-Fenest-ManufWin-rDXHP-Eff</v>
      </c>
      <c r="K784" t="s">
        <v>10758</v>
      </c>
      <c r="M784" t="s">
        <v>10759</v>
      </c>
      <c r="N784" s="3" t="str">
        <f t="shared" si="178"/>
        <v>MFm&amp;0&amp;rDXHP&amp;Ex&amp;Fenest__ManufWin</v>
      </c>
      <c r="O784" s="3" t="s">
        <v>63</v>
      </c>
      <c r="P784" s="3">
        <v>0</v>
      </c>
      <c r="Q784" s="3" t="s">
        <v>57</v>
      </c>
      <c r="R784" s="3" t="s">
        <v>52</v>
      </c>
      <c r="S784" s="3" t="s">
        <v>10734</v>
      </c>
      <c r="T784" s="3" t="str">
        <f t="shared" si="180"/>
        <v>Fenest__ManufWin</v>
      </c>
      <c r="U784" s="3" t="str">
        <f t="shared" si="184"/>
        <v>Fenest__ManufWin</v>
      </c>
      <c r="V784" s="3" t="s">
        <v>785</v>
      </c>
      <c r="W784" s="3" t="s">
        <v>1040</v>
      </c>
      <c r="X784" s="3" t="s">
        <v>785</v>
      </c>
      <c r="Y784" s="3" t="s">
        <v>1040</v>
      </c>
      <c r="AA784" s="3" t="s">
        <v>55</v>
      </c>
    </row>
    <row r="785" spans="1:29" x14ac:dyDescent="0.25">
      <c r="A785" s="3" t="s">
        <v>10754</v>
      </c>
      <c r="B785" s="3" t="s">
        <v>10675</v>
      </c>
      <c r="C785" s="3" t="s">
        <v>10755</v>
      </c>
      <c r="D785" s="3" t="str">
        <f t="shared" si="179"/>
        <v>SWBE011-01 Windows_MFm</v>
      </c>
      <c r="E785" s="3" t="str">
        <f t="shared" si="186"/>
        <v>SWBE011-01 Windows_MFm_Msr1</v>
      </c>
      <c r="F785" s="3" t="s">
        <v>10769</v>
      </c>
      <c r="G785" s="3" t="s">
        <v>10769</v>
      </c>
      <c r="H785" s="3" t="str">
        <f t="shared" si="182"/>
        <v>RE-Fenest-ManufWin-rNCEH-Ex</v>
      </c>
      <c r="J785" t="str">
        <f t="shared" si="183"/>
        <v>RE-Fenest-ManufWin-rNCEH-Eff</v>
      </c>
      <c r="K785" t="s">
        <v>10760</v>
      </c>
      <c r="M785" t="s">
        <v>10761</v>
      </c>
      <c r="N785" s="3" t="str">
        <f t="shared" si="178"/>
        <v>MFm&amp;0&amp;rNCEH&amp;Ex&amp;Fenest__ManufWin</v>
      </c>
      <c r="O785" s="3" t="s">
        <v>63</v>
      </c>
      <c r="P785" s="3">
        <v>0</v>
      </c>
      <c r="Q785" s="3" t="s">
        <v>71</v>
      </c>
      <c r="R785" s="3" t="s">
        <v>52</v>
      </c>
      <c r="S785" s="3" t="s">
        <v>10734</v>
      </c>
      <c r="T785" s="3" t="str">
        <f t="shared" si="180"/>
        <v>Fenest__ManufWin</v>
      </c>
      <c r="U785" s="3" t="str">
        <f t="shared" si="184"/>
        <v>Fenest__ManufWin</v>
      </c>
      <c r="V785" s="3" t="s">
        <v>785</v>
      </c>
      <c r="W785" s="3" t="s">
        <v>1040</v>
      </c>
      <c r="X785" s="3" t="s">
        <v>785</v>
      </c>
      <c r="Y785" s="3" t="s">
        <v>1040</v>
      </c>
      <c r="AA785" s="3" t="s">
        <v>55</v>
      </c>
    </row>
    <row r="786" spans="1:29" x14ac:dyDescent="0.25">
      <c r="A786" s="3" t="s">
        <v>10754</v>
      </c>
      <c r="B786" s="3" t="s">
        <v>10675</v>
      </c>
      <c r="C786" s="3" t="s">
        <v>10755</v>
      </c>
      <c r="D786" s="3" t="str">
        <f t="shared" si="179"/>
        <v>SWBE011-01 Windows_MFm</v>
      </c>
      <c r="E786" s="3" t="str">
        <f t="shared" si="186"/>
        <v>SWBE011-01 Windows_MFm_Msr1</v>
      </c>
      <c r="F786" s="3" t="s">
        <v>10769</v>
      </c>
      <c r="G786" s="3" t="s">
        <v>10769</v>
      </c>
      <c r="H786" s="3" t="str">
        <f t="shared" si="182"/>
        <v>RG-Fenest-ManufWin-rNCGF-Ex</v>
      </c>
      <c r="J786" t="str">
        <f t="shared" si="183"/>
        <v>RG-Fenest-ManufWin-rNCGF-Eff</v>
      </c>
      <c r="K786" t="s">
        <v>10762</v>
      </c>
      <c r="M786" t="s">
        <v>10763</v>
      </c>
      <c r="N786" s="3" t="str">
        <f t="shared" si="178"/>
        <v>MFm&amp;0&amp;rNCGF&amp;Ex&amp;Fenest__ManufWin</v>
      </c>
      <c r="O786" s="3" t="s">
        <v>63</v>
      </c>
      <c r="P786" s="3">
        <v>0</v>
      </c>
      <c r="Q786" s="3" t="s">
        <v>58</v>
      </c>
      <c r="R786" s="3" t="s">
        <v>52</v>
      </c>
      <c r="S786" s="3" t="s">
        <v>10734</v>
      </c>
      <c r="T786" s="3" t="str">
        <f t="shared" si="180"/>
        <v>Fenest__ManufWin</v>
      </c>
      <c r="U786" s="3" t="str">
        <f t="shared" si="184"/>
        <v>Fenest__ManufWin</v>
      </c>
      <c r="V786" s="3" t="s">
        <v>785</v>
      </c>
      <c r="W786" s="3" t="s">
        <v>1040</v>
      </c>
      <c r="X786" s="3" t="s">
        <v>785</v>
      </c>
      <c r="Y786" s="3" t="s">
        <v>1040</v>
      </c>
      <c r="AA786" s="3" t="s">
        <v>55</v>
      </c>
    </row>
    <row r="787" spans="1:29" x14ac:dyDescent="0.25">
      <c r="A787" s="3" t="s">
        <v>10754</v>
      </c>
      <c r="B787" s="3" t="s">
        <v>10675</v>
      </c>
      <c r="C787" s="3" t="s">
        <v>10755</v>
      </c>
      <c r="D787" s="3" t="str">
        <f t="shared" si="179"/>
        <v>SWBE011-01 Windows_MFm</v>
      </c>
      <c r="E787" s="3" t="str">
        <f>CONCATENATE(D787,"_","Msr2")</f>
        <v>SWBE011-01 Windows_MFm_Msr2</v>
      </c>
      <c r="F787" s="3" t="s">
        <v>10769</v>
      </c>
      <c r="G787" s="3" t="s">
        <v>10769</v>
      </c>
      <c r="H787" s="3" t="str">
        <f t="shared" si="182"/>
        <v>RG-Fenest-ManufWin-rDXGF-Ex</v>
      </c>
      <c r="J787" t="str">
        <f t="shared" si="183"/>
        <v>RG-Fenest-ManufWin-rDXGF-Eff</v>
      </c>
      <c r="K787" t="s">
        <v>10756</v>
      </c>
      <c r="M787" t="s">
        <v>10757</v>
      </c>
      <c r="N787" s="3" t="str">
        <f t="shared" si="178"/>
        <v>MFm&amp;0&amp;rDXGF&amp;Ex&amp;Fenest__ManufWin</v>
      </c>
      <c r="O787" s="3" t="s">
        <v>63</v>
      </c>
      <c r="P787" s="3">
        <v>0</v>
      </c>
      <c r="Q787" s="3" t="s">
        <v>51</v>
      </c>
      <c r="R787" s="3" t="s">
        <v>52</v>
      </c>
      <c r="S787" s="3" t="s">
        <v>10734</v>
      </c>
      <c r="T787" s="3" t="str">
        <f t="shared" si="180"/>
        <v>Fenest__ManufWin</v>
      </c>
      <c r="U787" s="3" t="str">
        <f t="shared" si="184"/>
        <v>Fenest__ManufWin</v>
      </c>
      <c r="V787" s="3" t="s">
        <v>785</v>
      </c>
      <c r="W787" s="3" t="s">
        <v>1040</v>
      </c>
      <c r="X787" s="3" t="s">
        <v>785</v>
      </c>
      <c r="Y787" s="3" t="s">
        <v>1040</v>
      </c>
      <c r="AA787" s="3" t="s">
        <v>55</v>
      </c>
    </row>
    <row r="788" spans="1:29" x14ac:dyDescent="0.25">
      <c r="A788" s="3" t="s">
        <v>10754</v>
      </c>
      <c r="B788" s="3" t="s">
        <v>10675</v>
      </c>
      <c r="C788" s="3" t="s">
        <v>10755</v>
      </c>
      <c r="D788" s="3" t="str">
        <f t="shared" si="179"/>
        <v>SWBE011-01 Windows_MFm</v>
      </c>
      <c r="E788" s="3" t="str">
        <f t="shared" ref="E788:E790" si="187">CONCATENATE(D788,"_","Msr2")</f>
        <v>SWBE011-01 Windows_MFm_Msr2</v>
      </c>
      <c r="F788" s="3" t="s">
        <v>10769</v>
      </c>
      <c r="G788" s="3" t="s">
        <v>10769</v>
      </c>
      <c r="H788" s="3" t="str">
        <f t="shared" si="182"/>
        <v>RE-Fenest-ManufWin-rDXHP-Ex</v>
      </c>
      <c r="J788" t="str">
        <f t="shared" si="183"/>
        <v>RE-Fenest-ManufWin-rDXHP-Eff</v>
      </c>
      <c r="K788" t="s">
        <v>10758</v>
      </c>
      <c r="M788" t="s">
        <v>10759</v>
      </c>
      <c r="N788" s="3" t="str">
        <f t="shared" si="178"/>
        <v>MFm&amp;0&amp;rDXHP&amp;Ex&amp;Fenest__ManufWin</v>
      </c>
      <c r="O788" s="3" t="s">
        <v>63</v>
      </c>
      <c r="P788" s="3">
        <v>0</v>
      </c>
      <c r="Q788" s="3" t="s">
        <v>57</v>
      </c>
      <c r="R788" s="3" t="s">
        <v>52</v>
      </c>
      <c r="S788" s="3" t="s">
        <v>10734</v>
      </c>
      <c r="T788" s="3" t="str">
        <f t="shared" si="180"/>
        <v>Fenest__ManufWin</v>
      </c>
      <c r="U788" s="3" t="str">
        <f t="shared" si="184"/>
        <v>Fenest__ManufWin</v>
      </c>
      <c r="V788" s="3" t="s">
        <v>785</v>
      </c>
      <c r="W788" s="3" t="s">
        <v>1040</v>
      </c>
      <c r="X788" s="3" t="s">
        <v>785</v>
      </c>
      <c r="Y788" s="3" t="s">
        <v>1040</v>
      </c>
      <c r="AA788" s="3" t="s">
        <v>55</v>
      </c>
    </row>
    <row r="789" spans="1:29" x14ac:dyDescent="0.25">
      <c r="A789" s="3" t="s">
        <v>10754</v>
      </c>
      <c r="B789" s="3" t="s">
        <v>10675</v>
      </c>
      <c r="C789" s="3" t="s">
        <v>10755</v>
      </c>
      <c r="D789" s="3" t="str">
        <f t="shared" si="179"/>
        <v>SWBE011-01 Windows_MFm</v>
      </c>
      <c r="E789" s="3" t="str">
        <f t="shared" si="187"/>
        <v>SWBE011-01 Windows_MFm_Msr2</v>
      </c>
      <c r="F789" s="3" t="s">
        <v>10769</v>
      </c>
      <c r="G789" s="3" t="s">
        <v>10769</v>
      </c>
      <c r="H789" s="3" t="str">
        <f t="shared" si="182"/>
        <v>RE-Fenest-ManufWin-rNCEH-Ex</v>
      </c>
      <c r="J789" t="str">
        <f t="shared" si="183"/>
        <v>RE-Fenest-ManufWin-rNCEH-Eff</v>
      </c>
      <c r="K789" t="s">
        <v>10760</v>
      </c>
      <c r="M789" t="s">
        <v>10761</v>
      </c>
      <c r="N789" s="3" t="str">
        <f t="shared" si="178"/>
        <v>MFm&amp;0&amp;rNCEH&amp;Ex&amp;Fenest__ManufWin</v>
      </c>
      <c r="O789" s="3" t="s">
        <v>63</v>
      </c>
      <c r="P789" s="3">
        <v>0</v>
      </c>
      <c r="Q789" s="3" t="s">
        <v>71</v>
      </c>
      <c r="R789" s="3" t="s">
        <v>52</v>
      </c>
      <c r="S789" s="3" t="s">
        <v>10734</v>
      </c>
      <c r="T789" s="3" t="str">
        <f t="shared" si="180"/>
        <v>Fenest__ManufWin</v>
      </c>
      <c r="U789" s="3" t="str">
        <f t="shared" si="184"/>
        <v>Fenest__ManufWin</v>
      </c>
      <c r="V789" s="3" t="s">
        <v>785</v>
      </c>
      <c r="W789" s="3" t="s">
        <v>1040</v>
      </c>
      <c r="X789" s="3" t="s">
        <v>785</v>
      </c>
      <c r="Y789" s="3" t="s">
        <v>1040</v>
      </c>
      <c r="AA789" s="3" t="s">
        <v>55</v>
      </c>
    </row>
    <row r="790" spans="1:29" x14ac:dyDescent="0.25">
      <c r="A790" s="3" t="s">
        <v>10754</v>
      </c>
      <c r="B790" s="3" t="s">
        <v>10675</v>
      </c>
      <c r="C790" s="3" t="s">
        <v>10755</v>
      </c>
      <c r="D790" s="3" t="str">
        <f t="shared" si="179"/>
        <v>SWBE011-01 Windows_MFm</v>
      </c>
      <c r="E790" s="3" t="str">
        <f t="shared" si="187"/>
        <v>SWBE011-01 Windows_MFm_Msr2</v>
      </c>
      <c r="F790" s="3" t="s">
        <v>10769</v>
      </c>
      <c r="G790" s="3" t="s">
        <v>10769</v>
      </c>
      <c r="H790" s="3" t="str">
        <f t="shared" si="182"/>
        <v>RG-Fenest-ManufWin-rNCGF-Ex</v>
      </c>
      <c r="J790" t="str">
        <f t="shared" si="183"/>
        <v>RG-Fenest-ManufWin-rNCGF-Eff</v>
      </c>
      <c r="K790" t="s">
        <v>10762</v>
      </c>
      <c r="M790" t="s">
        <v>10763</v>
      </c>
      <c r="N790" s="3" t="str">
        <f t="shared" si="178"/>
        <v>MFm&amp;0&amp;rNCGF&amp;Ex&amp;Fenest__ManufWin</v>
      </c>
      <c r="O790" s="3" t="s">
        <v>63</v>
      </c>
      <c r="P790" s="3">
        <v>0</v>
      </c>
      <c r="Q790" s="3" t="s">
        <v>58</v>
      </c>
      <c r="R790" s="3" t="s">
        <v>52</v>
      </c>
      <c r="S790" s="3" t="s">
        <v>10734</v>
      </c>
      <c r="T790" s="3" t="str">
        <f t="shared" si="180"/>
        <v>Fenest__ManufWin</v>
      </c>
      <c r="U790" s="3" t="str">
        <f t="shared" si="184"/>
        <v>Fenest__ManufWin</v>
      </c>
      <c r="V790" s="3" t="s">
        <v>785</v>
      </c>
      <c r="W790" s="3" t="s">
        <v>1040</v>
      </c>
      <c r="X790" s="3" t="s">
        <v>785</v>
      </c>
      <c r="Y790" s="3" t="s">
        <v>1040</v>
      </c>
      <c r="AA790" s="3" t="s">
        <v>55</v>
      </c>
    </row>
    <row r="791" spans="1:29" x14ac:dyDescent="0.25">
      <c r="A791" s="3" t="s">
        <v>10754</v>
      </c>
      <c r="B791" s="3" t="s">
        <v>10675</v>
      </c>
      <c r="C791" s="3" t="s">
        <v>10755</v>
      </c>
      <c r="D791" s="3" t="str">
        <f t="shared" si="179"/>
        <v>SWBE011-01 Windows_MFm</v>
      </c>
      <c r="E791" s="3" t="str">
        <f>CONCATENATE(D791,"_","Msr3")</f>
        <v>SWBE011-01 Windows_MFm_Msr3</v>
      </c>
      <c r="F791" s="3" t="s">
        <v>10769</v>
      </c>
      <c r="G791" s="3" t="s">
        <v>10769</v>
      </c>
      <c r="H791" s="3" t="str">
        <f t="shared" si="182"/>
        <v>RG-Fenest-ManufWin-rDXGF-Ex</v>
      </c>
      <c r="J791" t="str">
        <f t="shared" si="183"/>
        <v>RG-Fenest-ManufWin-rDXGF-Eff</v>
      </c>
      <c r="K791" t="s">
        <v>10756</v>
      </c>
      <c r="M791" t="s">
        <v>10757</v>
      </c>
      <c r="N791" s="3" t="str">
        <f t="shared" si="178"/>
        <v>MFm&amp;0&amp;rDXGF&amp;Ex&amp;Fenest__ManufWin</v>
      </c>
      <c r="O791" s="3" t="s">
        <v>63</v>
      </c>
      <c r="P791" s="3">
        <v>0</v>
      </c>
      <c r="Q791" s="3" t="s">
        <v>51</v>
      </c>
      <c r="R791" s="3" t="s">
        <v>52</v>
      </c>
      <c r="S791" s="3" t="s">
        <v>10734</v>
      </c>
      <c r="T791" s="3" t="str">
        <f t="shared" si="180"/>
        <v>Fenest__ManufWin</v>
      </c>
      <c r="U791" s="3" t="str">
        <f t="shared" si="184"/>
        <v>Fenest__ManufWin</v>
      </c>
      <c r="V791" s="3" t="s">
        <v>785</v>
      </c>
      <c r="W791" s="3" t="s">
        <v>1040</v>
      </c>
      <c r="X791" s="3" t="s">
        <v>785</v>
      </c>
      <c r="Y791" s="3" t="s">
        <v>1040</v>
      </c>
      <c r="AA791" s="3" t="s">
        <v>55</v>
      </c>
    </row>
    <row r="792" spans="1:29" x14ac:dyDescent="0.25">
      <c r="A792" s="3" t="s">
        <v>10754</v>
      </c>
      <c r="B792" s="3" t="s">
        <v>10675</v>
      </c>
      <c r="C792" s="3" t="s">
        <v>10755</v>
      </c>
      <c r="D792" s="3" t="str">
        <f t="shared" si="179"/>
        <v>SWBE011-01 Windows_MFm</v>
      </c>
      <c r="E792" s="3" t="str">
        <f t="shared" ref="E792:E794" si="188">CONCATENATE(D792,"_","Msr3")</f>
        <v>SWBE011-01 Windows_MFm_Msr3</v>
      </c>
      <c r="F792" s="3" t="s">
        <v>10769</v>
      </c>
      <c r="G792" s="3" t="s">
        <v>10769</v>
      </c>
      <c r="H792" s="3" t="str">
        <f t="shared" si="182"/>
        <v>RE-Fenest-ManufWin-rDXHP-Ex</v>
      </c>
      <c r="J792" t="str">
        <f t="shared" si="183"/>
        <v>RE-Fenest-ManufWin-rDXHP-Eff</v>
      </c>
      <c r="K792" t="s">
        <v>10758</v>
      </c>
      <c r="M792" t="s">
        <v>10759</v>
      </c>
      <c r="N792" s="3" t="str">
        <f t="shared" si="178"/>
        <v>MFm&amp;0&amp;rDXHP&amp;Ex&amp;Fenest__ManufWin</v>
      </c>
      <c r="O792" s="3" t="s">
        <v>63</v>
      </c>
      <c r="P792" s="3">
        <v>0</v>
      </c>
      <c r="Q792" s="3" t="s">
        <v>57</v>
      </c>
      <c r="R792" s="3" t="s">
        <v>52</v>
      </c>
      <c r="S792" s="3" t="s">
        <v>10734</v>
      </c>
      <c r="T792" s="3" t="str">
        <f t="shared" si="180"/>
        <v>Fenest__ManufWin</v>
      </c>
      <c r="U792" s="3" t="str">
        <f t="shared" si="184"/>
        <v>Fenest__ManufWin</v>
      </c>
      <c r="V792" s="3" t="s">
        <v>785</v>
      </c>
      <c r="W792" s="3" t="s">
        <v>1040</v>
      </c>
      <c r="X792" s="3" t="s">
        <v>785</v>
      </c>
      <c r="Y792" s="3" t="s">
        <v>1040</v>
      </c>
      <c r="AA792" s="3" t="s">
        <v>55</v>
      </c>
    </row>
    <row r="793" spans="1:29" x14ac:dyDescent="0.25">
      <c r="A793" s="3" t="s">
        <v>10754</v>
      </c>
      <c r="B793" s="3" t="s">
        <v>10675</v>
      </c>
      <c r="C793" s="3" t="s">
        <v>10755</v>
      </c>
      <c r="D793" s="3" t="str">
        <f t="shared" si="179"/>
        <v>SWBE011-01 Windows_MFm</v>
      </c>
      <c r="E793" s="3" t="str">
        <f t="shared" si="188"/>
        <v>SWBE011-01 Windows_MFm_Msr3</v>
      </c>
      <c r="F793" s="3" t="s">
        <v>10769</v>
      </c>
      <c r="G793" s="3" t="s">
        <v>10769</v>
      </c>
      <c r="H793" s="3" t="str">
        <f t="shared" si="182"/>
        <v>RE-Fenest-ManufWin-rNCEH-Ex</v>
      </c>
      <c r="J793" t="str">
        <f t="shared" si="183"/>
        <v>RE-Fenest-ManufWin-rNCEH-Eff</v>
      </c>
      <c r="K793" t="s">
        <v>10760</v>
      </c>
      <c r="M793" t="s">
        <v>10761</v>
      </c>
      <c r="N793" s="3" t="str">
        <f t="shared" si="178"/>
        <v>MFm&amp;0&amp;rNCEH&amp;Ex&amp;Fenest__ManufWin</v>
      </c>
      <c r="O793" s="3" t="s">
        <v>63</v>
      </c>
      <c r="P793" s="3">
        <v>0</v>
      </c>
      <c r="Q793" s="3" t="s">
        <v>71</v>
      </c>
      <c r="R793" s="3" t="s">
        <v>52</v>
      </c>
      <c r="S793" s="3" t="s">
        <v>10734</v>
      </c>
      <c r="T793" s="3" t="str">
        <f t="shared" si="180"/>
        <v>Fenest__ManufWin</v>
      </c>
      <c r="U793" s="3" t="str">
        <f t="shared" si="184"/>
        <v>Fenest__ManufWin</v>
      </c>
      <c r="V793" s="3" t="s">
        <v>785</v>
      </c>
      <c r="W793" s="3" t="s">
        <v>1040</v>
      </c>
      <c r="X793" s="3" t="s">
        <v>785</v>
      </c>
      <c r="Y793" s="3" t="s">
        <v>1040</v>
      </c>
      <c r="AA793" s="3" t="s">
        <v>55</v>
      </c>
    </row>
    <row r="794" spans="1:29" x14ac:dyDescent="0.25">
      <c r="A794" s="3" t="s">
        <v>10754</v>
      </c>
      <c r="B794" s="3" t="s">
        <v>10675</v>
      </c>
      <c r="C794" s="3" t="s">
        <v>10755</v>
      </c>
      <c r="D794" s="3" t="str">
        <f t="shared" si="179"/>
        <v>SWBE011-01 Windows_MFm</v>
      </c>
      <c r="E794" s="3" t="str">
        <f t="shared" si="188"/>
        <v>SWBE011-01 Windows_MFm_Msr3</v>
      </c>
      <c r="F794" s="3" t="s">
        <v>10769</v>
      </c>
      <c r="G794" s="3" t="s">
        <v>10769</v>
      </c>
      <c r="H794" s="3" t="str">
        <f t="shared" si="182"/>
        <v>RG-Fenest-ManufWin-rNCGF-Ex</v>
      </c>
      <c r="J794" t="str">
        <f t="shared" si="183"/>
        <v>RG-Fenest-ManufWin-rNCGF-Eff</v>
      </c>
      <c r="K794" t="s">
        <v>10762</v>
      </c>
      <c r="M794" t="s">
        <v>10763</v>
      </c>
      <c r="N794" s="3" t="str">
        <f t="shared" si="178"/>
        <v>MFm&amp;0&amp;rNCGF&amp;Ex&amp;Fenest__ManufWin</v>
      </c>
      <c r="O794" s="3" t="s">
        <v>63</v>
      </c>
      <c r="P794" s="3">
        <v>0</v>
      </c>
      <c r="Q794" s="3" t="s">
        <v>58</v>
      </c>
      <c r="R794" s="3" t="s">
        <v>52</v>
      </c>
      <c r="S794" s="3" t="s">
        <v>10734</v>
      </c>
      <c r="T794" s="3" t="str">
        <f t="shared" si="180"/>
        <v>Fenest__ManufWin</v>
      </c>
      <c r="U794" s="3" t="str">
        <f t="shared" si="184"/>
        <v>Fenest__ManufWin</v>
      </c>
      <c r="V794" s="3" t="s">
        <v>785</v>
      </c>
      <c r="W794" s="3" t="s">
        <v>1040</v>
      </c>
      <c r="X794" s="3" t="s">
        <v>785</v>
      </c>
      <c r="Y794" s="3" t="s">
        <v>1040</v>
      </c>
      <c r="AA794" s="3" t="s">
        <v>55</v>
      </c>
    </row>
    <row r="795" spans="1:29" x14ac:dyDescent="0.25">
      <c r="A795" s="3" t="s">
        <v>10754</v>
      </c>
      <c r="B795" s="3" t="s">
        <v>10675</v>
      </c>
      <c r="C795" s="3" t="s">
        <v>10755</v>
      </c>
      <c r="D795" s="3" t="str">
        <f t="shared" si="179"/>
        <v>SWBE011-01 Windows_SFm</v>
      </c>
      <c r="E795" s="3" t="str">
        <f>CONCATENATE(D795,"_",AC795,"_","Msr1")</f>
        <v>SWBE011-01 Windows_SFm_1975_Msr1</v>
      </c>
      <c r="F795" s="3" t="s">
        <v>10769</v>
      </c>
      <c r="G795" s="3" t="s">
        <v>10769</v>
      </c>
      <c r="H795" s="3" t="str">
        <f t="shared" si="182"/>
        <v>RG-Fenest-ManufWin-rDXGF-Ex</v>
      </c>
      <c r="J795" t="str">
        <f t="shared" si="183"/>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80"/>
        <v>Fenest__ManufWin</v>
      </c>
      <c r="U795" s="3" t="str">
        <f t="shared" si="184"/>
        <v>Fenest__ManufWin</v>
      </c>
      <c r="V795" s="3" t="s">
        <v>785</v>
      </c>
      <c r="W795" s="3" t="s">
        <v>1040</v>
      </c>
      <c r="X795" s="3" t="s">
        <v>785</v>
      </c>
      <c r="Y795" s="3" t="s">
        <v>1040</v>
      </c>
      <c r="AA795" s="3" t="s">
        <v>55</v>
      </c>
      <c r="AC795">
        <v>1975</v>
      </c>
    </row>
    <row r="796" spans="1:29" x14ac:dyDescent="0.25">
      <c r="A796" s="3" t="s">
        <v>10754</v>
      </c>
      <c r="B796" s="3" t="s">
        <v>10675</v>
      </c>
      <c r="C796" s="3" t="s">
        <v>10755</v>
      </c>
      <c r="D796" s="3" t="str">
        <f t="shared" si="179"/>
        <v>SWBE011-01 Windows_SFm</v>
      </c>
      <c r="E796" s="3" t="str">
        <f t="shared" ref="E796:E798" si="189">CONCATENATE(D796,"_",AC796,"_","Msr1")</f>
        <v>SWBE011-01 Windows_SFm_1975_Msr1</v>
      </c>
      <c r="F796" s="3" t="s">
        <v>10769</v>
      </c>
      <c r="G796" s="3" t="s">
        <v>10769</v>
      </c>
      <c r="H796" s="3" t="str">
        <f t="shared" si="182"/>
        <v>RE-Fenest-ManufWin-rDXHP-Ex</v>
      </c>
      <c r="J796" t="str">
        <f t="shared" si="183"/>
        <v>RE-Fenest-ManufWin-rDXHP-Eff</v>
      </c>
      <c r="K796" t="s">
        <v>10758</v>
      </c>
      <c r="M796" t="s">
        <v>10759</v>
      </c>
      <c r="N796" s="3" t="str">
        <f t="shared" ref="N796:N846" si="19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80"/>
        <v>Fenest__ManufWin</v>
      </c>
      <c r="U796" s="3" t="str">
        <f t="shared" si="184"/>
        <v>Fenest__ManufWin</v>
      </c>
      <c r="V796" s="3" t="s">
        <v>785</v>
      </c>
      <c r="W796" s="3" t="s">
        <v>1040</v>
      </c>
      <c r="X796" s="3" t="s">
        <v>785</v>
      </c>
      <c r="Y796" s="3" t="s">
        <v>1040</v>
      </c>
      <c r="AA796" s="3" t="s">
        <v>55</v>
      </c>
      <c r="AC796">
        <v>1975</v>
      </c>
    </row>
    <row r="797" spans="1:29" x14ac:dyDescent="0.25">
      <c r="A797" s="3" t="s">
        <v>10754</v>
      </c>
      <c r="B797" s="3" t="s">
        <v>10675</v>
      </c>
      <c r="C797" s="3" t="s">
        <v>10755</v>
      </c>
      <c r="D797" s="3" t="str">
        <f t="shared" si="179"/>
        <v>SWBE011-01 Windows_SFm</v>
      </c>
      <c r="E797" s="3" t="str">
        <f t="shared" si="189"/>
        <v>SWBE011-01 Windows_SFm_1975_Msr1</v>
      </c>
      <c r="F797" s="3" t="s">
        <v>10769</v>
      </c>
      <c r="G797" s="3" t="s">
        <v>10769</v>
      </c>
      <c r="H797" s="3" t="str">
        <f t="shared" si="182"/>
        <v>RE-Fenest-ManufWin-rNCEH-Ex</v>
      </c>
      <c r="J797" t="str">
        <f t="shared" si="183"/>
        <v>RE-Fenest-ManufWin-rNCEH-Eff</v>
      </c>
      <c r="K797" t="s">
        <v>10760</v>
      </c>
      <c r="M797" t="s">
        <v>10761</v>
      </c>
      <c r="N797" s="3" t="str">
        <f t="shared" si="190"/>
        <v>SFm&amp;1&amp;rNCEH&amp;Ex&amp;Fenest__ManufWin</v>
      </c>
      <c r="O797" s="3" t="s">
        <v>50</v>
      </c>
      <c r="P797" s="3">
        <v>1</v>
      </c>
      <c r="Q797" s="3" t="s">
        <v>71</v>
      </c>
      <c r="R797" s="3" t="s">
        <v>52</v>
      </c>
      <c r="S797" s="3" t="s">
        <v>10734</v>
      </c>
      <c r="T797" s="3" t="str">
        <f t="shared" si="180"/>
        <v>Fenest__ManufWin</v>
      </c>
      <c r="U797" s="3" t="str">
        <f t="shared" si="184"/>
        <v>Fenest__ManufWin</v>
      </c>
      <c r="V797" s="3" t="s">
        <v>785</v>
      </c>
      <c r="W797" s="3" t="s">
        <v>1040</v>
      </c>
      <c r="X797" s="3" t="s">
        <v>785</v>
      </c>
      <c r="Y797" s="3" t="s">
        <v>1040</v>
      </c>
      <c r="AA797" s="3" t="s">
        <v>55</v>
      </c>
      <c r="AC797">
        <v>1975</v>
      </c>
    </row>
    <row r="798" spans="1:29" x14ac:dyDescent="0.25">
      <c r="A798" s="3" t="s">
        <v>10754</v>
      </c>
      <c r="B798" s="3" t="s">
        <v>10675</v>
      </c>
      <c r="C798" s="3" t="s">
        <v>10755</v>
      </c>
      <c r="D798" s="3" t="str">
        <f t="shared" si="179"/>
        <v>SWBE011-01 Windows_SFm</v>
      </c>
      <c r="E798" s="3" t="str">
        <f t="shared" si="189"/>
        <v>SWBE011-01 Windows_SFm_1975_Msr1</v>
      </c>
      <c r="F798" s="3" t="s">
        <v>10769</v>
      </c>
      <c r="G798" s="3" t="s">
        <v>10769</v>
      </c>
      <c r="H798" s="3" t="str">
        <f t="shared" si="182"/>
        <v>RG-Fenest-ManufWin-rNCGF-Ex</v>
      </c>
      <c r="J798" t="str">
        <f t="shared" si="183"/>
        <v>RG-Fenest-ManufWin-rNCGF-Eff</v>
      </c>
      <c r="K798" t="s">
        <v>10762</v>
      </c>
      <c r="M798" t="s">
        <v>10763</v>
      </c>
      <c r="N798" s="3" t="str">
        <f t="shared" si="190"/>
        <v>SFm&amp;1&amp;rNCGF&amp;Ex&amp;Fenest__ManufWin</v>
      </c>
      <c r="O798" s="3" t="s">
        <v>50</v>
      </c>
      <c r="P798" s="3">
        <v>1</v>
      </c>
      <c r="Q798" s="3" t="s">
        <v>58</v>
      </c>
      <c r="R798" s="3" t="s">
        <v>52</v>
      </c>
      <c r="S798" s="3" t="s">
        <v>10734</v>
      </c>
      <c r="T798" s="3" t="str">
        <f t="shared" si="180"/>
        <v>Fenest__ManufWin</v>
      </c>
      <c r="U798" s="3" t="str">
        <f t="shared" si="184"/>
        <v>Fenest__ManufWin</v>
      </c>
      <c r="V798" s="3" t="s">
        <v>785</v>
      </c>
      <c r="W798" s="3" t="s">
        <v>1040</v>
      </c>
      <c r="X798" s="3" t="s">
        <v>785</v>
      </c>
      <c r="Y798" s="3" t="s">
        <v>1040</v>
      </c>
      <c r="AA798" s="3" t="s">
        <v>55</v>
      </c>
      <c r="AC798">
        <v>1975</v>
      </c>
    </row>
    <row r="799" spans="1:29" x14ac:dyDescent="0.25">
      <c r="A799" s="3" t="s">
        <v>10754</v>
      </c>
      <c r="B799" s="3" t="s">
        <v>10675</v>
      </c>
      <c r="C799" s="3" t="s">
        <v>10755</v>
      </c>
      <c r="D799" s="3" t="str">
        <f t="shared" si="179"/>
        <v>SWBE011-01 Windows_SFm</v>
      </c>
      <c r="E799" s="3" t="str">
        <f>CONCATENATE(D799,"_",AC799,"_","Msr2")</f>
        <v>SWBE011-01 Windows_SFm_1975_Msr2</v>
      </c>
      <c r="F799" s="3" t="s">
        <v>10769</v>
      </c>
      <c r="G799" s="3" t="s">
        <v>10769</v>
      </c>
      <c r="H799" s="3" t="str">
        <f t="shared" si="182"/>
        <v>RG-Fenest-ManufWin-rDXGF-Ex</v>
      </c>
      <c r="J799" t="str">
        <f t="shared" si="183"/>
        <v>RG-Fenest-ManufWin-rDXGF-Eff</v>
      </c>
      <c r="K799" t="s">
        <v>10756</v>
      </c>
      <c r="M799" t="s">
        <v>10757</v>
      </c>
      <c r="N799" s="3" t="str">
        <f t="shared" si="190"/>
        <v>SFm&amp;1&amp;rDXGF&amp;Ex&amp;Fenest__ManufWin</v>
      </c>
      <c r="O799" s="3" t="s">
        <v>50</v>
      </c>
      <c r="P799" s="3">
        <v>1</v>
      </c>
      <c r="Q799" s="3" t="s">
        <v>51</v>
      </c>
      <c r="R799" s="3" t="s">
        <v>52</v>
      </c>
      <c r="S799" s="3" t="s">
        <v>10734</v>
      </c>
      <c r="T799" s="3" t="str">
        <f t="shared" si="180"/>
        <v>Fenest__ManufWin</v>
      </c>
      <c r="U799" s="3" t="str">
        <f t="shared" si="184"/>
        <v>Fenest__ManufWin</v>
      </c>
      <c r="V799" s="3" t="s">
        <v>785</v>
      </c>
      <c r="W799" s="3" t="s">
        <v>1040</v>
      </c>
      <c r="X799" s="3" t="s">
        <v>785</v>
      </c>
      <c r="Y799" s="3" t="s">
        <v>1040</v>
      </c>
      <c r="AA799" s="3" t="s">
        <v>55</v>
      </c>
      <c r="AC799">
        <v>1975</v>
      </c>
    </row>
    <row r="800" spans="1:29" x14ac:dyDescent="0.25">
      <c r="A800" s="3" t="s">
        <v>10754</v>
      </c>
      <c r="B800" s="3" t="s">
        <v>10675</v>
      </c>
      <c r="C800" s="3" t="s">
        <v>10755</v>
      </c>
      <c r="D800" s="3" t="str">
        <f t="shared" si="179"/>
        <v>SWBE011-01 Windows_SFm</v>
      </c>
      <c r="E800" s="3" t="str">
        <f t="shared" ref="E800:E802" si="191">CONCATENATE(D800,"_",AC800,"_","Msr2")</f>
        <v>SWBE011-01 Windows_SFm_1975_Msr2</v>
      </c>
      <c r="F800" s="3" t="s">
        <v>10769</v>
      </c>
      <c r="G800" s="3" t="s">
        <v>10769</v>
      </c>
      <c r="H800" s="3" t="str">
        <f t="shared" si="182"/>
        <v>RE-Fenest-ManufWin-rDXHP-Ex</v>
      </c>
      <c r="J800" t="str">
        <f t="shared" si="183"/>
        <v>RE-Fenest-ManufWin-rDXHP-Eff</v>
      </c>
      <c r="K800" t="s">
        <v>10758</v>
      </c>
      <c r="M800" t="s">
        <v>10759</v>
      </c>
      <c r="N800" s="3" t="str">
        <f t="shared" si="190"/>
        <v>SFm&amp;1&amp;rDXHP&amp;Ex&amp;Fenest__ManufWin</v>
      </c>
      <c r="O800" s="3" t="s">
        <v>50</v>
      </c>
      <c r="P800" s="3">
        <v>1</v>
      </c>
      <c r="Q800" s="3" t="s">
        <v>57</v>
      </c>
      <c r="R800" s="3" t="s">
        <v>52</v>
      </c>
      <c r="S800" s="3" t="s">
        <v>10734</v>
      </c>
      <c r="T800" s="3" t="str">
        <f t="shared" si="180"/>
        <v>Fenest__ManufWin</v>
      </c>
      <c r="U800" s="3" t="str">
        <f t="shared" si="184"/>
        <v>Fenest__ManufWin</v>
      </c>
      <c r="V800" s="3" t="s">
        <v>785</v>
      </c>
      <c r="W800" s="3" t="s">
        <v>1040</v>
      </c>
      <c r="X800" s="3" t="s">
        <v>785</v>
      </c>
      <c r="Y800" s="3" t="s">
        <v>1040</v>
      </c>
      <c r="AA800" s="3" t="s">
        <v>55</v>
      </c>
      <c r="AC800">
        <v>1975</v>
      </c>
    </row>
    <row r="801" spans="1:29" x14ac:dyDescent="0.25">
      <c r="A801" s="3" t="s">
        <v>10754</v>
      </c>
      <c r="B801" s="3" t="s">
        <v>10675</v>
      </c>
      <c r="C801" s="3" t="s">
        <v>10755</v>
      </c>
      <c r="D801" s="3" t="str">
        <f t="shared" si="179"/>
        <v>SWBE011-01 Windows_SFm</v>
      </c>
      <c r="E801" s="3" t="str">
        <f t="shared" si="191"/>
        <v>SWBE011-01 Windows_SFm_1975_Msr2</v>
      </c>
      <c r="F801" s="3" t="s">
        <v>10769</v>
      </c>
      <c r="G801" s="3" t="s">
        <v>10769</v>
      </c>
      <c r="H801" s="3" t="str">
        <f t="shared" si="182"/>
        <v>RE-Fenest-ManufWin-rNCEH-Ex</v>
      </c>
      <c r="J801" t="str">
        <f t="shared" si="183"/>
        <v>RE-Fenest-ManufWin-rNCEH-Eff</v>
      </c>
      <c r="K801" t="s">
        <v>10760</v>
      </c>
      <c r="M801" t="s">
        <v>10761</v>
      </c>
      <c r="N801" s="3" t="str">
        <f t="shared" si="190"/>
        <v>SFm&amp;1&amp;rNCEH&amp;Ex&amp;Fenest__ManufWin</v>
      </c>
      <c r="O801" s="3" t="s">
        <v>50</v>
      </c>
      <c r="P801" s="3">
        <v>1</v>
      </c>
      <c r="Q801" s="3" t="s">
        <v>71</v>
      </c>
      <c r="R801" s="3" t="s">
        <v>52</v>
      </c>
      <c r="S801" s="3" t="s">
        <v>10734</v>
      </c>
      <c r="T801" s="3" t="str">
        <f t="shared" si="180"/>
        <v>Fenest__ManufWin</v>
      </c>
      <c r="U801" s="3" t="str">
        <f t="shared" si="184"/>
        <v>Fenest__ManufWin</v>
      </c>
      <c r="V801" s="3" t="s">
        <v>785</v>
      </c>
      <c r="W801" s="3" t="s">
        <v>1040</v>
      </c>
      <c r="X801" s="3" t="s">
        <v>785</v>
      </c>
      <c r="Y801" s="3" t="s">
        <v>1040</v>
      </c>
      <c r="AA801" s="3" t="s">
        <v>55</v>
      </c>
      <c r="AC801">
        <v>1975</v>
      </c>
    </row>
    <row r="802" spans="1:29" x14ac:dyDescent="0.25">
      <c r="A802" s="3" t="s">
        <v>10754</v>
      </c>
      <c r="B802" s="3" t="s">
        <v>10675</v>
      </c>
      <c r="C802" s="3" t="s">
        <v>10755</v>
      </c>
      <c r="D802" s="3" t="str">
        <f t="shared" si="179"/>
        <v>SWBE011-01 Windows_SFm</v>
      </c>
      <c r="E802" s="3" t="str">
        <f t="shared" si="191"/>
        <v>SWBE011-01 Windows_SFm_1975_Msr2</v>
      </c>
      <c r="F802" s="3" t="s">
        <v>10769</v>
      </c>
      <c r="G802" s="3" t="s">
        <v>10769</v>
      </c>
      <c r="H802" s="3" t="str">
        <f t="shared" si="182"/>
        <v>RG-Fenest-ManufWin-rNCGF-Ex</v>
      </c>
      <c r="J802" t="str">
        <f t="shared" si="183"/>
        <v>RG-Fenest-ManufWin-rNCGF-Eff</v>
      </c>
      <c r="K802" t="s">
        <v>10762</v>
      </c>
      <c r="M802" t="s">
        <v>10763</v>
      </c>
      <c r="N802" s="3" t="str">
        <f t="shared" si="190"/>
        <v>SFm&amp;1&amp;rNCGF&amp;Ex&amp;Fenest__ManufWin</v>
      </c>
      <c r="O802" s="3" t="s">
        <v>50</v>
      </c>
      <c r="P802" s="3">
        <v>1</v>
      </c>
      <c r="Q802" s="3" t="s">
        <v>58</v>
      </c>
      <c r="R802" s="3" t="s">
        <v>52</v>
      </c>
      <c r="S802" s="3" t="s">
        <v>10734</v>
      </c>
      <c r="T802" s="3" t="str">
        <f t="shared" si="180"/>
        <v>Fenest__ManufWin</v>
      </c>
      <c r="U802" s="3" t="str">
        <f t="shared" si="184"/>
        <v>Fenest__ManufWin</v>
      </c>
      <c r="V802" s="3" t="s">
        <v>785</v>
      </c>
      <c r="W802" s="3" t="s">
        <v>1040</v>
      </c>
      <c r="X802" s="3" t="s">
        <v>785</v>
      </c>
      <c r="Y802" s="3" t="s">
        <v>1040</v>
      </c>
      <c r="AA802" s="3" t="s">
        <v>55</v>
      </c>
      <c r="AC802">
        <v>1975</v>
      </c>
    </row>
    <row r="803" spans="1:29" x14ac:dyDescent="0.25">
      <c r="A803" s="3" t="s">
        <v>10754</v>
      </c>
      <c r="B803" s="3" t="s">
        <v>10675</v>
      </c>
      <c r="C803" s="3" t="s">
        <v>10755</v>
      </c>
      <c r="D803" s="3" t="str">
        <f t="shared" si="179"/>
        <v>SWBE011-01 Windows_SFm</v>
      </c>
      <c r="E803" s="3" t="str">
        <f>CONCATENATE(D803,"_",AC803,"_","Msr3")</f>
        <v>SWBE011-01 Windows_SFm_1975_Msr3</v>
      </c>
      <c r="F803" s="3" t="s">
        <v>10769</v>
      </c>
      <c r="G803" s="3" t="s">
        <v>10769</v>
      </c>
      <c r="H803" s="3" t="str">
        <f t="shared" si="182"/>
        <v>RG-Fenest-ManufWin-rDXGF-Ex</v>
      </c>
      <c r="J803" t="str">
        <f t="shared" si="183"/>
        <v>RG-Fenest-ManufWin-rDXGF-Eff</v>
      </c>
      <c r="K803" t="s">
        <v>10756</v>
      </c>
      <c r="M803" t="s">
        <v>10757</v>
      </c>
      <c r="N803" s="3" t="str">
        <f t="shared" si="190"/>
        <v>SFm&amp;1&amp;rDXGF&amp;Ex&amp;Fenest__ManufWin</v>
      </c>
      <c r="O803" s="3" t="s">
        <v>50</v>
      </c>
      <c r="P803" s="3">
        <v>1</v>
      </c>
      <c r="Q803" s="3" t="s">
        <v>51</v>
      </c>
      <c r="R803" s="3" t="s">
        <v>52</v>
      </c>
      <c r="S803" s="3" t="s">
        <v>10734</v>
      </c>
      <c r="T803" s="3" t="str">
        <f t="shared" si="180"/>
        <v>Fenest__ManufWin</v>
      </c>
      <c r="U803" s="3" t="str">
        <f t="shared" si="184"/>
        <v>Fenest__ManufWin</v>
      </c>
      <c r="V803" s="3" t="s">
        <v>785</v>
      </c>
      <c r="W803" s="3" t="s">
        <v>1040</v>
      </c>
      <c r="X803" s="3" t="s">
        <v>785</v>
      </c>
      <c r="Y803" s="3" t="s">
        <v>1040</v>
      </c>
      <c r="AA803" s="3" t="s">
        <v>55</v>
      </c>
      <c r="AC803">
        <v>1975</v>
      </c>
    </row>
    <row r="804" spans="1:29" x14ac:dyDescent="0.25">
      <c r="A804" s="3" t="s">
        <v>10754</v>
      </c>
      <c r="B804" s="3" t="s">
        <v>10675</v>
      </c>
      <c r="C804" s="3" t="s">
        <v>10755</v>
      </c>
      <c r="D804" s="3" t="str">
        <f t="shared" si="179"/>
        <v>SWBE011-01 Windows_SFm</v>
      </c>
      <c r="E804" s="3" t="str">
        <f t="shared" ref="E804:E806" si="192">CONCATENATE(D804,"_",AC804,"_","Msr3")</f>
        <v>SWBE011-01 Windows_SFm_1975_Msr3</v>
      </c>
      <c r="F804" s="3" t="s">
        <v>10769</v>
      </c>
      <c r="G804" s="3" t="s">
        <v>10769</v>
      </c>
      <c r="H804" s="3" t="str">
        <f t="shared" si="182"/>
        <v>RE-Fenest-ManufWin-rDXHP-Ex</v>
      </c>
      <c r="J804" t="str">
        <f t="shared" si="183"/>
        <v>RE-Fenest-ManufWin-rDXHP-Eff</v>
      </c>
      <c r="K804" t="s">
        <v>10758</v>
      </c>
      <c r="M804" t="s">
        <v>10759</v>
      </c>
      <c r="N804" s="3" t="str">
        <f t="shared" si="190"/>
        <v>SFm&amp;1&amp;rDXHP&amp;Ex&amp;Fenest__ManufWin</v>
      </c>
      <c r="O804" s="3" t="s">
        <v>50</v>
      </c>
      <c r="P804" s="3">
        <v>1</v>
      </c>
      <c r="Q804" s="3" t="s">
        <v>57</v>
      </c>
      <c r="R804" s="3" t="s">
        <v>52</v>
      </c>
      <c r="S804" s="3" t="s">
        <v>10734</v>
      </c>
      <c r="T804" s="3" t="str">
        <f t="shared" si="180"/>
        <v>Fenest__ManufWin</v>
      </c>
      <c r="U804" s="3" t="str">
        <f t="shared" si="184"/>
        <v>Fenest__ManufWin</v>
      </c>
      <c r="V804" s="3" t="s">
        <v>785</v>
      </c>
      <c r="W804" s="3" t="s">
        <v>1040</v>
      </c>
      <c r="X804" s="3" t="s">
        <v>785</v>
      </c>
      <c r="Y804" s="3" t="s">
        <v>1040</v>
      </c>
      <c r="AA804" s="3" t="s">
        <v>55</v>
      </c>
      <c r="AC804">
        <v>1975</v>
      </c>
    </row>
    <row r="805" spans="1:29" x14ac:dyDescent="0.25">
      <c r="A805" s="3" t="s">
        <v>10754</v>
      </c>
      <c r="B805" s="3" t="s">
        <v>10675</v>
      </c>
      <c r="C805" s="3" t="s">
        <v>10755</v>
      </c>
      <c r="D805" s="3" t="str">
        <f t="shared" si="179"/>
        <v>SWBE011-01 Windows_SFm</v>
      </c>
      <c r="E805" s="3" t="str">
        <f t="shared" si="192"/>
        <v>SWBE011-01 Windows_SFm_1975_Msr3</v>
      </c>
      <c r="F805" s="3" t="s">
        <v>10769</v>
      </c>
      <c r="G805" s="3" t="s">
        <v>10769</v>
      </c>
      <c r="H805" s="3" t="str">
        <f t="shared" si="182"/>
        <v>RE-Fenest-ManufWin-rNCEH-Ex</v>
      </c>
      <c r="J805" t="str">
        <f t="shared" si="183"/>
        <v>RE-Fenest-ManufWin-rNCEH-Eff</v>
      </c>
      <c r="K805" t="s">
        <v>10760</v>
      </c>
      <c r="M805" t="s">
        <v>10761</v>
      </c>
      <c r="N805" s="3" t="str">
        <f t="shared" si="190"/>
        <v>SFm&amp;1&amp;rNCEH&amp;Ex&amp;Fenest__ManufWin</v>
      </c>
      <c r="O805" s="3" t="s">
        <v>50</v>
      </c>
      <c r="P805" s="3">
        <v>1</v>
      </c>
      <c r="Q805" s="3" t="s">
        <v>71</v>
      </c>
      <c r="R805" s="3" t="s">
        <v>52</v>
      </c>
      <c r="S805" s="3" t="s">
        <v>10734</v>
      </c>
      <c r="T805" s="3" t="str">
        <f t="shared" si="180"/>
        <v>Fenest__ManufWin</v>
      </c>
      <c r="U805" s="3" t="str">
        <f t="shared" si="184"/>
        <v>Fenest__ManufWin</v>
      </c>
      <c r="V805" s="3" t="s">
        <v>785</v>
      </c>
      <c r="W805" s="3" t="s">
        <v>1040</v>
      </c>
      <c r="X805" s="3" t="s">
        <v>785</v>
      </c>
      <c r="Y805" s="3" t="s">
        <v>1040</v>
      </c>
      <c r="AA805" s="3" t="s">
        <v>55</v>
      </c>
      <c r="AC805">
        <v>1975</v>
      </c>
    </row>
    <row r="806" spans="1:29" x14ac:dyDescent="0.25">
      <c r="A806" s="3" t="s">
        <v>10754</v>
      </c>
      <c r="B806" s="3" t="s">
        <v>10675</v>
      </c>
      <c r="C806" s="3" t="s">
        <v>10755</v>
      </c>
      <c r="D806" s="3" t="str">
        <f t="shared" si="179"/>
        <v>SWBE011-01 Windows_SFm</v>
      </c>
      <c r="E806" s="3" t="str">
        <f t="shared" si="192"/>
        <v>SWBE011-01 Windows_SFm_1975_Msr3</v>
      </c>
      <c r="F806" s="3" t="s">
        <v>10769</v>
      </c>
      <c r="G806" s="3" t="s">
        <v>10769</v>
      </c>
      <c r="H806" s="3" t="str">
        <f t="shared" si="182"/>
        <v>RG-Fenest-ManufWin-rNCGF-Ex</v>
      </c>
      <c r="J806" t="str">
        <f t="shared" si="183"/>
        <v>RG-Fenest-ManufWin-rNCGF-Eff</v>
      </c>
      <c r="K806" t="s">
        <v>10762</v>
      </c>
      <c r="M806" t="s">
        <v>10763</v>
      </c>
      <c r="N806" s="3" t="str">
        <f t="shared" si="190"/>
        <v>SFm&amp;1&amp;rNCGF&amp;Ex&amp;Fenest__ManufWin</v>
      </c>
      <c r="O806" s="3" t="s">
        <v>50</v>
      </c>
      <c r="P806" s="3">
        <v>1</v>
      </c>
      <c r="Q806" s="3" t="s">
        <v>58</v>
      </c>
      <c r="R806" s="3" t="s">
        <v>52</v>
      </c>
      <c r="S806" s="3" t="s">
        <v>10734</v>
      </c>
      <c r="T806" s="3" t="str">
        <f t="shared" si="180"/>
        <v>Fenest__ManufWin</v>
      </c>
      <c r="U806" s="3" t="str">
        <f t="shared" si="184"/>
        <v>Fenest__ManufWin</v>
      </c>
      <c r="V806" s="3" t="s">
        <v>785</v>
      </c>
      <c r="W806" s="3" t="s">
        <v>1040</v>
      </c>
      <c r="X806" s="3" t="s">
        <v>785</v>
      </c>
      <c r="Y806" s="3" t="s">
        <v>1040</v>
      </c>
      <c r="AA806" s="3" t="s">
        <v>55</v>
      </c>
      <c r="AC806">
        <v>1975</v>
      </c>
    </row>
    <row r="807" spans="1:29" x14ac:dyDescent="0.25">
      <c r="A807" s="3" t="s">
        <v>10754</v>
      </c>
      <c r="B807" s="3" t="s">
        <v>10675</v>
      </c>
      <c r="C807" s="3" t="s">
        <v>10755</v>
      </c>
      <c r="D807" s="3" t="str">
        <f t="shared" si="179"/>
        <v>SWBE011-01 Windows_SFm</v>
      </c>
      <c r="E807" s="3" t="str">
        <f>CONCATENATE(D807,"_",AC807,"_","Msr1")</f>
        <v>SWBE011-01 Windows_SFm_1985_Msr1</v>
      </c>
      <c r="F807" s="3" t="s">
        <v>10769</v>
      </c>
      <c r="G807" s="3" t="s">
        <v>10769</v>
      </c>
      <c r="H807" s="3" t="str">
        <f t="shared" si="182"/>
        <v>RG-Fenest-ManufWin-rDXGF-Ex</v>
      </c>
      <c r="J807" t="str">
        <f t="shared" si="183"/>
        <v>RG-Fenest-ManufWin-rDXGF-Eff</v>
      </c>
      <c r="K807" t="s">
        <v>10756</v>
      </c>
      <c r="M807" t="s">
        <v>10757</v>
      </c>
      <c r="N807" s="3" t="str">
        <f t="shared" si="190"/>
        <v>SFm&amp;1&amp;rDXGF&amp;Ex&amp;Fenest__ManufWin</v>
      </c>
      <c r="O807" s="3" t="s">
        <v>50</v>
      </c>
      <c r="P807" s="3">
        <v>1</v>
      </c>
      <c r="Q807" s="3" t="s">
        <v>51</v>
      </c>
      <c r="R807" s="3" t="s">
        <v>52</v>
      </c>
      <c r="S807" s="3" t="s">
        <v>10734</v>
      </c>
      <c r="T807" s="3" t="str">
        <f t="shared" si="180"/>
        <v>Fenest__ManufWin</v>
      </c>
      <c r="U807" s="3" t="str">
        <f t="shared" si="184"/>
        <v>Fenest__ManufWin</v>
      </c>
      <c r="V807" s="3" t="s">
        <v>785</v>
      </c>
      <c r="W807" s="3" t="s">
        <v>1040</v>
      </c>
      <c r="X807" s="3" t="s">
        <v>785</v>
      </c>
      <c r="Y807" s="3" t="s">
        <v>1040</v>
      </c>
      <c r="AA807" s="3" t="s">
        <v>55</v>
      </c>
      <c r="AC807">
        <v>1985</v>
      </c>
    </row>
    <row r="808" spans="1:29" x14ac:dyDescent="0.25">
      <c r="A808" s="3" t="s">
        <v>10754</v>
      </c>
      <c r="B808" s="3" t="s">
        <v>10675</v>
      </c>
      <c r="C808" s="3" t="s">
        <v>10755</v>
      </c>
      <c r="D808" s="3" t="str">
        <f t="shared" si="179"/>
        <v>SWBE011-01 Windows_SFm</v>
      </c>
      <c r="E808" s="3" t="str">
        <f t="shared" ref="E808:E810" si="193">CONCATENATE(D808,"_",AC808,"_","Msr1")</f>
        <v>SWBE011-01 Windows_SFm_1985_Msr1</v>
      </c>
      <c r="F808" s="3" t="s">
        <v>10769</v>
      </c>
      <c r="G808" s="3" t="s">
        <v>10769</v>
      </c>
      <c r="H808" s="3" t="str">
        <f t="shared" si="182"/>
        <v>RE-Fenest-ManufWin-rDXHP-Ex</v>
      </c>
      <c r="J808" t="str">
        <f t="shared" si="183"/>
        <v>RE-Fenest-ManufWin-rDXHP-Eff</v>
      </c>
      <c r="K808" t="s">
        <v>10758</v>
      </c>
      <c r="M808" t="s">
        <v>10759</v>
      </c>
      <c r="N808" s="3" t="str">
        <f t="shared" si="190"/>
        <v>SFm&amp;1&amp;rDXHP&amp;Ex&amp;Fenest__ManufWin</v>
      </c>
      <c r="O808" s="3" t="s">
        <v>50</v>
      </c>
      <c r="P808" s="3">
        <v>1</v>
      </c>
      <c r="Q808" s="3" t="s">
        <v>57</v>
      </c>
      <c r="R808" s="3" t="s">
        <v>52</v>
      </c>
      <c r="S808" s="3" t="s">
        <v>10734</v>
      </c>
      <c r="T808" s="3" t="str">
        <f t="shared" si="180"/>
        <v>Fenest__ManufWin</v>
      </c>
      <c r="U808" s="3" t="str">
        <f t="shared" si="184"/>
        <v>Fenest__ManufWin</v>
      </c>
      <c r="V808" s="3" t="s">
        <v>785</v>
      </c>
      <c r="W808" s="3" t="s">
        <v>1040</v>
      </c>
      <c r="X808" s="3" t="s">
        <v>785</v>
      </c>
      <c r="Y808" s="3" t="s">
        <v>1040</v>
      </c>
      <c r="AA808" s="3" t="s">
        <v>55</v>
      </c>
      <c r="AC808">
        <v>1985</v>
      </c>
    </row>
    <row r="809" spans="1:29" x14ac:dyDescent="0.25">
      <c r="A809" s="3" t="s">
        <v>10754</v>
      </c>
      <c r="B809" s="3" t="s">
        <v>10675</v>
      </c>
      <c r="C809" s="3" t="s">
        <v>10755</v>
      </c>
      <c r="D809" s="3" t="str">
        <f t="shared" si="179"/>
        <v>SWBE011-01 Windows_SFm</v>
      </c>
      <c r="E809" s="3" t="str">
        <f t="shared" si="193"/>
        <v>SWBE011-01 Windows_SFm_1985_Msr1</v>
      </c>
      <c r="F809" s="3" t="s">
        <v>10769</v>
      </c>
      <c r="G809" s="3" t="s">
        <v>10769</v>
      </c>
      <c r="H809" s="3" t="str">
        <f t="shared" si="182"/>
        <v>RE-Fenest-ManufWin-rNCEH-Ex</v>
      </c>
      <c r="J809" t="str">
        <f t="shared" si="183"/>
        <v>RE-Fenest-ManufWin-rNCEH-Eff</v>
      </c>
      <c r="K809" t="s">
        <v>10760</v>
      </c>
      <c r="M809" t="s">
        <v>10761</v>
      </c>
      <c r="N809" s="3" t="str">
        <f t="shared" si="190"/>
        <v>SFm&amp;1&amp;rNCEH&amp;Ex&amp;Fenest__ManufWin</v>
      </c>
      <c r="O809" s="3" t="s">
        <v>50</v>
      </c>
      <c r="P809" s="3">
        <v>1</v>
      </c>
      <c r="Q809" s="3" t="s">
        <v>71</v>
      </c>
      <c r="R809" s="3" t="s">
        <v>52</v>
      </c>
      <c r="S809" s="3" t="s">
        <v>10734</v>
      </c>
      <c r="T809" s="3" t="str">
        <f t="shared" si="180"/>
        <v>Fenest__ManufWin</v>
      </c>
      <c r="U809" s="3" t="str">
        <f t="shared" si="184"/>
        <v>Fenest__ManufWin</v>
      </c>
      <c r="V809" s="3" t="s">
        <v>785</v>
      </c>
      <c r="W809" s="3" t="s">
        <v>1040</v>
      </c>
      <c r="X809" s="3" t="s">
        <v>785</v>
      </c>
      <c r="Y809" s="3" t="s">
        <v>1040</v>
      </c>
      <c r="AA809" s="3" t="s">
        <v>55</v>
      </c>
      <c r="AC809">
        <v>1985</v>
      </c>
    </row>
    <row r="810" spans="1:29" x14ac:dyDescent="0.25">
      <c r="A810" s="3" t="s">
        <v>10754</v>
      </c>
      <c r="B810" s="3" t="s">
        <v>10675</v>
      </c>
      <c r="C810" s="3" t="s">
        <v>10755</v>
      </c>
      <c r="D810" s="3" t="str">
        <f t="shared" si="179"/>
        <v>SWBE011-01 Windows_SFm</v>
      </c>
      <c r="E810" s="3" t="str">
        <f t="shared" si="193"/>
        <v>SWBE011-01 Windows_SFm_1985_Msr1</v>
      </c>
      <c r="F810" s="3" t="s">
        <v>10769</v>
      </c>
      <c r="G810" s="3" t="s">
        <v>10769</v>
      </c>
      <c r="H810" s="3" t="str">
        <f t="shared" si="182"/>
        <v>RG-Fenest-ManufWin-rNCGF-Ex</v>
      </c>
      <c r="J810" t="str">
        <f t="shared" si="183"/>
        <v>RG-Fenest-ManufWin-rNCGF-Eff</v>
      </c>
      <c r="K810" t="s">
        <v>10762</v>
      </c>
      <c r="M810" t="s">
        <v>10763</v>
      </c>
      <c r="N810" s="3" t="str">
        <f t="shared" si="190"/>
        <v>SFm&amp;1&amp;rNCGF&amp;Ex&amp;Fenest__ManufWin</v>
      </c>
      <c r="O810" s="3" t="s">
        <v>50</v>
      </c>
      <c r="P810" s="3">
        <v>1</v>
      </c>
      <c r="Q810" s="3" t="s">
        <v>58</v>
      </c>
      <c r="R810" s="3" t="s">
        <v>52</v>
      </c>
      <c r="S810" s="3" t="s">
        <v>10734</v>
      </c>
      <c r="T810" s="3" t="str">
        <f t="shared" si="180"/>
        <v>Fenest__ManufWin</v>
      </c>
      <c r="U810" s="3" t="str">
        <f t="shared" si="184"/>
        <v>Fenest__ManufWin</v>
      </c>
      <c r="V810" s="3" t="s">
        <v>785</v>
      </c>
      <c r="W810" s="3" t="s">
        <v>1040</v>
      </c>
      <c r="X810" s="3" t="s">
        <v>785</v>
      </c>
      <c r="Y810" s="3" t="s">
        <v>1040</v>
      </c>
      <c r="AA810" s="3" t="s">
        <v>55</v>
      </c>
      <c r="AC810">
        <v>1985</v>
      </c>
    </row>
    <row r="811" spans="1:29" x14ac:dyDescent="0.25">
      <c r="A811" s="3" t="s">
        <v>10754</v>
      </c>
      <c r="B811" s="3" t="s">
        <v>10675</v>
      </c>
      <c r="C811" s="3" t="s">
        <v>10755</v>
      </c>
      <c r="D811" s="3" t="str">
        <f t="shared" si="179"/>
        <v>SWBE011-01 Windows_SFm</v>
      </c>
      <c r="E811" s="3" t="str">
        <f>CONCATENATE(D811,"_",AC811,"_","Msr2")</f>
        <v>SWBE011-01 Windows_SFm_1985_Msr2</v>
      </c>
      <c r="F811" s="3" t="s">
        <v>10769</v>
      </c>
      <c r="G811" s="3" t="s">
        <v>10769</v>
      </c>
      <c r="H811" s="3" t="str">
        <f t="shared" si="182"/>
        <v>RG-Fenest-ManufWin-rDXGF-Ex</v>
      </c>
      <c r="J811" t="str">
        <f t="shared" si="183"/>
        <v>RG-Fenest-ManufWin-rDXGF-Eff</v>
      </c>
      <c r="K811" t="s">
        <v>10756</v>
      </c>
      <c r="M811" t="s">
        <v>10757</v>
      </c>
      <c r="N811" s="3" t="str">
        <f t="shared" si="190"/>
        <v>SFm&amp;1&amp;rDXGF&amp;Ex&amp;Fenest__ManufWin</v>
      </c>
      <c r="O811" s="3" t="s">
        <v>50</v>
      </c>
      <c r="P811" s="3">
        <v>1</v>
      </c>
      <c r="Q811" s="3" t="s">
        <v>51</v>
      </c>
      <c r="R811" s="3" t="s">
        <v>52</v>
      </c>
      <c r="S811" s="3" t="s">
        <v>10734</v>
      </c>
      <c r="T811" s="3" t="str">
        <f t="shared" si="180"/>
        <v>Fenest__ManufWin</v>
      </c>
      <c r="U811" s="3" t="str">
        <f t="shared" si="184"/>
        <v>Fenest__ManufWin</v>
      </c>
      <c r="V811" s="3" t="s">
        <v>785</v>
      </c>
      <c r="W811" s="3" t="s">
        <v>1040</v>
      </c>
      <c r="X811" s="3" t="s">
        <v>785</v>
      </c>
      <c r="Y811" s="3" t="s">
        <v>1040</v>
      </c>
      <c r="AA811" s="3" t="s">
        <v>55</v>
      </c>
      <c r="AC811">
        <v>1985</v>
      </c>
    </row>
    <row r="812" spans="1:29" x14ac:dyDescent="0.25">
      <c r="A812" s="3" t="s">
        <v>10754</v>
      </c>
      <c r="B812" s="3" t="s">
        <v>10675</v>
      </c>
      <c r="C812" s="3" t="s">
        <v>10755</v>
      </c>
      <c r="D812" s="3" t="str">
        <f t="shared" si="179"/>
        <v>SWBE011-01 Windows_SFm</v>
      </c>
      <c r="E812" s="3" t="str">
        <f t="shared" ref="E812:E814" si="194">CONCATENATE(D812,"_",AC812,"_","Msr2")</f>
        <v>SWBE011-01 Windows_SFm_1985_Msr2</v>
      </c>
      <c r="F812" s="3" t="s">
        <v>10769</v>
      </c>
      <c r="G812" s="3" t="s">
        <v>10769</v>
      </c>
      <c r="H812" s="3" t="str">
        <f t="shared" si="182"/>
        <v>RE-Fenest-ManufWin-rDXHP-Ex</v>
      </c>
      <c r="J812" t="str">
        <f t="shared" si="183"/>
        <v>RE-Fenest-ManufWin-rDXHP-Eff</v>
      </c>
      <c r="K812" t="s">
        <v>10758</v>
      </c>
      <c r="M812" t="s">
        <v>10759</v>
      </c>
      <c r="N812" s="3" t="str">
        <f t="shared" si="190"/>
        <v>SFm&amp;1&amp;rDXHP&amp;Ex&amp;Fenest__ManufWin</v>
      </c>
      <c r="O812" s="3" t="s">
        <v>50</v>
      </c>
      <c r="P812" s="3">
        <v>1</v>
      </c>
      <c r="Q812" s="3" t="s">
        <v>57</v>
      </c>
      <c r="R812" s="3" t="s">
        <v>52</v>
      </c>
      <c r="S812" s="3" t="s">
        <v>10734</v>
      </c>
      <c r="T812" s="3" t="str">
        <f t="shared" si="180"/>
        <v>Fenest__ManufWin</v>
      </c>
      <c r="U812" s="3" t="str">
        <f t="shared" si="184"/>
        <v>Fenest__ManufWin</v>
      </c>
      <c r="V812" s="3" t="s">
        <v>785</v>
      </c>
      <c r="W812" s="3" t="s">
        <v>1040</v>
      </c>
      <c r="X812" s="3" t="s">
        <v>785</v>
      </c>
      <c r="Y812" s="3" t="s">
        <v>1040</v>
      </c>
      <c r="AA812" s="3" t="s">
        <v>55</v>
      </c>
      <c r="AC812">
        <v>1985</v>
      </c>
    </row>
    <row r="813" spans="1:29" x14ac:dyDescent="0.25">
      <c r="A813" s="3" t="s">
        <v>10754</v>
      </c>
      <c r="B813" s="3" t="s">
        <v>10675</v>
      </c>
      <c r="C813" s="3" t="s">
        <v>10755</v>
      </c>
      <c r="D813" s="3" t="str">
        <f t="shared" si="179"/>
        <v>SWBE011-01 Windows_SFm</v>
      </c>
      <c r="E813" s="3" t="str">
        <f t="shared" si="194"/>
        <v>SWBE011-01 Windows_SFm_1985_Msr2</v>
      </c>
      <c r="F813" s="3" t="s">
        <v>10769</v>
      </c>
      <c r="G813" s="3" t="s">
        <v>10769</v>
      </c>
      <c r="H813" s="3" t="str">
        <f t="shared" si="182"/>
        <v>RE-Fenest-ManufWin-rNCEH-Ex</v>
      </c>
      <c r="J813" t="str">
        <f t="shared" si="183"/>
        <v>RE-Fenest-ManufWin-rNCEH-Eff</v>
      </c>
      <c r="K813" t="s">
        <v>10760</v>
      </c>
      <c r="M813" t="s">
        <v>10761</v>
      </c>
      <c r="N813" s="3" t="str">
        <f t="shared" si="190"/>
        <v>SFm&amp;1&amp;rNCEH&amp;Ex&amp;Fenest__ManufWin</v>
      </c>
      <c r="O813" s="3" t="s">
        <v>50</v>
      </c>
      <c r="P813" s="3">
        <v>1</v>
      </c>
      <c r="Q813" s="3" t="s">
        <v>71</v>
      </c>
      <c r="R813" s="3" t="s">
        <v>52</v>
      </c>
      <c r="S813" s="3" t="s">
        <v>10734</v>
      </c>
      <c r="T813" s="3" t="str">
        <f t="shared" si="180"/>
        <v>Fenest__ManufWin</v>
      </c>
      <c r="U813" s="3" t="str">
        <f t="shared" si="184"/>
        <v>Fenest__ManufWin</v>
      </c>
      <c r="V813" s="3" t="s">
        <v>785</v>
      </c>
      <c r="W813" s="3" t="s">
        <v>1040</v>
      </c>
      <c r="X813" s="3" t="s">
        <v>785</v>
      </c>
      <c r="Y813" s="3" t="s">
        <v>1040</v>
      </c>
      <c r="AA813" s="3" t="s">
        <v>55</v>
      </c>
      <c r="AC813">
        <v>1985</v>
      </c>
    </row>
    <row r="814" spans="1:29" x14ac:dyDescent="0.25">
      <c r="A814" s="3" t="s">
        <v>10754</v>
      </c>
      <c r="B814" s="3" t="s">
        <v>10675</v>
      </c>
      <c r="C814" s="3" t="s">
        <v>10755</v>
      </c>
      <c r="D814" s="3" t="str">
        <f t="shared" si="179"/>
        <v>SWBE011-01 Windows_SFm</v>
      </c>
      <c r="E814" s="3" t="str">
        <f t="shared" si="194"/>
        <v>SWBE011-01 Windows_SFm_1985_Msr2</v>
      </c>
      <c r="F814" s="3" t="s">
        <v>10769</v>
      </c>
      <c r="G814" s="3" t="s">
        <v>10769</v>
      </c>
      <c r="H814" s="3" t="str">
        <f t="shared" si="182"/>
        <v>RG-Fenest-ManufWin-rNCGF-Ex</v>
      </c>
      <c r="J814" t="str">
        <f t="shared" si="183"/>
        <v>RG-Fenest-ManufWin-rNCGF-Eff</v>
      </c>
      <c r="K814" t="s">
        <v>10762</v>
      </c>
      <c r="M814" t="s">
        <v>10763</v>
      </c>
      <c r="N814" s="3" t="str">
        <f t="shared" si="190"/>
        <v>SFm&amp;1&amp;rNCGF&amp;Ex&amp;Fenest__ManufWin</v>
      </c>
      <c r="O814" s="3" t="s">
        <v>50</v>
      </c>
      <c r="P814" s="3">
        <v>1</v>
      </c>
      <c r="Q814" s="3" t="s">
        <v>58</v>
      </c>
      <c r="R814" s="3" t="s">
        <v>52</v>
      </c>
      <c r="S814" s="3" t="s">
        <v>10734</v>
      </c>
      <c r="T814" s="3" t="str">
        <f t="shared" si="180"/>
        <v>Fenest__ManufWin</v>
      </c>
      <c r="U814" s="3" t="str">
        <f t="shared" si="184"/>
        <v>Fenest__ManufWin</v>
      </c>
      <c r="V814" s="3" t="s">
        <v>785</v>
      </c>
      <c r="W814" s="3" t="s">
        <v>1040</v>
      </c>
      <c r="X814" s="3" t="s">
        <v>785</v>
      </c>
      <c r="Y814" s="3" t="s">
        <v>1040</v>
      </c>
      <c r="AA814" s="3" t="s">
        <v>55</v>
      </c>
      <c r="AC814">
        <v>1985</v>
      </c>
    </row>
    <row r="815" spans="1:29" x14ac:dyDescent="0.25">
      <c r="A815" s="3" t="s">
        <v>10754</v>
      </c>
      <c r="B815" s="3" t="s">
        <v>10675</v>
      </c>
      <c r="C815" s="3" t="s">
        <v>10755</v>
      </c>
      <c r="D815" s="3" t="str">
        <f t="shared" si="179"/>
        <v>SWBE011-01 Windows_SFm</v>
      </c>
      <c r="E815" s="3" t="str">
        <f>CONCATENATE(D815,"_",AC815,"_","Msr3")</f>
        <v>SWBE011-01 Windows_SFm_1985_Msr3</v>
      </c>
      <c r="F815" s="3" t="s">
        <v>10769</v>
      </c>
      <c r="G815" s="3" t="s">
        <v>10769</v>
      </c>
      <c r="H815" s="3" t="str">
        <f t="shared" si="182"/>
        <v>RG-Fenest-ManufWin-rDXGF-Ex</v>
      </c>
      <c r="J815" t="str">
        <f t="shared" si="183"/>
        <v>RG-Fenest-ManufWin-rDXGF-Eff</v>
      </c>
      <c r="K815" t="s">
        <v>10756</v>
      </c>
      <c r="M815" t="s">
        <v>10757</v>
      </c>
      <c r="N815" s="3" t="str">
        <f t="shared" si="190"/>
        <v>SFm&amp;1&amp;rDXGF&amp;Ex&amp;Fenest__ManufWin</v>
      </c>
      <c r="O815" s="3" t="s">
        <v>50</v>
      </c>
      <c r="P815" s="3">
        <v>1</v>
      </c>
      <c r="Q815" s="3" t="s">
        <v>51</v>
      </c>
      <c r="R815" s="3" t="s">
        <v>52</v>
      </c>
      <c r="S815" s="3" t="s">
        <v>10734</v>
      </c>
      <c r="T815" s="3" t="str">
        <f t="shared" si="180"/>
        <v>Fenest__ManufWin</v>
      </c>
      <c r="U815" s="3" t="str">
        <f t="shared" si="184"/>
        <v>Fenest__ManufWin</v>
      </c>
      <c r="V815" s="3" t="s">
        <v>785</v>
      </c>
      <c r="W815" s="3" t="s">
        <v>1040</v>
      </c>
      <c r="X815" s="3" t="s">
        <v>785</v>
      </c>
      <c r="Y815" s="3" t="s">
        <v>1040</v>
      </c>
      <c r="AA815" s="3" t="s">
        <v>55</v>
      </c>
      <c r="AC815">
        <v>1985</v>
      </c>
    </row>
    <row r="816" spans="1:29" x14ac:dyDescent="0.25">
      <c r="A816" s="3" t="s">
        <v>10754</v>
      </c>
      <c r="B816" s="3" t="s">
        <v>10675</v>
      </c>
      <c r="C816" s="3" t="s">
        <v>10755</v>
      </c>
      <c r="D816" s="3" t="str">
        <f t="shared" si="179"/>
        <v>SWBE011-01 Windows_SFm</v>
      </c>
      <c r="E816" s="3" t="str">
        <f t="shared" ref="E816:E818" si="195">CONCATENATE(D816,"_",AC816,"_","Msr3")</f>
        <v>SWBE011-01 Windows_SFm_1985_Msr3</v>
      </c>
      <c r="F816" s="3" t="s">
        <v>10769</v>
      </c>
      <c r="G816" s="3" t="s">
        <v>10769</v>
      </c>
      <c r="H816" s="3" t="str">
        <f t="shared" si="182"/>
        <v>RE-Fenest-ManufWin-rDXHP-Ex</v>
      </c>
      <c r="J816" t="str">
        <f t="shared" si="183"/>
        <v>RE-Fenest-ManufWin-rDXHP-Eff</v>
      </c>
      <c r="K816" t="s">
        <v>10758</v>
      </c>
      <c r="M816" t="s">
        <v>10759</v>
      </c>
      <c r="N816" s="3" t="str">
        <f t="shared" si="190"/>
        <v>SFm&amp;1&amp;rDXHP&amp;Ex&amp;Fenest__ManufWin</v>
      </c>
      <c r="O816" s="3" t="s">
        <v>50</v>
      </c>
      <c r="P816" s="3">
        <v>1</v>
      </c>
      <c r="Q816" s="3" t="s">
        <v>57</v>
      </c>
      <c r="R816" s="3" t="s">
        <v>52</v>
      </c>
      <c r="S816" s="3" t="s">
        <v>10734</v>
      </c>
      <c r="T816" s="3" t="str">
        <f t="shared" si="180"/>
        <v>Fenest__ManufWin</v>
      </c>
      <c r="U816" s="3" t="str">
        <f t="shared" si="184"/>
        <v>Fenest__ManufWin</v>
      </c>
      <c r="V816" s="3" t="s">
        <v>785</v>
      </c>
      <c r="W816" s="3" t="s">
        <v>1040</v>
      </c>
      <c r="X816" s="3" t="s">
        <v>785</v>
      </c>
      <c r="Y816" s="3" t="s">
        <v>1040</v>
      </c>
      <c r="AA816" s="3" t="s">
        <v>55</v>
      </c>
      <c r="AC816">
        <v>1985</v>
      </c>
    </row>
    <row r="817" spans="1:29" x14ac:dyDescent="0.25">
      <c r="A817" s="3" t="s">
        <v>10754</v>
      </c>
      <c r="B817" s="3" t="s">
        <v>10675</v>
      </c>
      <c r="C817" s="3" t="s">
        <v>10755</v>
      </c>
      <c r="D817" s="3" t="str">
        <f t="shared" si="179"/>
        <v>SWBE011-01 Windows_SFm</v>
      </c>
      <c r="E817" s="3" t="str">
        <f t="shared" si="195"/>
        <v>SWBE011-01 Windows_SFm_1985_Msr3</v>
      </c>
      <c r="F817" s="3" t="s">
        <v>10769</v>
      </c>
      <c r="G817" s="3" t="s">
        <v>10769</v>
      </c>
      <c r="H817" s="3" t="str">
        <f t="shared" si="182"/>
        <v>RE-Fenest-ManufWin-rNCEH-Ex</v>
      </c>
      <c r="J817" t="str">
        <f t="shared" si="183"/>
        <v>RE-Fenest-ManufWin-rNCEH-Eff</v>
      </c>
      <c r="K817" t="s">
        <v>10760</v>
      </c>
      <c r="M817" t="s">
        <v>10761</v>
      </c>
      <c r="N817" s="3" t="str">
        <f t="shared" si="190"/>
        <v>SFm&amp;1&amp;rNCEH&amp;Ex&amp;Fenest__ManufWin</v>
      </c>
      <c r="O817" s="3" t="s">
        <v>50</v>
      </c>
      <c r="P817" s="3">
        <v>1</v>
      </c>
      <c r="Q817" s="3" t="s">
        <v>71</v>
      </c>
      <c r="R817" s="3" t="s">
        <v>52</v>
      </c>
      <c r="S817" s="3" t="s">
        <v>10734</v>
      </c>
      <c r="T817" s="3" t="str">
        <f t="shared" si="180"/>
        <v>Fenest__ManufWin</v>
      </c>
      <c r="U817" s="3" t="str">
        <f t="shared" si="184"/>
        <v>Fenest__ManufWin</v>
      </c>
      <c r="V817" s="3" t="s">
        <v>785</v>
      </c>
      <c r="W817" s="3" t="s">
        <v>1040</v>
      </c>
      <c r="X817" s="3" t="s">
        <v>785</v>
      </c>
      <c r="Y817" s="3" t="s">
        <v>1040</v>
      </c>
      <c r="AA817" s="3" t="s">
        <v>55</v>
      </c>
      <c r="AC817">
        <v>1985</v>
      </c>
    </row>
    <row r="818" spans="1:29" x14ac:dyDescent="0.25">
      <c r="A818" s="3" t="s">
        <v>10754</v>
      </c>
      <c r="B818" s="3" t="s">
        <v>10675</v>
      </c>
      <c r="C818" s="3" t="s">
        <v>10755</v>
      </c>
      <c r="D818" s="3" t="str">
        <f t="shared" si="179"/>
        <v>SWBE011-01 Windows_SFm</v>
      </c>
      <c r="E818" s="3" t="str">
        <f t="shared" si="195"/>
        <v>SWBE011-01 Windows_SFm_1985_Msr3</v>
      </c>
      <c r="F818" s="3" t="s">
        <v>10769</v>
      </c>
      <c r="G818" s="3" t="s">
        <v>10769</v>
      </c>
      <c r="H818" s="3" t="str">
        <f t="shared" si="182"/>
        <v>RG-Fenest-ManufWin-rNCGF-Ex</v>
      </c>
      <c r="J818" t="str">
        <f t="shared" si="183"/>
        <v>RG-Fenest-ManufWin-rNCGF-Eff</v>
      </c>
      <c r="K818" t="s">
        <v>10762</v>
      </c>
      <c r="M818" t="s">
        <v>10763</v>
      </c>
      <c r="N818" s="3" t="str">
        <f t="shared" si="190"/>
        <v>SFm&amp;1&amp;rNCGF&amp;Ex&amp;Fenest__ManufWin</v>
      </c>
      <c r="O818" s="3" t="s">
        <v>50</v>
      </c>
      <c r="P818" s="3">
        <v>1</v>
      </c>
      <c r="Q818" s="3" t="s">
        <v>58</v>
      </c>
      <c r="R818" s="3" t="s">
        <v>52</v>
      </c>
      <c r="S818" s="3" t="s">
        <v>10734</v>
      </c>
      <c r="T818" s="3" t="str">
        <f t="shared" si="180"/>
        <v>Fenest__ManufWin</v>
      </c>
      <c r="U818" s="3" t="str">
        <f t="shared" si="184"/>
        <v>Fenest__ManufWin</v>
      </c>
      <c r="V818" s="3" t="s">
        <v>785</v>
      </c>
      <c r="W818" s="3" t="s">
        <v>1040</v>
      </c>
      <c r="X818" s="3" t="s">
        <v>785</v>
      </c>
      <c r="Y818" s="3" t="s">
        <v>1040</v>
      </c>
      <c r="AA818" s="3" t="s">
        <v>55</v>
      </c>
      <c r="AC818">
        <v>1985</v>
      </c>
    </row>
    <row r="819" spans="1:29" x14ac:dyDescent="0.25">
      <c r="A819" s="3" t="s">
        <v>10754</v>
      </c>
      <c r="B819" s="3" t="s">
        <v>10675</v>
      </c>
      <c r="C819" s="3" t="s">
        <v>10755</v>
      </c>
      <c r="D819" s="3" t="str">
        <f t="shared" si="179"/>
        <v>SWBE011-01 Windows_SFm</v>
      </c>
      <c r="E819" s="3" t="str">
        <f>CONCATENATE(D819,"_",AC819,"_","Msr1")</f>
        <v>SWBE011-01 Windows_SFm_1975_Msr1</v>
      </c>
      <c r="F819" s="3" t="s">
        <v>10769</v>
      </c>
      <c r="G819" s="3" t="s">
        <v>10769</v>
      </c>
      <c r="H819" s="3" t="str">
        <f t="shared" si="182"/>
        <v>RG-Fenest-ManufWin-rDXGF-Ex</v>
      </c>
      <c r="J819" t="str">
        <f t="shared" si="183"/>
        <v>RG-Fenest-ManufWin-rDXGF-Eff</v>
      </c>
      <c r="K819" t="s">
        <v>10756</v>
      </c>
      <c r="M819" t="s">
        <v>10757</v>
      </c>
      <c r="N819" s="3" t="str">
        <f t="shared" si="190"/>
        <v>SFm&amp;2&amp;rDXGF&amp;Ex&amp;Fenest__ManufWin</v>
      </c>
      <c r="O819" s="3" t="s">
        <v>50</v>
      </c>
      <c r="P819" s="3">
        <v>2</v>
      </c>
      <c r="Q819" s="3" t="s">
        <v>51</v>
      </c>
      <c r="R819" s="3" t="s">
        <v>52</v>
      </c>
      <c r="S819" s="3" t="s">
        <v>10734</v>
      </c>
      <c r="T819" s="3" t="str">
        <f t="shared" si="180"/>
        <v>Fenest__ManufWin</v>
      </c>
      <c r="U819" s="3" t="str">
        <f t="shared" si="184"/>
        <v>Fenest__ManufWin</v>
      </c>
      <c r="V819" s="3" t="s">
        <v>785</v>
      </c>
      <c r="W819" s="3" t="s">
        <v>1040</v>
      </c>
      <c r="X819" s="3" t="s">
        <v>785</v>
      </c>
      <c r="Y819" s="3" t="s">
        <v>1040</v>
      </c>
      <c r="AA819" s="3" t="s">
        <v>55</v>
      </c>
      <c r="AC819">
        <v>1975</v>
      </c>
    </row>
    <row r="820" spans="1:29" x14ac:dyDescent="0.25">
      <c r="A820" s="3" t="s">
        <v>10754</v>
      </c>
      <c r="B820" s="3" t="s">
        <v>10675</v>
      </c>
      <c r="C820" s="3" t="s">
        <v>10755</v>
      </c>
      <c r="D820" s="3" t="str">
        <f t="shared" si="179"/>
        <v>SWBE011-01 Windows_SFm</v>
      </c>
      <c r="E820" s="3" t="str">
        <f t="shared" ref="E820:E822" si="196">CONCATENATE(D820,"_",AC820,"_","Msr1")</f>
        <v>SWBE011-01 Windows_SFm_1975_Msr1</v>
      </c>
      <c r="F820" s="3" t="s">
        <v>10769</v>
      </c>
      <c r="G820" s="3" t="s">
        <v>10769</v>
      </c>
      <c r="H820" s="3" t="str">
        <f t="shared" si="182"/>
        <v>RE-Fenest-ManufWin-rDXHP-Ex</v>
      </c>
      <c r="J820" t="str">
        <f t="shared" si="183"/>
        <v>RE-Fenest-ManufWin-rDXHP-Eff</v>
      </c>
      <c r="K820" t="s">
        <v>10758</v>
      </c>
      <c r="M820" t="s">
        <v>10759</v>
      </c>
      <c r="N820" s="3" t="str">
        <f t="shared" si="190"/>
        <v>SFm&amp;2&amp;rDXHP&amp;Ex&amp;Fenest__ManufWin</v>
      </c>
      <c r="O820" s="3" t="s">
        <v>50</v>
      </c>
      <c r="P820" s="3">
        <v>2</v>
      </c>
      <c r="Q820" s="3" t="s">
        <v>57</v>
      </c>
      <c r="R820" s="3" t="s">
        <v>52</v>
      </c>
      <c r="S820" s="3" t="s">
        <v>10734</v>
      </c>
      <c r="T820" s="3" t="str">
        <f t="shared" si="180"/>
        <v>Fenest__ManufWin</v>
      </c>
      <c r="U820" s="3" t="str">
        <f t="shared" si="184"/>
        <v>Fenest__ManufWin</v>
      </c>
      <c r="V820" s="3" t="s">
        <v>785</v>
      </c>
      <c r="W820" s="3" t="s">
        <v>1040</v>
      </c>
      <c r="X820" s="3" t="s">
        <v>785</v>
      </c>
      <c r="Y820" s="3" t="s">
        <v>1040</v>
      </c>
      <c r="AA820" s="3" t="s">
        <v>55</v>
      </c>
      <c r="AC820">
        <v>1975</v>
      </c>
    </row>
    <row r="821" spans="1:29" x14ac:dyDescent="0.25">
      <c r="A821" s="3" t="s">
        <v>10754</v>
      </c>
      <c r="B821" s="3" t="s">
        <v>10675</v>
      </c>
      <c r="C821" s="3" t="s">
        <v>10755</v>
      </c>
      <c r="D821" s="3" t="str">
        <f t="shared" si="179"/>
        <v>SWBE011-01 Windows_SFm</v>
      </c>
      <c r="E821" s="3" t="str">
        <f t="shared" si="196"/>
        <v>SWBE011-01 Windows_SFm_1975_Msr1</v>
      </c>
      <c r="F821" s="3" t="s">
        <v>10769</v>
      </c>
      <c r="G821" s="3" t="s">
        <v>10769</v>
      </c>
      <c r="H821" s="3" t="str">
        <f t="shared" si="182"/>
        <v>RE-Fenest-ManufWin-rNCEH-Ex</v>
      </c>
      <c r="J821" t="str">
        <f t="shared" si="183"/>
        <v>RE-Fenest-ManufWin-rNCEH-Eff</v>
      </c>
      <c r="K821" t="s">
        <v>10760</v>
      </c>
      <c r="M821" t="s">
        <v>10761</v>
      </c>
      <c r="N821" s="3" t="str">
        <f t="shared" si="190"/>
        <v>SFm&amp;2&amp;rNCEH&amp;Ex&amp;Fenest__ManufWin</v>
      </c>
      <c r="O821" s="3" t="s">
        <v>50</v>
      </c>
      <c r="P821" s="3">
        <v>2</v>
      </c>
      <c r="Q821" s="3" t="s">
        <v>71</v>
      </c>
      <c r="R821" s="3" t="s">
        <v>52</v>
      </c>
      <c r="S821" s="3" t="s">
        <v>10734</v>
      </c>
      <c r="T821" s="3" t="str">
        <f t="shared" si="180"/>
        <v>Fenest__ManufWin</v>
      </c>
      <c r="U821" s="3" t="str">
        <f t="shared" si="184"/>
        <v>Fenest__ManufWin</v>
      </c>
      <c r="V821" s="3" t="s">
        <v>785</v>
      </c>
      <c r="W821" s="3" t="s">
        <v>1040</v>
      </c>
      <c r="X821" s="3" t="s">
        <v>785</v>
      </c>
      <c r="Y821" s="3" t="s">
        <v>1040</v>
      </c>
      <c r="AA821" s="3" t="s">
        <v>55</v>
      </c>
      <c r="AC821">
        <v>1975</v>
      </c>
    </row>
    <row r="822" spans="1:29" x14ac:dyDescent="0.25">
      <c r="A822" s="3" t="s">
        <v>10754</v>
      </c>
      <c r="B822" s="3" t="s">
        <v>10675</v>
      </c>
      <c r="C822" s="3" t="s">
        <v>10755</v>
      </c>
      <c r="D822" s="3" t="str">
        <f t="shared" si="179"/>
        <v>SWBE011-01 Windows_SFm</v>
      </c>
      <c r="E822" s="3" t="str">
        <f t="shared" si="196"/>
        <v>SWBE011-01 Windows_SFm_1975_Msr1</v>
      </c>
      <c r="F822" s="3" t="s">
        <v>10769</v>
      </c>
      <c r="G822" s="3" t="s">
        <v>10769</v>
      </c>
      <c r="H822" s="3" t="str">
        <f t="shared" si="182"/>
        <v>RG-Fenest-ManufWin-rNCGF-Ex</v>
      </c>
      <c r="J822" t="str">
        <f t="shared" si="183"/>
        <v>RG-Fenest-ManufWin-rNCGF-Eff</v>
      </c>
      <c r="K822" t="s">
        <v>10762</v>
      </c>
      <c r="M822" t="s">
        <v>10763</v>
      </c>
      <c r="N822" s="3" t="str">
        <f t="shared" si="190"/>
        <v>SFm&amp;2&amp;rNCGF&amp;Ex&amp;Fenest__ManufWin</v>
      </c>
      <c r="O822" s="3" t="s">
        <v>50</v>
      </c>
      <c r="P822" s="3">
        <v>2</v>
      </c>
      <c r="Q822" s="3" t="s">
        <v>58</v>
      </c>
      <c r="R822" s="3" t="s">
        <v>52</v>
      </c>
      <c r="S822" s="3" t="s">
        <v>10734</v>
      </c>
      <c r="T822" s="3" t="str">
        <f t="shared" si="180"/>
        <v>Fenest__ManufWin</v>
      </c>
      <c r="U822" s="3" t="str">
        <f t="shared" si="184"/>
        <v>Fenest__ManufWin</v>
      </c>
      <c r="V822" s="3" t="s">
        <v>785</v>
      </c>
      <c r="W822" s="3" t="s">
        <v>1040</v>
      </c>
      <c r="X822" s="3" t="s">
        <v>785</v>
      </c>
      <c r="Y822" s="3" t="s">
        <v>1040</v>
      </c>
      <c r="AA822" s="3" t="s">
        <v>55</v>
      </c>
      <c r="AC822">
        <v>1975</v>
      </c>
    </row>
    <row r="823" spans="1:29" x14ac:dyDescent="0.25">
      <c r="A823" s="3" t="s">
        <v>10754</v>
      </c>
      <c r="B823" s="3" t="s">
        <v>10675</v>
      </c>
      <c r="C823" s="3" t="s">
        <v>10755</v>
      </c>
      <c r="D823" s="3" t="str">
        <f t="shared" si="179"/>
        <v>SWBE011-01 Windows_SFm</v>
      </c>
      <c r="E823" s="3" t="str">
        <f>CONCATENATE(D823,"_",AC823,"_","Msr2")</f>
        <v>SWBE011-01 Windows_SFm_1975_Msr2</v>
      </c>
      <c r="F823" s="3" t="s">
        <v>10769</v>
      </c>
      <c r="G823" s="3" t="s">
        <v>10769</v>
      </c>
      <c r="H823" s="3" t="str">
        <f t="shared" si="182"/>
        <v>RG-Fenest-ManufWin-rDXGF-Ex</v>
      </c>
      <c r="J823" t="str">
        <f t="shared" si="183"/>
        <v>RG-Fenest-ManufWin-rDXGF-Eff</v>
      </c>
      <c r="K823" t="s">
        <v>10756</v>
      </c>
      <c r="M823" t="s">
        <v>10757</v>
      </c>
      <c r="N823" s="3" t="str">
        <f t="shared" si="190"/>
        <v>SFm&amp;2&amp;rDXGF&amp;Ex&amp;Fenest__ManufWin</v>
      </c>
      <c r="O823" s="3" t="s">
        <v>50</v>
      </c>
      <c r="P823" s="3">
        <v>2</v>
      </c>
      <c r="Q823" s="3" t="s">
        <v>51</v>
      </c>
      <c r="R823" s="3" t="s">
        <v>52</v>
      </c>
      <c r="S823" s="3" t="s">
        <v>10734</v>
      </c>
      <c r="T823" s="3" t="str">
        <f t="shared" si="180"/>
        <v>Fenest__ManufWin</v>
      </c>
      <c r="U823" s="3" t="str">
        <f t="shared" si="184"/>
        <v>Fenest__ManufWin</v>
      </c>
      <c r="V823" s="3" t="s">
        <v>785</v>
      </c>
      <c r="W823" s="3" t="s">
        <v>1040</v>
      </c>
      <c r="X823" s="3" t="s">
        <v>785</v>
      </c>
      <c r="Y823" s="3" t="s">
        <v>1040</v>
      </c>
      <c r="AA823" s="3" t="s">
        <v>55</v>
      </c>
      <c r="AC823">
        <v>1975</v>
      </c>
    </row>
    <row r="824" spans="1:29" x14ac:dyDescent="0.25">
      <c r="A824" s="3" t="s">
        <v>10754</v>
      </c>
      <c r="B824" s="3" t="s">
        <v>10675</v>
      </c>
      <c r="C824" s="3" t="s">
        <v>10755</v>
      </c>
      <c r="D824" s="3" t="str">
        <f t="shared" si="179"/>
        <v>SWBE011-01 Windows_SFm</v>
      </c>
      <c r="E824" s="3" t="str">
        <f t="shared" ref="E824:E826" si="197">CONCATENATE(D824,"_",AC824,"_","Msr2")</f>
        <v>SWBE011-01 Windows_SFm_1975_Msr2</v>
      </c>
      <c r="F824" s="3" t="s">
        <v>10769</v>
      </c>
      <c r="G824" s="3" t="s">
        <v>10769</v>
      </c>
      <c r="H824" s="3" t="str">
        <f t="shared" si="182"/>
        <v>RE-Fenest-ManufWin-rDXHP-Ex</v>
      </c>
      <c r="J824" t="str">
        <f t="shared" si="183"/>
        <v>RE-Fenest-ManufWin-rDXHP-Eff</v>
      </c>
      <c r="K824" t="s">
        <v>10758</v>
      </c>
      <c r="M824" t="s">
        <v>10759</v>
      </c>
      <c r="N824" s="3" t="str">
        <f t="shared" si="190"/>
        <v>SFm&amp;2&amp;rDXHP&amp;Ex&amp;Fenest__ManufWin</v>
      </c>
      <c r="O824" s="3" t="s">
        <v>50</v>
      </c>
      <c r="P824" s="3">
        <v>2</v>
      </c>
      <c r="Q824" s="3" t="s">
        <v>57</v>
      </c>
      <c r="R824" s="3" t="s">
        <v>52</v>
      </c>
      <c r="S824" s="3" t="s">
        <v>10734</v>
      </c>
      <c r="T824" s="3" t="str">
        <f t="shared" si="180"/>
        <v>Fenest__ManufWin</v>
      </c>
      <c r="U824" s="3" t="str">
        <f t="shared" si="184"/>
        <v>Fenest__ManufWin</v>
      </c>
      <c r="V824" s="3" t="s">
        <v>785</v>
      </c>
      <c r="W824" s="3" t="s">
        <v>1040</v>
      </c>
      <c r="X824" s="3" t="s">
        <v>785</v>
      </c>
      <c r="Y824" s="3" t="s">
        <v>1040</v>
      </c>
      <c r="AA824" s="3" t="s">
        <v>55</v>
      </c>
      <c r="AC824">
        <v>1975</v>
      </c>
    </row>
    <row r="825" spans="1:29" x14ac:dyDescent="0.25">
      <c r="A825" s="3" t="s">
        <v>10754</v>
      </c>
      <c r="B825" s="3" t="s">
        <v>10675</v>
      </c>
      <c r="C825" s="3" t="s">
        <v>10755</v>
      </c>
      <c r="D825" s="3" t="str">
        <f t="shared" si="179"/>
        <v>SWBE011-01 Windows_SFm</v>
      </c>
      <c r="E825" s="3" t="str">
        <f t="shared" si="197"/>
        <v>SWBE011-01 Windows_SFm_1975_Msr2</v>
      </c>
      <c r="F825" s="3" t="s">
        <v>10769</v>
      </c>
      <c r="G825" s="3" t="s">
        <v>10769</v>
      </c>
      <c r="H825" s="3" t="str">
        <f t="shared" si="182"/>
        <v>RE-Fenest-ManufWin-rNCEH-Ex</v>
      </c>
      <c r="J825" t="str">
        <f t="shared" si="183"/>
        <v>RE-Fenest-ManufWin-rNCEH-Eff</v>
      </c>
      <c r="K825" t="s">
        <v>10760</v>
      </c>
      <c r="M825" t="s">
        <v>10761</v>
      </c>
      <c r="N825" s="3" t="str">
        <f t="shared" si="190"/>
        <v>SFm&amp;2&amp;rNCEH&amp;Ex&amp;Fenest__ManufWin</v>
      </c>
      <c r="O825" s="3" t="s">
        <v>50</v>
      </c>
      <c r="P825" s="3">
        <v>2</v>
      </c>
      <c r="Q825" s="3" t="s">
        <v>71</v>
      </c>
      <c r="R825" s="3" t="s">
        <v>52</v>
      </c>
      <c r="S825" s="3" t="s">
        <v>10734</v>
      </c>
      <c r="T825" s="3" t="str">
        <f t="shared" si="180"/>
        <v>Fenest__ManufWin</v>
      </c>
      <c r="U825" s="3" t="str">
        <f t="shared" si="184"/>
        <v>Fenest__ManufWin</v>
      </c>
      <c r="V825" s="3" t="s">
        <v>785</v>
      </c>
      <c r="W825" s="3" t="s">
        <v>1040</v>
      </c>
      <c r="X825" s="3" t="s">
        <v>785</v>
      </c>
      <c r="Y825" s="3" t="s">
        <v>1040</v>
      </c>
      <c r="AA825" s="3" t="s">
        <v>55</v>
      </c>
      <c r="AC825">
        <v>1975</v>
      </c>
    </row>
    <row r="826" spans="1:29" x14ac:dyDescent="0.25">
      <c r="A826" s="3" t="s">
        <v>10754</v>
      </c>
      <c r="B826" s="3" t="s">
        <v>10675</v>
      </c>
      <c r="C826" s="3" t="s">
        <v>10755</v>
      </c>
      <c r="D826" s="3" t="str">
        <f t="shared" si="179"/>
        <v>SWBE011-01 Windows_SFm</v>
      </c>
      <c r="E826" s="3" t="str">
        <f t="shared" si="197"/>
        <v>SWBE011-01 Windows_SFm_1975_Msr2</v>
      </c>
      <c r="F826" s="3" t="s">
        <v>10769</v>
      </c>
      <c r="G826" s="3" t="s">
        <v>10769</v>
      </c>
      <c r="H826" s="3" t="str">
        <f t="shared" si="182"/>
        <v>RG-Fenest-ManufWin-rNCGF-Ex</v>
      </c>
      <c r="J826" t="str">
        <f t="shared" si="183"/>
        <v>RG-Fenest-ManufWin-rNCGF-Eff</v>
      </c>
      <c r="K826" t="s">
        <v>10762</v>
      </c>
      <c r="M826" t="s">
        <v>10763</v>
      </c>
      <c r="N826" s="3" t="str">
        <f t="shared" si="190"/>
        <v>SFm&amp;2&amp;rNCGF&amp;Ex&amp;Fenest__ManufWin</v>
      </c>
      <c r="O826" s="3" t="s">
        <v>50</v>
      </c>
      <c r="P826" s="3">
        <v>2</v>
      </c>
      <c r="Q826" s="3" t="s">
        <v>58</v>
      </c>
      <c r="R826" s="3" t="s">
        <v>52</v>
      </c>
      <c r="S826" s="3" t="s">
        <v>10734</v>
      </c>
      <c r="T826" s="3" t="str">
        <f t="shared" si="180"/>
        <v>Fenest__ManufWin</v>
      </c>
      <c r="U826" s="3" t="str">
        <f t="shared" si="184"/>
        <v>Fenest__ManufWin</v>
      </c>
      <c r="V826" s="3" t="s">
        <v>785</v>
      </c>
      <c r="W826" s="3" t="s">
        <v>1040</v>
      </c>
      <c r="X826" s="3" t="s">
        <v>785</v>
      </c>
      <c r="Y826" s="3" t="s">
        <v>1040</v>
      </c>
      <c r="AA826" s="3" t="s">
        <v>55</v>
      </c>
      <c r="AC826">
        <v>1975</v>
      </c>
    </row>
    <row r="827" spans="1:29" x14ac:dyDescent="0.25">
      <c r="A827" s="3" t="s">
        <v>10754</v>
      </c>
      <c r="B827" s="3" t="s">
        <v>10675</v>
      </c>
      <c r="C827" s="3" t="s">
        <v>10755</v>
      </c>
      <c r="D827" s="3" t="str">
        <f t="shared" si="179"/>
        <v>SWBE011-01 Windows_SFm</v>
      </c>
      <c r="E827" s="3" t="str">
        <f>CONCATENATE(D827,"_",AC827,"_","Msr3")</f>
        <v>SWBE011-01 Windows_SFm_1975_Msr3</v>
      </c>
      <c r="F827" s="3" t="s">
        <v>10769</v>
      </c>
      <c r="G827" s="3" t="s">
        <v>10769</v>
      </c>
      <c r="H827" s="3" t="str">
        <f t="shared" si="182"/>
        <v>RG-Fenest-ManufWin-rDXGF-Ex</v>
      </c>
      <c r="J827" t="str">
        <f t="shared" si="183"/>
        <v>RG-Fenest-ManufWin-rDXGF-Eff</v>
      </c>
      <c r="K827" t="s">
        <v>10756</v>
      </c>
      <c r="M827" t="s">
        <v>10757</v>
      </c>
      <c r="N827" s="3" t="str">
        <f t="shared" si="190"/>
        <v>SFm&amp;2&amp;rDXGF&amp;Ex&amp;Fenest__ManufWin</v>
      </c>
      <c r="O827" s="3" t="s">
        <v>50</v>
      </c>
      <c r="P827" s="3">
        <v>2</v>
      </c>
      <c r="Q827" s="3" t="s">
        <v>51</v>
      </c>
      <c r="R827" s="3" t="s">
        <v>52</v>
      </c>
      <c r="S827" s="3" t="s">
        <v>10734</v>
      </c>
      <c r="T827" s="3" t="str">
        <f t="shared" si="180"/>
        <v>Fenest__ManufWin</v>
      </c>
      <c r="U827" s="3" t="str">
        <f t="shared" si="184"/>
        <v>Fenest__ManufWin</v>
      </c>
      <c r="V827" s="3" t="s">
        <v>785</v>
      </c>
      <c r="W827" s="3" t="s">
        <v>1040</v>
      </c>
      <c r="X827" s="3" t="s">
        <v>785</v>
      </c>
      <c r="Y827" s="3" t="s">
        <v>1040</v>
      </c>
      <c r="AA827" s="3" t="s">
        <v>55</v>
      </c>
      <c r="AC827">
        <v>1975</v>
      </c>
    </row>
    <row r="828" spans="1:29" x14ac:dyDescent="0.25">
      <c r="A828" s="3" t="s">
        <v>10754</v>
      </c>
      <c r="B828" s="3" t="s">
        <v>10675</v>
      </c>
      <c r="C828" s="3" t="s">
        <v>10755</v>
      </c>
      <c r="D828" s="3" t="str">
        <f t="shared" si="179"/>
        <v>SWBE011-01 Windows_SFm</v>
      </c>
      <c r="E828" s="3" t="str">
        <f t="shared" ref="E828:E830" si="198">CONCATENATE(D828,"_",AC828,"_","Msr3")</f>
        <v>SWBE011-01 Windows_SFm_1975_Msr3</v>
      </c>
      <c r="F828" s="3" t="s">
        <v>10769</v>
      </c>
      <c r="G828" s="3" t="s">
        <v>10769</v>
      </c>
      <c r="H828" s="3" t="str">
        <f t="shared" si="182"/>
        <v>RE-Fenest-ManufWin-rDXHP-Ex</v>
      </c>
      <c r="J828" t="str">
        <f t="shared" si="183"/>
        <v>RE-Fenest-ManufWin-rDXHP-Eff</v>
      </c>
      <c r="K828" t="s">
        <v>10758</v>
      </c>
      <c r="M828" t="s">
        <v>10759</v>
      </c>
      <c r="N828" s="3" t="str">
        <f t="shared" si="190"/>
        <v>SFm&amp;2&amp;rDXHP&amp;Ex&amp;Fenest__ManufWin</v>
      </c>
      <c r="O828" s="3" t="s">
        <v>50</v>
      </c>
      <c r="P828" s="3">
        <v>2</v>
      </c>
      <c r="Q828" s="3" t="s">
        <v>57</v>
      </c>
      <c r="R828" s="3" t="s">
        <v>52</v>
      </c>
      <c r="S828" s="3" t="s">
        <v>10734</v>
      </c>
      <c r="T828" s="3" t="str">
        <f t="shared" si="180"/>
        <v>Fenest__ManufWin</v>
      </c>
      <c r="U828" s="3" t="str">
        <f t="shared" si="184"/>
        <v>Fenest__ManufWin</v>
      </c>
      <c r="V828" s="3" t="s">
        <v>785</v>
      </c>
      <c r="W828" s="3" t="s">
        <v>1040</v>
      </c>
      <c r="X828" s="3" t="s">
        <v>785</v>
      </c>
      <c r="Y828" s="3" t="s">
        <v>1040</v>
      </c>
      <c r="AA828" s="3" t="s">
        <v>55</v>
      </c>
      <c r="AC828">
        <v>1975</v>
      </c>
    </row>
    <row r="829" spans="1:29" x14ac:dyDescent="0.25">
      <c r="A829" s="3" t="s">
        <v>10754</v>
      </c>
      <c r="B829" s="3" t="s">
        <v>10675</v>
      </c>
      <c r="C829" s="3" t="s">
        <v>10755</v>
      </c>
      <c r="D829" s="3" t="str">
        <f t="shared" si="179"/>
        <v>SWBE011-01 Windows_SFm</v>
      </c>
      <c r="E829" s="3" t="str">
        <f t="shared" si="198"/>
        <v>SWBE011-01 Windows_SFm_1975_Msr3</v>
      </c>
      <c r="F829" s="3" t="s">
        <v>10769</v>
      </c>
      <c r="G829" s="3" t="s">
        <v>10769</v>
      </c>
      <c r="H829" s="3" t="str">
        <f t="shared" si="182"/>
        <v>RE-Fenest-ManufWin-rNCEH-Ex</v>
      </c>
      <c r="J829" t="str">
        <f t="shared" si="183"/>
        <v>RE-Fenest-ManufWin-rNCEH-Eff</v>
      </c>
      <c r="K829" t="s">
        <v>10760</v>
      </c>
      <c r="M829" t="s">
        <v>10761</v>
      </c>
      <c r="N829" s="3" t="str">
        <f t="shared" si="190"/>
        <v>SFm&amp;2&amp;rNCEH&amp;Ex&amp;Fenest__ManufWin</v>
      </c>
      <c r="O829" s="3" t="s">
        <v>50</v>
      </c>
      <c r="P829" s="3">
        <v>2</v>
      </c>
      <c r="Q829" s="3" t="s">
        <v>71</v>
      </c>
      <c r="R829" s="3" t="s">
        <v>52</v>
      </c>
      <c r="S829" s="3" t="s">
        <v>10734</v>
      </c>
      <c r="T829" s="3" t="str">
        <f t="shared" si="180"/>
        <v>Fenest__ManufWin</v>
      </c>
      <c r="U829" s="3" t="str">
        <f t="shared" si="184"/>
        <v>Fenest__ManufWin</v>
      </c>
      <c r="V829" s="3" t="s">
        <v>785</v>
      </c>
      <c r="W829" s="3" t="s">
        <v>1040</v>
      </c>
      <c r="X829" s="3" t="s">
        <v>785</v>
      </c>
      <c r="Y829" s="3" t="s">
        <v>1040</v>
      </c>
      <c r="AA829" s="3" t="s">
        <v>55</v>
      </c>
      <c r="AC829">
        <v>1975</v>
      </c>
    </row>
    <row r="830" spans="1:29" x14ac:dyDescent="0.25">
      <c r="A830" s="3" t="s">
        <v>10754</v>
      </c>
      <c r="B830" s="3" t="s">
        <v>10675</v>
      </c>
      <c r="C830" s="3" t="s">
        <v>10755</v>
      </c>
      <c r="D830" s="3" t="str">
        <f t="shared" si="179"/>
        <v>SWBE011-01 Windows_SFm</v>
      </c>
      <c r="E830" s="3" t="str">
        <f t="shared" si="198"/>
        <v>SWBE011-01 Windows_SFm_1975_Msr3</v>
      </c>
      <c r="F830" s="3" t="s">
        <v>10769</v>
      </c>
      <c r="G830" s="3" t="s">
        <v>10769</v>
      </c>
      <c r="H830" s="3" t="str">
        <f t="shared" si="182"/>
        <v>RG-Fenest-ManufWin-rNCGF-Ex</v>
      </c>
      <c r="J830" t="str">
        <f t="shared" si="183"/>
        <v>RG-Fenest-ManufWin-rNCGF-Eff</v>
      </c>
      <c r="K830" t="s">
        <v>10762</v>
      </c>
      <c r="M830" t="s">
        <v>10763</v>
      </c>
      <c r="N830" s="3" t="str">
        <f t="shared" si="190"/>
        <v>SFm&amp;2&amp;rNCGF&amp;Ex&amp;Fenest__ManufWin</v>
      </c>
      <c r="O830" s="3" t="s">
        <v>50</v>
      </c>
      <c r="P830" s="3">
        <v>2</v>
      </c>
      <c r="Q830" s="3" t="s">
        <v>58</v>
      </c>
      <c r="R830" s="3" t="s">
        <v>52</v>
      </c>
      <c r="S830" s="3" t="s">
        <v>10734</v>
      </c>
      <c r="T830" s="3" t="str">
        <f t="shared" si="180"/>
        <v>Fenest__ManufWin</v>
      </c>
      <c r="U830" s="3" t="str">
        <f t="shared" si="184"/>
        <v>Fenest__ManufWin</v>
      </c>
      <c r="V830" s="3" t="s">
        <v>785</v>
      </c>
      <c r="W830" s="3" t="s">
        <v>1040</v>
      </c>
      <c r="X830" s="3" t="s">
        <v>785</v>
      </c>
      <c r="Y830" s="3" t="s">
        <v>1040</v>
      </c>
      <c r="AA830" s="3" t="s">
        <v>55</v>
      </c>
      <c r="AC830">
        <v>1975</v>
      </c>
    </row>
    <row r="831" spans="1:29" x14ac:dyDescent="0.25">
      <c r="A831" s="3" t="s">
        <v>10754</v>
      </c>
      <c r="B831" s="3" t="s">
        <v>10675</v>
      </c>
      <c r="C831" s="3" t="s">
        <v>10755</v>
      </c>
      <c r="D831" s="3" t="str">
        <f t="shared" si="179"/>
        <v>SWBE011-01 Windows_SFm</v>
      </c>
      <c r="E831" s="3" t="str">
        <f>CONCATENATE(D831,"_",AC831,"_","Msr1")</f>
        <v>SWBE011-01 Windows_SFm_1985_Msr1</v>
      </c>
      <c r="F831" s="3" t="s">
        <v>10769</v>
      </c>
      <c r="G831" s="3" t="s">
        <v>10769</v>
      </c>
      <c r="H831" s="3" t="str">
        <f t="shared" si="182"/>
        <v>RG-Fenest-ManufWin-rDXGF-Ex</v>
      </c>
      <c r="J831" t="str">
        <f t="shared" si="183"/>
        <v>RG-Fenest-ManufWin-rDXGF-Eff</v>
      </c>
      <c r="K831" t="s">
        <v>10756</v>
      </c>
      <c r="M831" t="s">
        <v>10757</v>
      </c>
      <c r="N831" s="3" t="str">
        <f t="shared" si="190"/>
        <v>SFm&amp;2&amp;rDXGF&amp;Ex&amp;Fenest__ManufWin</v>
      </c>
      <c r="O831" s="3" t="s">
        <v>50</v>
      </c>
      <c r="P831" s="3">
        <v>2</v>
      </c>
      <c r="Q831" s="3" t="s">
        <v>51</v>
      </c>
      <c r="R831" s="3" t="s">
        <v>52</v>
      </c>
      <c r="S831" s="3" t="s">
        <v>10734</v>
      </c>
      <c r="T831" s="3" t="str">
        <f t="shared" si="180"/>
        <v>Fenest__ManufWin</v>
      </c>
      <c r="U831" s="3" t="str">
        <f t="shared" si="184"/>
        <v>Fenest__ManufWin</v>
      </c>
      <c r="V831" s="3" t="s">
        <v>785</v>
      </c>
      <c r="W831" s="3" t="s">
        <v>1040</v>
      </c>
      <c r="X831" s="3" t="s">
        <v>785</v>
      </c>
      <c r="Y831" s="3" t="s">
        <v>1040</v>
      </c>
      <c r="AA831" s="3" t="s">
        <v>55</v>
      </c>
      <c r="AC831">
        <v>1985</v>
      </c>
    </row>
    <row r="832" spans="1:29" x14ac:dyDescent="0.25">
      <c r="A832" s="3" t="s">
        <v>10754</v>
      </c>
      <c r="B832" s="3" t="s">
        <v>10675</v>
      </c>
      <c r="C832" s="3" t="s">
        <v>10755</v>
      </c>
      <c r="D832" s="3" t="str">
        <f t="shared" si="179"/>
        <v>SWBE011-01 Windows_SFm</v>
      </c>
      <c r="E832" s="3" t="str">
        <f t="shared" ref="E832:E834" si="199">CONCATENATE(D832,"_",AC832,"_","Msr1")</f>
        <v>SWBE011-01 Windows_SFm_1985_Msr1</v>
      </c>
      <c r="F832" s="3" t="s">
        <v>10769</v>
      </c>
      <c r="G832" s="3" t="s">
        <v>10769</v>
      </c>
      <c r="H832" s="3" t="str">
        <f t="shared" si="182"/>
        <v>RE-Fenest-ManufWin-rDXHP-Ex</v>
      </c>
      <c r="J832" t="str">
        <f t="shared" si="183"/>
        <v>RE-Fenest-ManufWin-rDXHP-Eff</v>
      </c>
      <c r="K832" t="s">
        <v>10758</v>
      </c>
      <c r="M832" t="s">
        <v>10759</v>
      </c>
      <c r="N832" s="3" t="str">
        <f t="shared" si="190"/>
        <v>SFm&amp;2&amp;rDXHP&amp;Ex&amp;Fenest__ManufWin</v>
      </c>
      <c r="O832" s="3" t="s">
        <v>50</v>
      </c>
      <c r="P832" s="3">
        <v>2</v>
      </c>
      <c r="Q832" s="3" t="s">
        <v>57</v>
      </c>
      <c r="R832" s="3" t="s">
        <v>52</v>
      </c>
      <c r="S832" s="3" t="s">
        <v>10734</v>
      </c>
      <c r="T832" s="3" t="str">
        <f t="shared" si="180"/>
        <v>Fenest__ManufWin</v>
      </c>
      <c r="U832" s="3" t="str">
        <f t="shared" si="184"/>
        <v>Fenest__ManufWin</v>
      </c>
      <c r="V832" s="3" t="s">
        <v>785</v>
      </c>
      <c r="W832" s="3" t="s">
        <v>1040</v>
      </c>
      <c r="X832" s="3" t="s">
        <v>785</v>
      </c>
      <c r="Y832" s="3" t="s">
        <v>1040</v>
      </c>
      <c r="AA832" s="3" t="s">
        <v>55</v>
      </c>
      <c r="AC832">
        <v>1985</v>
      </c>
    </row>
    <row r="833" spans="1:29" x14ac:dyDescent="0.25">
      <c r="A833" s="3" t="s">
        <v>10754</v>
      </c>
      <c r="B833" s="3" t="s">
        <v>10675</v>
      </c>
      <c r="C833" s="3" t="s">
        <v>10755</v>
      </c>
      <c r="D833" s="3" t="str">
        <f t="shared" si="179"/>
        <v>SWBE011-01 Windows_SFm</v>
      </c>
      <c r="E833" s="3" t="str">
        <f t="shared" si="199"/>
        <v>SWBE011-01 Windows_SFm_1985_Msr1</v>
      </c>
      <c r="F833" s="3" t="s">
        <v>10769</v>
      </c>
      <c r="G833" s="3" t="s">
        <v>10769</v>
      </c>
      <c r="H833" s="3" t="str">
        <f t="shared" si="182"/>
        <v>RE-Fenest-ManufWin-rNCEH-Ex</v>
      </c>
      <c r="J833" t="str">
        <f t="shared" si="183"/>
        <v>RE-Fenest-ManufWin-rNCEH-Eff</v>
      </c>
      <c r="K833" t="s">
        <v>10760</v>
      </c>
      <c r="M833" t="s">
        <v>10761</v>
      </c>
      <c r="N833" s="3" t="str">
        <f t="shared" si="190"/>
        <v>SFm&amp;2&amp;rNCEH&amp;Ex&amp;Fenest__ManufWin</v>
      </c>
      <c r="O833" s="3" t="s">
        <v>50</v>
      </c>
      <c r="P833" s="3">
        <v>2</v>
      </c>
      <c r="Q833" s="3" t="s">
        <v>71</v>
      </c>
      <c r="R833" s="3" t="s">
        <v>52</v>
      </c>
      <c r="S833" s="3" t="s">
        <v>10734</v>
      </c>
      <c r="T833" s="3" t="str">
        <f t="shared" si="180"/>
        <v>Fenest__ManufWin</v>
      </c>
      <c r="U833" s="3" t="str">
        <f t="shared" si="184"/>
        <v>Fenest__ManufWin</v>
      </c>
      <c r="V833" s="3" t="s">
        <v>785</v>
      </c>
      <c r="W833" s="3" t="s">
        <v>1040</v>
      </c>
      <c r="X833" s="3" t="s">
        <v>785</v>
      </c>
      <c r="Y833" s="3" t="s">
        <v>1040</v>
      </c>
      <c r="AA833" s="3" t="s">
        <v>55</v>
      </c>
      <c r="AC833">
        <v>1985</v>
      </c>
    </row>
    <row r="834" spans="1:29" x14ac:dyDescent="0.25">
      <c r="A834" s="3" t="s">
        <v>10754</v>
      </c>
      <c r="B834" s="3" t="s">
        <v>10675</v>
      </c>
      <c r="C834" s="3" t="s">
        <v>10755</v>
      </c>
      <c r="D834" s="3" t="str">
        <f t="shared" si="179"/>
        <v>SWBE011-01 Windows_SFm</v>
      </c>
      <c r="E834" s="3" t="str">
        <f t="shared" si="199"/>
        <v>SWBE011-01 Windows_SFm_1985_Msr1</v>
      </c>
      <c r="F834" s="3" t="s">
        <v>10769</v>
      </c>
      <c r="G834" s="3" t="s">
        <v>10769</v>
      </c>
      <c r="H834" s="3" t="str">
        <f t="shared" si="182"/>
        <v>RG-Fenest-ManufWin-rNCGF-Ex</v>
      </c>
      <c r="J834" t="str">
        <f t="shared" si="183"/>
        <v>RG-Fenest-ManufWin-rNCGF-Eff</v>
      </c>
      <c r="K834" t="s">
        <v>10762</v>
      </c>
      <c r="M834" t="s">
        <v>10763</v>
      </c>
      <c r="N834" s="3" t="str">
        <f t="shared" si="190"/>
        <v>SFm&amp;2&amp;rNCGF&amp;Ex&amp;Fenest__ManufWin</v>
      </c>
      <c r="O834" s="3" t="s">
        <v>50</v>
      </c>
      <c r="P834" s="3">
        <v>2</v>
      </c>
      <c r="Q834" s="3" t="s">
        <v>58</v>
      </c>
      <c r="R834" s="3" t="s">
        <v>52</v>
      </c>
      <c r="S834" s="3" t="s">
        <v>10734</v>
      </c>
      <c r="T834" s="3" t="str">
        <f t="shared" si="180"/>
        <v>Fenest__ManufWin</v>
      </c>
      <c r="U834" s="3" t="str">
        <f t="shared" si="184"/>
        <v>Fenest__ManufWin</v>
      </c>
      <c r="V834" s="3" t="s">
        <v>785</v>
      </c>
      <c r="W834" s="3" t="s">
        <v>1040</v>
      </c>
      <c r="X834" s="3" t="s">
        <v>785</v>
      </c>
      <c r="Y834" s="3" t="s">
        <v>1040</v>
      </c>
      <c r="AA834" s="3" t="s">
        <v>55</v>
      </c>
      <c r="AC834">
        <v>1985</v>
      </c>
    </row>
    <row r="835" spans="1:29" x14ac:dyDescent="0.25">
      <c r="A835" s="3" t="s">
        <v>10754</v>
      </c>
      <c r="B835" s="3" t="s">
        <v>10675</v>
      </c>
      <c r="C835" s="3" t="s">
        <v>10755</v>
      </c>
      <c r="D835" s="3" t="str">
        <f t="shared" ref="D835:D842" si="200">_xlfn.CONCAT(C835, " ", A835,"_",O835)</f>
        <v>SWBE011-01 Windows_SFm</v>
      </c>
      <c r="E835" s="3" t="str">
        <f>CONCATENATE(D835,"_",AC835,"_","Msr2")</f>
        <v>SWBE011-01 Windows_SFm_1985_Msr2</v>
      </c>
      <c r="F835" s="3" t="s">
        <v>10769</v>
      </c>
      <c r="G835" s="3" t="s">
        <v>10769</v>
      </c>
      <c r="H835" s="3" t="str">
        <f t="shared" si="182"/>
        <v>RG-Fenest-ManufWin-rDXGF-Ex</v>
      </c>
      <c r="J835" t="str">
        <f t="shared" si="183"/>
        <v>RG-Fenest-ManufWin-rDXGF-Eff</v>
      </c>
      <c r="K835" t="s">
        <v>10756</v>
      </c>
      <c r="M835" t="s">
        <v>10757</v>
      </c>
      <c r="N835" s="3" t="str">
        <f t="shared" si="190"/>
        <v>SFm&amp;2&amp;rDXGF&amp;Ex&amp;Fenest__ManufWin</v>
      </c>
      <c r="O835" s="3" t="s">
        <v>50</v>
      </c>
      <c r="P835" s="3">
        <v>2</v>
      </c>
      <c r="Q835" s="3" t="s">
        <v>51</v>
      </c>
      <c r="R835" s="3" t="s">
        <v>52</v>
      </c>
      <c r="S835" s="3" t="s">
        <v>10734</v>
      </c>
      <c r="T835" s="3" t="str">
        <f t="shared" ref="T835:T842" si="201">V835&amp;"__"&amp;W835</f>
        <v>Fenest__ManufWin</v>
      </c>
      <c r="U835" s="3" t="str">
        <f t="shared" si="184"/>
        <v>Fenest__ManufWin</v>
      </c>
      <c r="V835" s="3" t="s">
        <v>785</v>
      </c>
      <c r="W835" s="3" t="s">
        <v>1040</v>
      </c>
      <c r="X835" s="3" t="s">
        <v>785</v>
      </c>
      <c r="Y835" s="3" t="s">
        <v>1040</v>
      </c>
      <c r="AA835" s="3" t="s">
        <v>55</v>
      </c>
      <c r="AC835">
        <v>1985</v>
      </c>
    </row>
    <row r="836" spans="1:29" x14ac:dyDescent="0.25">
      <c r="A836" s="3" t="s">
        <v>10754</v>
      </c>
      <c r="B836" s="3" t="s">
        <v>10675</v>
      </c>
      <c r="C836" s="3" t="s">
        <v>10755</v>
      </c>
      <c r="D836" s="3" t="str">
        <f t="shared" si="200"/>
        <v>SWBE011-01 Windows_SFm</v>
      </c>
      <c r="E836" s="3" t="str">
        <f t="shared" ref="E836:E838" si="202">CONCATENATE(D836,"_",AC836,"_","Msr2")</f>
        <v>SWBE011-01 Windows_SFm_1985_Msr2</v>
      </c>
      <c r="F836" s="3" t="s">
        <v>10769</v>
      </c>
      <c r="G836" s="3" t="s">
        <v>10769</v>
      </c>
      <c r="H836" s="3" t="str">
        <f t="shared" ref="H836:H847" si="203">K836</f>
        <v>RE-Fenest-ManufWin-rDXHP-Ex</v>
      </c>
      <c r="J836" t="str">
        <f t="shared" ref="I836:J847" si="204">M836</f>
        <v>RE-Fenest-ManufWin-rDXHP-Eff</v>
      </c>
      <c r="K836" t="s">
        <v>10758</v>
      </c>
      <c r="M836" t="s">
        <v>10759</v>
      </c>
      <c r="N836" s="3" t="str">
        <f t="shared" si="190"/>
        <v>SFm&amp;2&amp;rDXHP&amp;Ex&amp;Fenest__ManufWin</v>
      </c>
      <c r="O836" s="3" t="s">
        <v>50</v>
      </c>
      <c r="P836" s="3">
        <v>2</v>
      </c>
      <c r="Q836" s="3" t="s">
        <v>57</v>
      </c>
      <c r="R836" s="3" t="s">
        <v>52</v>
      </c>
      <c r="S836" s="3" t="s">
        <v>10734</v>
      </c>
      <c r="T836" s="3" t="str">
        <f t="shared" si="201"/>
        <v>Fenest__ManufWin</v>
      </c>
      <c r="U836" s="3" t="str">
        <f t="shared" ref="U836:U842" si="205">X836&amp;"__"&amp;Y836</f>
        <v>Fenest__ManufWin</v>
      </c>
      <c r="V836" s="3" t="s">
        <v>785</v>
      </c>
      <c r="W836" s="3" t="s">
        <v>1040</v>
      </c>
      <c r="X836" s="3" t="s">
        <v>785</v>
      </c>
      <c r="Y836" s="3" t="s">
        <v>1040</v>
      </c>
      <c r="AA836" s="3" t="s">
        <v>55</v>
      </c>
      <c r="AC836">
        <v>1985</v>
      </c>
    </row>
    <row r="837" spans="1:29" x14ac:dyDescent="0.25">
      <c r="A837" s="3" t="s">
        <v>10754</v>
      </c>
      <c r="B837" s="3" t="s">
        <v>10675</v>
      </c>
      <c r="C837" s="3" t="s">
        <v>10755</v>
      </c>
      <c r="D837" s="3" t="str">
        <f t="shared" si="200"/>
        <v>SWBE011-01 Windows_SFm</v>
      </c>
      <c r="E837" s="3" t="str">
        <f t="shared" si="202"/>
        <v>SWBE011-01 Windows_SFm_1985_Msr2</v>
      </c>
      <c r="F837" s="3" t="s">
        <v>10769</v>
      </c>
      <c r="G837" s="3" t="s">
        <v>10769</v>
      </c>
      <c r="H837" s="3" t="str">
        <f t="shared" si="203"/>
        <v>RE-Fenest-ManufWin-rNCEH-Ex</v>
      </c>
      <c r="J837" t="str">
        <f t="shared" si="204"/>
        <v>RE-Fenest-ManufWin-rNCEH-Eff</v>
      </c>
      <c r="K837" t="s">
        <v>10760</v>
      </c>
      <c r="M837" t="s">
        <v>10761</v>
      </c>
      <c r="N837" s="3" t="str">
        <f t="shared" si="190"/>
        <v>SFm&amp;2&amp;rNCEH&amp;Ex&amp;Fenest__ManufWin</v>
      </c>
      <c r="O837" s="3" t="s">
        <v>50</v>
      </c>
      <c r="P837" s="3">
        <v>2</v>
      </c>
      <c r="Q837" s="3" t="s">
        <v>71</v>
      </c>
      <c r="R837" s="3" t="s">
        <v>52</v>
      </c>
      <c r="S837" s="3" t="s">
        <v>10734</v>
      </c>
      <c r="T837" s="3" t="str">
        <f t="shared" si="201"/>
        <v>Fenest__ManufWin</v>
      </c>
      <c r="U837" s="3" t="str">
        <f t="shared" si="205"/>
        <v>Fenest__ManufWin</v>
      </c>
      <c r="V837" s="3" t="s">
        <v>785</v>
      </c>
      <c r="W837" s="3" t="s">
        <v>1040</v>
      </c>
      <c r="X837" s="3" t="s">
        <v>785</v>
      </c>
      <c r="Y837" s="3" t="s">
        <v>1040</v>
      </c>
      <c r="AA837" s="3" t="s">
        <v>55</v>
      </c>
      <c r="AC837">
        <v>1985</v>
      </c>
    </row>
    <row r="838" spans="1:29" x14ac:dyDescent="0.25">
      <c r="A838" s="3" t="s">
        <v>10754</v>
      </c>
      <c r="B838" s="3" t="s">
        <v>10675</v>
      </c>
      <c r="C838" s="3" t="s">
        <v>10755</v>
      </c>
      <c r="D838" s="3" t="str">
        <f t="shared" si="200"/>
        <v>SWBE011-01 Windows_SFm</v>
      </c>
      <c r="E838" s="3" t="str">
        <f t="shared" si="202"/>
        <v>SWBE011-01 Windows_SFm_1985_Msr2</v>
      </c>
      <c r="F838" s="3" t="s">
        <v>10769</v>
      </c>
      <c r="G838" s="3" t="s">
        <v>10769</v>
      </c>
      <c r="H838" s="3" t="str">
        <f t="shared" si="203"/>
        <v>RG-Fenest-ManufWin-rNCGF-Ex</v>
      </c>
      <c r="J838" t="str">
        <f t="shared" si="204"/>
        <v>RG-Fenest-ManufWin-rNCGF-Eff</v>
      </c>
      <c r="K838" t="s">
        <v>10762</v>
      </c>
      <c r="M838" t="s">
        <v>10763</v>
      </c>
      <c r="N838" s="3" t="str">
        <f t="shared" si="190"/>
        <v>SFm&amp;2&amp;rNCGF&amp;Ex&amp;Fenest__ManufWin</v>
      </c>
      <c r="O838" s="3" t="s">
        <v>50</v>
      </c>
      <c r="P838" s="3">
        <v>2</v>
      </c>
      <c r="Q838" s="3" t="s">
        <v>58</v>
      </c>
      <c r="R838" s="3" t="s">
        <v>52</v>
      </c>
      <c r="S838" s="3" t="s">
        <v>10734</v>
      </c>
      <c r="T838" s="3" t="str">
        <f t="shared" si="201"/>
        <v>Fenest__ManufWin</v>
      </c>
      <c r="U838" s="3" t="str">
        <f t="shared" si="205"/>
        <v>Fenest__ManufWin</v>
      </c>
      <c r="V838" s="3" t="s">
        <v>785</v>
      </c>
      <c r="W838" s="3" t="s">
        <v>1040</v>
      </c>
      <c r="X838" s="3" t="s">
        <v>785</v>
      </c>
      <c r="Y838" s="3" t="s">
        <v>1040</v>
      </c>
      <c r="AA838" s="3" t="s">
        <v>55</v>
      </c>
      <c r="AC838">
        <v>1985</v>
      </c>
    </row>
    <row r="839" spans="1:29" x14ac:dyDescent="0.25">
      <c r="A839" s="3" t="s">
        <v>10754</v>
      </c>
      <c r="B839" s="3" t="s">
        <v>10675</v>
      </c>
      <c r="C839" s="3" t="s">
        <v>10755</v>
      </c>
      <c r="D839" s="3" t="str">
        <f t="shared" si="200"/>
        <v>SWBE011-01 Windows_SFm</v>
      </c>
      <c r="E839" s="3" t="str">
        <f>CONCATENATE(D839,"_",AC839,"_","Msr3")</f>
        <v>SWBE011-01 Windows_SFm_1985_Msr3</v>
      </c>
      <c r="F839" s="3" t="s">
        <v>10769</v>
      </c>
      <c r="G839" s="3" t="s">
        <v>10769</v>
      </c>
      <c r="H839" s="3" t="str">
        <f t="shared" si="203"/>
        <v>RG-Fenest-ManufWin-rDXGF-Ex</v>
      </c>
      <c r="J839" t="str">
        <f t="shared" si="204"/>
        <v>RG-Fenest-ManufWin-rDXGF-Eff</v>
      </c>
      <c r="K839" t="s">
        <v>10756</v>
      </c>
      <c r="M839" t="s">
        <v>10757</v>
      </c>
      <c r="N839" s="3" t="str">
        <f t="shared" si="190"/>
        <v>SFm&amp;2&amp;rDXGF&amp;Ex&amp;Fenest__ManufWin</v>
      </c>
      <c r="O839" s="3" t="s">
        <v>50</v>
      </c>
      <c r="P839" s="3">
        <v>2</v>
      </c>
      <c r="Q839" s="3" t="s">
        <v>51</v>
      </c>
      <c r="R839" s="3" t="s">
        <v>52</v>
      </c>
      <c r="S839" s="3" t="s">
        <v>10734</v>
      </c>
      <c r="T839" s="3" t="str">
        <f t="shared" si="201"/>
        <v>Fenest__ManufWin</v>
      </c>
      <c r="U839" s="3" t="str">
        <f t="shared" si="205"/>
        <v>Fenest__ManufWin</v>
      </c>
      <c r="V839" s="3" t="s">
        <v>785</v>
      </c>
      <c r="W839" s="3" t="s">
        <v>1040</v>
      </c>
      <c r="X839" s="3" t="s">
        <v>785</v>
      </c>
      <c r="Y839" s="3" t="s">
        <v>1040</v>
      </c>
      <c r="AA839" s="3" t="s">
        <v>55</v>
      </c>
      <c r="AC839">
        <v>1985</v>
      </c>
    </row>
    <row r="840" spans="1:29" x14ac:dyDescent="0.25">
      <c r="A840" s="3" t="s">
        <v>10754</v>
      </c>
      <c r="B840" s="3" t="s">
        <v>10675</v>
      </c>
      <c r="C840" s="3" t="s">
        <v>10755</v>
      </c>
      <c r="D840" s="3" t="str">
        <f t="shared" si="200"/>
        <v>SWBE011-01 Windows_SFm</v>
      </c>
      <c r="E840" s="3" t="str">
        <f t="shared" ref="E840:E842" si="206">CONCATENATE(D840,"_",AC840,"_","Msr3")</f>
        <v>SWBE011-01 Windows_SFm_1985_Msr3</v>
      </c>
      <c r="F840" s="3" t="s">
        <v>10769</v>
      </c>
      <c r="G840" s="3" t="s">
        <v>10769</v>
      </c>
      <c r="H840" s="3" t="str">
        <f t="shared" si="203"/>
        <v>RE-Fenest-ManufWin-rDXHP-Ex</v>
      </c>
      <c r="J840" t="str">
        <f t="shared" si="204"/>
        <v>RE-Fenest-ManufWin-rDXHP-Eff</v>
      </c>
      <c r="K840" t="s">
        <v>10758</v>
      </c>
      <c r="M840" t="s">
        <v>10759</v>
      </c>
      <c r="N840" s="3" t="str">
        <f t="shared" si="190"/>
        <v>SFm&amp;2&amp;rDXHP&amp;Ex&amp;Fenest__ManufWin</v>
      </c>
      <c r="O840" s="3" t="s">
        <v>50</v>
      </c>
      <c r="P840" s="3">
        <v>2</v>
      </c>
      <c r="Q840" s="3" t="s">
        <v>57</v>
      </c>
      <c r="R840" s="3" t="s">
        <v>52</v>
      </c>
      <c r="S840" s="3" t="s">
        <v>10734</v>
      </c>
      <c r="T840" s="3" t="str">
        <f t="shared" si="201"/>
        <v>Fenest__ManufWin</v>
      </c>
      <c r="U840" s="3" t="str">
        <f t="shared" si="205"/>
        <v>Fenest__ManufWin</v>
      </c>
      <c r="V840" s="3" t="s">
        <v>785</v>
      </c>
      <c r="W840" s="3" t="s">
        <v>1040</v>
      </c>
      <c r="X840" s="3" t="s">
        <v>785</v>
      </c>
      <c r="Y840" s="3" t="s">
        <v>1040</v>
      </c>
      <c r="AA840" s="3" t="s">
        <v>55</v>
      </c>
      <c r="AC840">
        <v>1985</v>
      </c>
    </row>
    <row r="841" spans="1:29" x14ac:dyDescent="0.25">
      <c r="A841" s="3" t="s">
        <v>10754</v>
      </c>
      <c r="B841" s="3" t="s">
        <v>10675</v>
      </c>
      <c r="C841" s="3" t="s">
        <v>10755</v>
      </c>
      <c r="D841" s="3" t="str">
        <f t="shared" si="200"/>
        <v>SWBE011-01 Windows_SFm</v>
      </c>
      <c r="E841" s="3" t="str">
        <f t="shared" si="206"/>
        <v>SWBE011-01 Windows_SFm_1985_Msr3</v>
      </c>
      <c r="F841" s="3" t="s">
        <v>10769</v>
      </c>
      <c r="G841" s="3" t="s">
        <v>10769</v>
      </c>
      <c r="H841" s="3" t="str">
        <f t="shared" si="203"/>
        <v>RE-Fenest-ManufWin-rNCEH-Ex</v>
      </c>
      <c r="J841" t="str">
        <f t="shared" si="204"/>
        <v>RE-Fenest-ManufWin-rNCEH-Eff</v>
      </c>
      <c r="K841" t="s">
        <v>10760</v>
      </c>
      <c r="M841" t="s">
        <v>10761</v>
      </c>
      <c r="N841" s="3" t="str">
        <f t="shared" si="190"/>
        <v>SFm&amp;2&amp;rNCEH&amp;Ex&amp;Fenest__ManufWin</v>
      </c>
      <c r="O841" s="3" t="s">
        <v>50</v>
      </c>
      <c r="P841" s="3">
        <v>2</v>
      </c>
      <c r="Q841" s="3" t="s">
        <v>71</v>
      </c>
      <c r="R841" s="3" t="s">
        <v>52</v>
      </c>
      <c r="S841" s="3" t="s">
        <v>10734</v>
      </c>
      <c r="T841" s="3" t="str">
        <f t="shared" si="201"/>
        <v>Fenest__ManufWin</v>
      </c>
      <c r="U841" s="3" t="str">
        <f t="shared" si="205"/>
        <v>Fenest__ManufWin</v>
      </c>
      <c r="V841" s="3" t="s">
        <v>785</v>
      </c>
      <c r="W841" s="3" t="s">
        <v>1040</v>
      </c>
      <c r="X841" s="3" t="s">
        <v>785</v>
      </c>
      <c r="Y841" s="3" t="s">
        <v>1040</v>
      </c>
      <c r="AA841" s="3" t="s">
        <v>55</v>
      </c>
      <c r="AC841">
        <v>1985</v>
      </c>
    </row>
    <row r="842" spans="1:29" x14ac:dyDescent="0.25">
      <c r="A842" s="3" t="s">
        <v>10754</v>
      </c>
      <c r="B842" s="3" t="s">
        <v>10675</v>
      </c>
      <c r="C842" s="3" t="s">
        <v>10755</v>
      </c>
      <c r="D842" s="3" t="str">
        <f t="shared" si="200"/>
        <v>SWBE011-01 Windows_SFm</v>
      </c>
      <c r="E842" s="3" t="str">
        <f t="shared" si="206"/>
        <v>SWBE011-01 Windows_SFm_1985_Msr3</v>
      </c>
      <c r="F842" s="3" t="s">
        <v>10769</v>
      </c>
      <c r="G842" s="3" t="s">
        <v>10769</v>
      </c>
      <c r="H842" s="3" t="str">
        <f t="shared" si="203"/>
        <v>RG-Fenest-ManufWin-rNCGF-Ex</v>
      </c>
      <c r="J842" t="str">
        <f t="shared" si="204"/>
        <v>RG-Fenest-ManufWin-rNCGF-Eff</v>
      </c>
      <c r="K842" t="s">
        <v>10762</v>
      </c>
      <c r="M842" t="s">
        <v>10763</v>
      </c>
      <c r="N842" s="3" t="str">
        <f t="shared" si="190"/>
        <v>SFm&amp;2&amp;rNCGF&amp;Ex&amp;Fenest__ManufWin</v>
      </c>
      <c r="O842" s="3" t="s">
        <v>50</v>
      </c>
      <c r="P842" s="3">
        <v>2</v>
      </c>
      <c r="Q842" s="3" t="s">
        <v>58</v>
      </c>
      <c r="R842" s="3" t="s">
        <v>52</v>
      </c>
      <c r="S842" s="3" t="s">
        <v>10734</v>
      </c>
      <c r="T842" s="3" t="str">
        <f t="shared" si="201"/>
        <v>Fenest__ManufWin</v>
      </c>
      <c r="U842" s="3" t="str">
        <f t="shared" si="205"/>
        <v>Fenest__ManufWin</v>
      </c>
      <c r="V842" s="3" t="s">
        <v>785</v>
      </c>
      <c r="W842" s="3" t="s">
        <v>1040</v>
      </c>
      <c r="X842" s="3" t="s">
        <v>785</v>
      </c>
      <c r="Y842" s="3" t="s">
        <v>1040</v>
      </c>
      <c r="AA842" s="3" t="s">
        <v>55</v>
      </c>
      <c r="AC842">
        <v>1985</v>
      </c>
    </row>
    <row r="843" spans="1:29" x14ac:dyDescent="0.25">
      <c r="A843" s="3" t="s">
        <v>10754</v>
      </c>
      <c r="B843" s="3" t="s">
        <v>10665</v>
      </c>
      <c r="C843" s="3" t="s">
        <v>10764</v>
      </c>
      <c r="D843" s="3" t="str">
        <f>_xlfn.CONCAT(C843, " ", A843)</f>
        <v>SWBE012-01 Windows</v>
      </c>
      <c r="E843" s="3" t="str">
        <f>_xlfn.CONCAT(C843, " ", A843,"_",O843,"_",R843)</f>
        <v>SWBE012-01 Windows_Htl_Ex</v>
      </c>
      <c r="F843" s="3" t="str">
        <f t="shared" ref="F843" si="207">LEFT(H843,18)</f>
        <v>NB-Fenest-ManufWin</v>
      </c>
      <c r="G843" s="3" t="str">
        <f t="shared" ref="G843" si="208">F843</f>
        <v>NB-Fenest-ManufWin</v>
      </c>
      <c r="H843" s="3" t="str">
        <f t="shared" si="203"/>
        <v>NB-Fenest-ManufWin-cWtd-Ex</v>
      </c>
      <c r="J843" t="str">
        <f t="shared" si="204"/>
        <v>NB-Fenest-ManufWin-cWtd-Eff</v>
      </c>
      <c r="K843" t="s">
        <v>10768</v>
      </c>
      <c r="M843" t="s">
        <v>10767</v>
      </c>
      <c r="N843" s="3" t="str">
        <f t="shared" si="190"/>
        <v>Htl&amp;0&amp;cWtd&amp;Ex&amp;Fenest__ManufWin</v>
      </c>
      <c r="O843" s="3" t="s">
        <v>10673</v>
      </c>
      <c r="P843" s="3">
        <v>0</v>
      </c>
      <c r="Q843" s="3" t="s">
        <v>10766</v>
      </c>
      <c r="R843" s="3" t="s">
        <v>52</v>
      </c>
      <c r="S843" s="3" t="s">
        <v>10734</v>
      </c>
      <c r="T843" s="3" t="str">
        <f t="shared" ref="T843:T845" si="209">V843&amp;"__"&amp;W843</f>
        <v>Fenest__ManufWin</v>
      </c>
      <c r="U843" s="3" t="str">
        <f t="shared" ref="U843:U845" si="210">X843&amp;"__"&amp;Y843</f>
        <v>Fenest__ManufWin</v>
      </c>
      <c r="V843" s="3" t="s">
        <v>785</v>
      </c>
      <c r="W843" s="3" t="s">
        <v>1040</v>
      </c>
      <c r="X843" s="3" t="s">
        <v>785</v>
      </c>
      <c r="Y843" s="3" t="s">
        <v>1040</v>
      </c>
      <c r="AA843" s="3" t="s">
        <v>55</v>
      </c>
    </row>
    <row r="844" spans="1:29" x14ac:dyDescent="0.25">
      <c r="A844" s="3" t="s">
        <v>10771</v>
      </c>
      <c r="B844" s="3" t="s">
        <v>10665</v>
      </c>
      <c r="C844" s="3" t="s">
        <v>10770</v>
      </c>
      <c r="D844" s="3" t="str">
        <f t="shared" ref="D844:D845" si="211">_xlfn.CONCAT(C844, " ", A844)</f>
        <v>SWCR003-05 Refrig Fan Motor</v>
      </c>
      <c r="E844" s="3" t="str">
        <f>_xlfn.CONCAT(C844, " ", A844,"_",R844)</f>
        <v>SWCR003-05 Refrig Fan Motor_Ex</v>
      </c>
      <c r="F844" s="3" t="str">
        <f>LEFT(H844,22)</f>
        <v>NE-Ref_Storage-ReachIn</v>
      </c>
      <c r="G844" s="3" t="str">
        <f t="shared" ref="G844:G845" si="212">F844</f>
        <v>NE-Ref_Storage-ReachIn</v>
      </c>
      <c r="H844" s="3" t="str">
        <f t="shared" si="203"/>
        <v>NE-Ref_Storage-ReachIn-MT-PSC-Std</v>
      </c>
      <c r="I844" t="str">
        <f t="shared" si="204"/>
        <v>NE-Ref_Storage-ReachIn-MT-ECM-Msr</v>
      </c>
      <c r="J844" t="str">
        <f t="shared" si="204"/>
        <v>NE-Ref_Storage-ReachIn-MT-ECM-Msr</v>
      </c>
      <c r="K844" t="s">
        <v>10772</v>
      </c>
      <c r="L844" t="s">
        <v>10773</v>
      </c>
      <c r="M844" t="s">
        <v>10773</v>
      </c>
      <c r="N844" s="3" t="str">
        <f t="shared" si="190"/>
        <v>Gro&amp;0&amp;cDXGF&amp;Ex&amp;Ref_Storage__ReachIn</v>
      </c>
      <c r="O844" s="3" t="s">
        <v>10738</v>
      </c>
      <c r="P844" s="3">
        <v>0</v>
      </c>
      <c r="Q844" s="3" t="s">
        <v>10666</v>
      </c>
      <c r="R844" s="3" t="s">
        <v>52</v>
      </c>
      <c r="S844" s="3" t="s">
        <v>10734</v>
      </c>
      <c r="T844" s="3" t="str">
        <f t="shared" si="209"/>
        <v>Ref_Storage__ReachIn</v>
      </c>
      <c r="U844" s="3" t="str">
        <f t="shared" si="210"/>
        <v>Ref_Storage__ReachIn</v>
      </c>
      <c r="V844" s="3" t="s">
        <v>150</v>
      </c>
      <c r="W844" s="3" t="s">
        <v>914</v>
      </c>
      <c r="X844" s="3" t="s">
        <v>150</v>
      </c>
      <c r="Y844" s="3" t="s">
        <v>914</v>
      </c>
      <c r="Z844" s="3">
        <v>163.44</v>
      </c>
      <c r="AA844" s="3" t="s">
        <v>542</v>
      </c>
      <c r="AB844" s="3" t="s">
        <v>153</v>
      </c>
    </row>
    <row r="845" spans="1:29" x14ac:dyDescent="0.25">
      <c r="A845" s="3" t="s">
        <v>10771</v>
      </c>
      <c r="B845" s="3" t="s">
        <v>10665</v>
      </c>
      <c r="C845" s="3" t="s">
        <v>10770</v>
      </c>
      <c r="D845" s="3" t="str">
        <f t="shared" si="211"/>
        <v>SWCR003-05 Refrig Fan Motor</v>
      </c>
      <c r="E845" s="3" t="str">
        <f t="shared" ref="E845" si="213">_xlfn.CONCAT(C845, " ", A845,"_",R845)</f>
        <v>SWCR003-05 Refrig Fan Motor_Ex</v>
      </c>
      <c r="F845" s="3" t="str">
        <f t="shared" ref="F845:F847" si="214">LEFT(H845,22)</f>
        <v>NE-Ref_Storage-ReachIn</v>
      </c>
      <c r="G845" s="3" t="str">
        <f t="shared" si="212"/>
        <v>NE-Ref_Storage-ReachIn</v>
      </c>
      <c r="H845" s="3" t="str">
        <f t="shared" si="203"/>
        <v>NE-Ref_Storage-ReachIn-LT-PSC-Std</v>
      </c>
      <c r="I845" t="str">
        <f t="shared" si="204"/>
        <v>NE-Ref_Storage-ReachIn-LT-ECM-Msr</v>
      </c>
      <c r="J845" t="str">
        <f t="shared" si="204"/>
        <v>NE-Ref_Storage-ReachIn-LT-ECM-Msr</v>
      </c>
      <c r="K845" t="s">
        <v>10774</v>
      </c>
      <c r="L845" t="s">
        <v>10776</v>
      </c>
      <c r="M845" t="s">
        <v>10776</v>
      </c>
      <c r="N845" s="3" t="str">
        <f t="shared" si="190"/>
        <v>Gro&amp;0&amp;cDXGF&amp;Ex&amp;Ref_Storage__ReachIn</v>
      </c>
      <c r="O845" s="3" t="s">
        <v>10738</v>
      </c>
      <c r="P845" s="3">
        <v>0</v>
      </c>
      <c r="Q845" s="3" t="s">
        <v>10666</v>
      </c>
      <c r="R845" s="3" t="s">
        <v>52</v>
      </c>
      <c r="S845" s="3" t="s">
        <v>10734</v>
      </c>
      <c r="T845" s="3" t="str">
        <f t="shared" si="209"/>
        <v>Ref_Storage__ReachIn</v>
      </c>
      <c r="U845" s="3" t="str">
        <f t="shared" si="210"/>
        <v>Ref_Storage__ReachIn</v>
      </c>
      <c r="V845" s="3" t="s">
        <v>150</v>
      </c>
      <c r="W845" s="3" t="s">
        <v>914</v>
      </c>
      <c r="X845" s="3" t="s">
        <v>150</v>
      </c>
      <c r="Y845" s="3" t="s">
        <v>914</v>
      </c>
      <c r="Z845" s="3">
        <v>175.32</v>
      </c>
      <c r="AA845" s="3" t="s">
        <v>542</v>
      </c>
      <c r="AB845" s="3" t="s">
        <v>153</v>
      </c>
    </row>
    <row r="846" spans="1:29" x14ac:dyDescent="0.25">
      <c r="A846" s="3" t="s">
        <v>10771</v>
      </c>
      <c r="B846" s="3" t="s">
        <v>10665</v>
      </c>
      <c r="C846" s="3" t="s">
        <v>10770</v>
      </c>
      <c r="D846" s="3" t="str">
        <f t="shared" ref="D846" si="215">_xlfn.CONCAT(C846, " ", A846)</f>
        <v>SWCR003-05 Refrig Fan Motor</v>
      </c>
      <c r="E846" s="3" t="str">
        <f t="shared" ref="E846" si="216">_xlfn.CONCAT(C846, " ", A846,"_",R846)</f>
        <v>SWCR003-05 Refrig Fan Motor_Ex</v>
      </c>
      <c r="F846" s="3" t="str">
        <f t="shared" si="214"/>
        <v>NE-Ref_Storage-ReachIn</v>
      </c>
      <c r="G846" s="3" t="str">
        <f t="shared" ref="G846" si="217">F846</f>
        <v>NE-Ref_Storage-ReachIn</v>
      </c>
      <c r="H846" s="3" t="str">
        <f t="shared" si="203"/>
        <v>NE-Ref_Storage-ReachIn-MT-SHP-Std</v>
      </c>
      <c r="I846" t="str">
        <f t="shared" si="204"/>
        <v>NE-Ref_Storage-ReachIn-MT-ECM-Msr</v>
      </c>
      <c r="J846" t="str">
        <f t="shared" si="204"/>
        <v>NE-Ref_Storage-ReachIn-MT-ECM-Msr</v>
      </c>
      <c r="K846" t="s">
        <v>10775</v>
      </c>
      <c r="L846" t="s">
        <v>10773</v>
      </c>
      <c r="M846" t="s">
        <v>10773</v>
      </c>
      <c r="N846" s="3" t="str">
        <f t="shared" si="190"/>
        <v>Gro&amp;0&amp;cDXGF&amp;Ex&amp;Ref_Storage__ReachIn</v>
      </c>
      <c r="O846" s="3" t="s">
        <v>10738</v>
      </c>
      <c r="P846" s="3">
        <v>0</v>
      </c>
      <c r="Q846" s="3" t="s">
        <v>10666</v>
      </c>
      <c r="R846" s="3" t="s">
        <v>52</v>
      </c>
      <c r="S846" s="3" t="s">
        <v>10734</v>
      </c>
      <c r="T846" s="3" t="str">
        <f t="shared" ref="T846" si="218">V846&amp;"__"&amp;W846</f>
        <v>Ref_Storage__ReachIn</v>
      </c>
      <c r="U846" s="3" t="str">
        <f t="shared" ref="U846" si="219">X846&amp;"__"&amp;Y846</f>
        <v>Ref_Storage__ReachIn</v>
      </c>
      <c r="V846" s="3" t="s">
        <v>150</v>
      </c>
      <c r="W846" s="3" t="s">
        <v>914</v>
      </c>
      <c r="X846" s="3" t="s">
        <v>150</v>
      </c>
      <c r="Y846" s="3" t="s">
        <v>914</v>
      </c>
      <c r="Z846" s="3">
        <v>163.44</v>
      </c>
      <c r="AA846" s="3" t="s">
        <v>542</v>
      </c>
      <c r="AB846" s="3" t="s">
        <v>153</v>
      </c>
    </row>
    <row r="847" spans="1:29" x14ac:dyDescent="0.25">
      <c r="A847" s="3" t="s">
        <v>10771</v>
      </c>
      <c r="B847" s="3" t="s">
        <v>10665</v>
      </c>
      <c r="C847" s="3" t="s">
        <v>10770</v>
      </c>
      <c r="D847" s="3" t="str">
        <f t="shared" ref="D847" si="220">_xlfn.CONCAT(C847, " ", A847)</f>
        <v>SWCR003-05 Refrig Fan Motor</v>
      </c>
      <c r="E847" s="3" t="str">
        <f t="shared" ref="E847" si="221">_xlfn.CONCAT(C847, " ", A847,"_",R847)</f>
        <v>SWCR003-05 Refrig Fan Motor_Ex</v>
      </c>
      <c r="F847" s="3" t="str">
        <f t="shared" si="214"/>
        <v>NE-Ref_Storage-ReachIn</v>
      </c>
      <c r="G847" s="3" t="str">
        <f t="shared" ref="G847" si="222">F847</f>
        <v>NE-Ref_Storage-ReachIn</v>
      </c>
      <c r="H847" s="3" t="str">
        <f t="shared" si="203"/>
        <v>NE-Ref_Storage-ReachIn-LT-SHP-Std</v>
      </c>
      <c r="I847" t="str">
        <f t="shared" si="204"/>
        <v>NE-Ref_Storage-ReachIn-LT-ECM-Msr</v>
      </c>
      <c r="J847" t="str">
        <f t="shared" si="204"/>
        <v>NE-Ref_Storage-ReachIn-LT-ECM-Msr</v>
      </c>
      <c r="K847" t="s">
        <v>10777</v>
      </c>
      <c r="L847" t="s">
        <v>10776</v>
      </c>
      <c r="M847" t="s">
        <v>10776</v>
      </c>
      <c r="N847" s="3" t="str">
        <f t="shared" ref="N847" si="223">IF(S847="No", O847&amp;"&amp;"&amp;P847&amp;"&amp;"&amp;Q847&amp;"&amp;"&amp;R847&amp;"&amp;"&amp;T847,   O847&amp;"&amp;"&amp;P847&amp;"&amp;"&amp;Q847&amp;"&amp;"&amp;R847&amp;"&amp;"&amp;T847&amp;"&amp;"&amp;U847)</f>
        <v>Gro&amp;0&amp;cDXGF&amp;Ex&amp;Ref_Storage__ReachIn</v>
      </c>
      <c r="O847" s="3" t="s">
        <v>10738</v>
      </c>
      <c r="P847" s="3">
        <v>0</v>
      </c>
      <c r="Q847" s="3" t="s">
        <v>10666</v>
      </c>
      <c r="R847" s="3" t="s">
        <v>52</v>
      </c>
      <c r="S847" s="3" t="s">
        <v>10734</v>
      </c>
      <c r="T847" s="3" t="str">
        <f t="shared" ref="T847" si="224">V847&amp;"__"&amp;W847</f>
        <v>Ref_Storage__ReachIn</v>
      </c>
      <c r="U847" s="3" t="str">
        <f t="shared" ref="U847" si="225">X847&amp;"__"&amp;Y847</f>
        <v>Ref_Storage__ReachIn</v>
      </c>
      <c r="V847" s="3" t="s">
        <v>150</v>
      </c>
      <c r="W847" s="3" t="s">
        <v>914</v>
      </c>
      <c r="X847" s="3" t="s">
        <v>150</v>
      </c>
      <c r="Y847" s="3" t="s">
        <v>914</v>
      </c>
      <c r="Z847" s="3">
        <v>175.32</v>
      </c>
      <c r="AA847" s="3" t="s">
        <v>542</v>
      </c>
      <c r="AB847" s="3" t="s">
        <v>153</v>
      </c>
    </row>
  </sheetData>
  <autoFilter ref="A5:AG843" xr:uid="{00000000-0009-0000-0000-000001000000}"/>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5" x14ac:dyDescent="0.25"/>
  <cols>
    <col min="1" max="1" width="23.28515625" bestFit="1" customWidth="1"/>
    <col min="2" max="2" width="15" bestFit="1" customWidth="1"/>
    <col min="3" max="3" width="21.140625" bestFit="1" customWidth="1"/>
    <col min="4" max="4" width="44.7109375" bestFit="1" customWidth="1"/>
    <col min="5" max="28" width="8.28515625" customWidth="1"/>
  </cols>
  <sheetData>
    <row r="1" spans="1:28" ht="39" customHeight="1" thickBot="1" x14ac:dyDescent="0.3">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25">
      <c r="A2" t="s">
        <v>95</v>
      </c>
      <c r="B2" t="s">
        <v>96</v>
      </c>
      <c r="C2" t="str">
        <f t="shared" ref="C2" si="0">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5" x14ac:dyDescent="0.25"/>
  <cols>
    <col min="1" max="1" width="69" customWidth="1"/>
    <col min="2" max="2" width="36.42578125" bestFit="1" customWidth="1"/>
    <col min="3" max="3" width="38.140625" customWidth="1"/>
    <col min="4" max="4" width="21.28515625" bestFit="1" customWidth="1"/>
    <col min="5" max="18" width="34.7109375" bestFit="1" customWidth="1"/>
    <col min="19" max="19" width="11" bestFit="1" customWidth="1"/>
    <col min="20" max="134" width="46.7109375" bestFit="1" customWidth="1"/>
    <col min="135" max="138" width="11" bestFit="1" customWidth="1"/>
    <col min="139" max="269" width="46.7109375" bestFit="1" customWidth="1"/>
    <col min="270" max="270" width="31.5703125" bestFit="1" customWidth="1"/>
    <col min="271" max="271" width="32.140625" bestFit="1" customWidth="1"/>
    <col min="272" max="402" width="46.7109375" bestFit="1" customWidth="1"/>
    <col min="403" max="403" width="31.7109375" bestFit="1" customWidth="1"/>
    <col min="404" max="404" width="31.5703125" bestFit="1" customWidth="1"/>
    <col min="405" max="405" width="32.140625" bestFit="1" customWidth="1"/>
  </cols>
  <sheetData>
    <row r="2" spans="1:4" x14ac:dyDescent="0.25">
      <c r="A2" s="33" t="s">
        <v>21</v>
      </c>
      <c r="B2" t="s">
        <v>10765</v>
      </c>
    </row>
    <row r="4" spans="1:4" x14ac:dyDescent="0.25">
      <c r="A4" s="33" t="s">
        <v>29</v>
      </c>
      <c r="B4" s="33" t="s">
        <v>26</v>
      </c>
      <c r="C4" s="33" t="s">
        <v>27</v>
      </c>
      <c r="D4" s="33" t="s">
        <v>28</v>
      </c>
    </row>
    <row r="5" spans="1:4" x14ac:dyDescent="0.25">
      <c r="A5" t="s">
        <v>339</v>
      </c>
    </row>
    <row r="6" spans="1:4" x14ac:dyDescent="0.25">
      <c r="A6" t="s">
        <v>344</v>
      </c>
    </row>
    <row r="7" spans="1:4" x14ac:dyDescent="0.25">
      <c r="A7" t="s">
        <v>345</v>
      </c>
    </row>
    <row r="8" spans="1:4" x14ac:dyDescent="0.25">
      <c r="A8" t="s">
        <v>346</v>
      </c>
    </row>
    <row r="9" spans="1:4" x14ac:dyDescent="0.25">
      <c r="A9" t="s">
        <v>347</v>
      </c>
    </row>
    <row r="10" spans="1:4" x14ac:dyDescent="0.25">
      <c r="A10" t="s">
        <v>348</v>
      </c>
    </row>
    <row r="11" spans="1:4" x14ac:dyDescent="0.25">
      <c r="A11" t="s">
        <v>349</v>
      </c>
    </row>
    <row r="12" spans="1:4" x14ac:dyDescent="0.25">
      <c r="A12" t="s">
        <v>350</v>
      </c>
    </row>
    <row r="13" spans="1:4" x14ac:dyDescent="0.25">
      <c r="A13" t="s">
        <v>351</v>
      </c>
    </row>
    <row r="14" spans="1:4" x14ac:dyDescent="0.25">
      <c r="A14" t="s">
        <v>352</v>
      </c>
    </row>
    <row r="15" spans="1:4" x14ac:dyDescent="0.25">
      <c r="A15" t="s">
        <v>353</v>
      </c>
    </row>
    <row r="16" spans="1:4" x14ac:dyDescent="0.25">
      <c r="A16" t="s">
        <v>354</v>
      </c>
    </row>
    <row r="17" spans="1:1" x14ac:dyDescent="0.25">
      <c r="A17" t="s">
        <v>355</v>
      </c>
    </row>
    <row r="18" spans="1:1" x14ac:dyDescent="0.25">
      <c r="A18" t="s">
        <v>356</v>
      </c>
    </row>
    <row r="19" spans="1:1" x14ac:dyDescent="0.25">
      <c r="A19" t="s">
        <v>357</v>
      </c>
    </row>
    <row r="20" spans="1:1" x14ac:dyDescent="0.25">
      <c r="A20" t="s">
        <v>358</v>
      </c>
    </row>
    <row r="21" spans="1:1" x14ac:dyDescent="0.25">
      <c r="A21" t="s">
        <v>359</v>
      </c>
    </row>
    <row r="22" spans="1:1" x14ac:dyDescent="0.25">
      <c r="A22" t="s">
        <v>360</v>
      </c>
    </row>
    <row r="23" spans="1:1" x14ac:dyDescent="0.25">
      <c r="A23" t="s">
        <v>361</v>
      </c>
    </row>
    <row r="24" spans="1:1" x14ac:dyDescent="0.25">
      <c r="A24" t="s">
        <v>362</v>
      </c>
    </row>
    <row r="25" spans="1:1" x14ac:dyDescent="0.25">
      <c r="A25" t="s">
        <v>363</v>
      </c>
    </row>
    <row r="26" spans="1:1" x14ac:dyDescent="0.25">
      <c r="A26" t="s">
        <v>364</v>
      </c>
    </row>
    <row r="27" spans="1:1" x14ac:dyDescent="0.25">
      <c r="A27" t="s">
        <v>365</v>
      </c>
    </row>
    <row r="28" spans="1:1" x14ac:dyDescent="0.25">
      <c r="A28" t="s">
        <v>366</v>
      </c>
    </row>
    <row r="29" spans="1:1" x14ac:dyDescent="0.25">
      <c r="A29" t="s">
        <v>367</v>
      </c>
    </row>
    <row r="30" spans="1:1" x14ac:dyDescent="0.25">
      <c r="A30" t="s">
        <v>368</v>
      </c>
    </row>
    <row r="31" spans="1:1" x14ac:dyDescent="0.25">
      <c r="A31" t="s">
        <v>369</v>
      </c>
    </row>
    <row r="32" spans="1:1" x14ac:dyDescent="0.25">
      <c r="A32" t="s">
        <v>370</v>
      </c>
    </row>
    <row r="33" spans="1:1" x14ac:dyDescent="0.25">
      <c r="A33" t="s">
        <v>371</v>
      </c>
    </row>
    <row r="34" spans="1:1" x14ac:dyDescent="0.25">
      <c r="A34" t="s">
        <v>372</v>
      </c>
    </row>
    <row r="35" spans="1:1" x14ac:dyDescent="0.25">
      <c r="A35" t="s">
        <v>373</v>
      </c>
    </row>
    <row r="36" spans="1:1" x14ac:dyDescent="0.25">
      <c r="A36" t="s">
        <v>374</v>
      </c>
    </row>
    <row r="37" spans="1:1" x14ac:dyDescent="0.25">
      <c r="A37" t="s">
        <v>375</v>
      </c>
    </row>
    <row r="38" spans="1:1" x14ac:dyDescent="0.25">
      <c r="A38" t="s">
        <v>376</v>
      </c>
    </row>
    <row r="39" spans="1:1" x14ac:dyDescent="0.25">
      <c r="A39" t="s">
        <v>377</v>
      </c>
    </row>
    <row r="40" spans="1:1" x14ac:dyDescent="0.25">
      <c r="A40" t="s">
        <v>378</v>
      </c>
    </row>
    <row r="41" spans="1:1" x14ac:dyDescent="0.25">
      <c r="A41" t="s">
        <v>379</v>
      </c>
    </row>
    <row r="42" spans="1:1" x14ac:dyDescent="0.25">
      <c r="A42" t="s">
        <v>380</v>
      </c>
    </row>
    <row r="43" spans="1:1" x14ac:dyDescent="0.25">
      <c r="A43" t="s">
        <v>381</v>
      </c>
    </row>
    <row r="44" spans="1:1" x14ac:dyDescent="0.25">
      <c r="A44" t="s">
        <v>382</v>
      </c>
    </row>
    <row r="45" spans="1:1" x14ac:dyDescent="0.25">
      <c r="A45" t="s">
        <v>383</v>
      </c>
    </row>
    <row r="46" spans="1:1" x14ac:dyDescent="0.25">
      <c r="A46" t="s">
        <v>384</v>
      </c>
    </row>
    <row r="47" spans="1:1" x14ac:dyDescent="0.25">
      <c r="A47" t="s">
        <v>385</v>
      </c>
    </row>
    <row r="48" spans="1:1" x14ac:dyDescent="0.25">
      <c r="A48" t="s">
        <v>386</v>
      </c>
    </row>
    <row r="49" spans="1:1" x14ac:dyDescent="0.25">
      <c r="A49" t="s">
        <v>387</v>
      </c>
    </row>
    <row r="50" spans="1:1" x14ac:dyDescent="0.25">
      <c r="A50" t="s">
        <v>388</v>
      </c>
    </row>
    <row r="51" spans="1:1" x14ac:dyDescent="0.25">
      <c r="A51" t="s">
        <v>389</v>
      </c>
    </row>
    <row r="52" spans="1:1" x14ac:dyDescent="0.25">
      <c r="A52" t="s">
        <v>390</v>
      </c>
    </row>
    <row r="53" spans="1:1" x14ac:dyDescent="0.25">
      <c r="A53" t="s">
        <v>391</v>
      </c>
    </row>
    <row r="54" spans="1:1" x14ac:dyDescent="0.25">
      <c r="A54" t="s">
        <v>392</v>
      </c>
    </row>
    <row r="55" spans="1:1" x14ac:dyDescent="0.25">
      <c r="A55" t="s">
        <v>393</v>
      </c>
    </row>
    <row r="56" spans="1:1" x14ac:dyDescent="0.25">
      <c r="A56" s="40" t="s">
        <v>394</v>
      </c>
    </row>
    <row r="57" spans="1:1" x14ac:dyDescent="0.25">
      <c r="A57" t="s">
        <v>395</v>
      </c>
    </row>
    <row r="58" spans="1:1" x14ac:dyDescent="0.25">
      <c r="A58" t="s">
        <v>396</v>
      </c>
    </row>
    <row r="59" spans="1:1" x14ac:dyDescent="0.25">
      <c r="A59" t="s">
        <v>397</v>
      </c>
    </row>
    <row r="60" spans="1:1" x14ac:dyDescent="0.25">
      <c r="A60" t="s">
        <v>398</v>
      </c>
    </row>
    <row r="61" spans="1:1" x14ac:dyDescent="0.25">
      <c r="A61" t="s">
        <v>399</v>
      </c>
    </row>
    <row r="62" spans="1:1" x14ac:dyDescent="0.25">
      <c r="A62" s="40" t="s">
        <v>400</v>
      </c>
    </row>
    <row r="63" spans="1:1" x14ac:dyDescent="0.25">
      <c r="A63" t="s">
        <v>401</v>
      </c>
    </row>
    <row r="64" spans="1:1" x14ac:dyDescent="0.25">
      <c r="A64" t="s">
        <v>402</v>
      </c>
    </row>
    <row r="65" spans="1:1" x14ac:dyDescent="0.25">
      <c r="A65" t="s">
        <v>403</v>
      </c>
    </row>
    <row r="66" spans="1:1" x14ac:dyDescent="0.25">
      <c r="A66" t="s">
        <v>404</v>
      </c>
    </row>
    <row r="67" spans="1:1" x14ac:dyDescent="0.25">
      <c r="A67" t="s">
        <v>405</v>
      </c>
    </row>
    <row r="68" spans="1:1" x14ac:dyDescent="0.25">
      <c r="A68" t="s">
        <v>406</v>
      </c>
    </row>
    <row r="69" spans="1:1" x14ac:dyDescent="0.25">
      <c r="A69" t="s">
        <v>407</v>
      </c>
    </row>
    <row r="70" spans="1:1" x14ac:dyDescent="0.25">
      <c r="A70" t="s">
        <v>408</v>
      </c>
    </row>
    <row r="71" spans="1:1" x14ac:dyDescent="0.25">
      <c r="A71" t="s">
        <v>409</v>
      </c>
    </row>
    <row r="72" spans="1:1" x14ac:dyDescent="0.25">
      <c r="A72" t="s">
        <v>410</v>
      </c>
    </row>
    <row r="73" spans="1:1" x14ac:dyDescent="0.25">
      <c r="A73" t="s">
        <v>411</v>
      </c>
    </row>
    <row r="74" spans="1:1" x14ac:dyDescent="0.25">
      <c r="A74" t="s">
        <v>412</v>
      </c>
    </row>
    <row r="75" spans="1:1" x14ac:dyDescent="0.25">
      <c r="A75" t="s">
        <v>413</v>
      </c>
    </row>
    <row r="76" spans="1:1" x14ac:dyDescent="0.25">
      <c r="A76" t="s">
        <v>414</v>
      </c>
    </row>
    <row r="77" spans="1:1" x14ac:dyDescent="0.25">
      <c r="A77" t="s">
        <v>415</v>
      </c>
    </row>
    <row r="78" spans="1:1" x14ac:dyDescent="0.25">
      <c r="A78" t="s">
        <v>416</v>
      </c>
    </row>
    <row r="79" spans="1:1" x14ac:dyDescent="0.25">
      <c r="A79" t="s">
        <v>417</v>
      </c>
    </row>
    <row r="80" spans="1:1" x14ac:dyDescent="0.25">
      <c r="A80" t="s">
        <v>418</v>
      </c>
    </row>
    <row r="81" spans="1:1" x14ac:dyDescent="0.25">
      <c r="A81" t="s">
        <v>419</v>
      </c>
    </row>
    <row r="82" spans="1:1" x14ac:dyDescent="0.25">
      <c r="A82" t="s">
        <v>420</v>
      </c>
    </row>
    <row r="83" spans="1:1" x14ac:dyDescent="0.25">
      <c r="A83" t="s">
        <v>421</v>
      </c>
    </row>
    <row r="84" spans="1:1" x14ac:dyDescent="0.25">
      <c r="A84" t="s">
        <v>422</v>
      </c>
    </row>
    <row r="85" spans="1:1" x14ac:dyDescent="0.25">
      <c r="A85" t="s">
        <v>423</v>
      </c>
    </row>
    <row r="86" spans="1:1" x14ac:dyDescent="0.25">
      <c r="A86" t="s">
        <v>424</v>
      </c>
    </row>
    <row r="87" spans="1:1" x14ac:dyDescent="0.25">
      <c r="A87" t="s">
        <v>425</v>
      </c>
    </row>
    <row r="88" spans="1:1" x14ac:dyDescent="0.25">
      <c r="A88" t="s">
        <v>426</v>
      </c>
    </row>
    <row r="89" spans="1:1" x14ac:dyDescent="0.25">
      <c r="A89" t="s">
        <v>427</v>
      </c>
    </row>
    <row r="90" spans="1:1" x14ac:dyDescent="0.25">
      <c r="A90" t="s">
        <v>428</v>
      </c>
    </row>
    <row r="91" spans="1:1" x14ac:dyDescent="0.25">
      <c r="A91" t="s">
        <v>429</v>
      </c>
    </row>
    <row r="92" spans="1:1" x14ac:dyDescent="0.25">
      <c r="A92" t="s">
        <v>430</v>
      </c>
    </row>
    <row r="93" spans="1:1" x14ac:dyDescent="0.25">
      <c r="A93" t="s">
        <v>431</v>
      </c>
    </row>
    <row r="94" spans="1:1" x14ac:dyDescent="0.25">
      <c r="A94" t="s">
        <v>432</v>
      </c>
    </row>
    <row r="95" spans="1:1" x14ac:dyDescent="0.25">
      <c r="A95" t="s">
        <v>433</v>
      </c>
    </row>
    <row r="96" spans="1:1" x14ac:dyDescent="0.25">
      <c r="A96" t="s">
        <v>434</v>
      </c>
    </row>
    <row r="97" spans="1:1" x14ac:dyDescent="0.25">
      <c r="A97" t="s">
        <v>435</v>
      </c>
    </row>
    <row r="98" spans="1:1" x14ac:dyDescent="0.25">
      <c r="A98" t="s">
        <v>436</v>
      </c>
    </row>
    <row r="99" spans="1:1" x14ac:dyDescent="0.25">
      <c r="A99" t="s">
        <v>437</v>
      </c>
    </row>
    <row r="100" spans="1:1" x14ac:dyDescent="0.25">
      <c r="A100" t="s">
        <v>438</v>
      </c>
    </row>
    <row r="101" spans="1:1" x14ac:dyDescent="0.25">
      <c r="A101" t="s">
        <v>439</v>
      </c>
    </row>
    <row r="102" spans="1:1" x14ac:dyDescent="0.25">
      <c r="A102" t="s">
        <v>440</v>
      </c>
    </row>
    <row r="103" spans="1:1" x14ac:dyDescent="0.25">
      <c r="A103" t="s">
        <v>441</v>
      </c>
    </row>
    <row r="104" spans="1:1" x14ac:dyDescent="0.25">
      <c r="A104" t="s">
        <v>442</v>
      </c>
    </row>
    <row r="105" spans="1:1" x14ac:dyDescent="0.25">
      <c r="A105" t="s">
        <v>443</v>
      </c>
    </row>
    <row r="106" spans="1:1" x14ac:dyDescent="0.25">
      <c r="A106" t="s">
        <v>444</v>
      </c>
    </row>
    <row r="107" spans="1:1" x14ac:dyDescent="0.25">
      <c r="A107" t="s">
        <v>445</v>
      </c>
    </row>
    <row r="108" spans="1:1" x14ac:dyDescent="0.25">
      <c r="A108" t="s">
        <v>446</v>
      </c>
    </row>
    <row r="109" spans="1:1" x14ac:dyDescent="0.25">
      <c r="A109" t="s">
        <v>447</v>
      </c>
    </row>
    <row r="110" spans="1:1" x14ac:dyDescent="0.25">
      <c r="A110" t="s">
        <v>448</v>
      </c>
    </row>
    <row r="111" spans="1:1" x14ac:dyDescent="0.25">
      <c r="A111" t="s">
        <v>449</v>
      </c>
    </row>
    <row r="112" spans="1:1" x14ac:dyDescent="0.25">
      <c r="A112" t="s">
        <v>450</v>
      </c>
    </row>
    <row r="113" spans="1:1" x14ac:dyDescent="0.25">
      <c r="A113" s="50" t="s">
        <v>451</v>
      </c>
    </row>
    <row r="114" spans="1:1" x14ac:dyDescent="0.25">
      <c r="A114" s="50" t="s">
        <v>452</v>
      </c>
    </row>
    <row r="115" spans="1:1" x14ac:dyDescent="0.25">
      <c r="A115" s="50" t="s">
        <v>453</v>
      </c>
    </row>
    <row r="116" spans="1:1" x14ac:dyDescent="0.25">
      <c r="A116" s="50" t="s">
        <v>454</v>
      </c>
    </row>
    <row r="117" spans="1:1" x14ac:dyDescent="0.25">
      <c r="A117" s="50" t="s">
        <v>455</v>
      </c>
    </row>
    <row r="118" spans="1:1" x14ac:dyDescent="0.25">
      <c r="A118" s="50" t="s">
        <v>456</v>
      </c>
    </row>
    <row r="119" spans="1:1" x14ac:dyDescent="0.25">
      <c r="A119" s="50" t="s">
        <v>457</v>
      </c>
    </row>
    <row r="120" spans="1:1" x14ac:dyDescent="0.25">
      <c r="A120" s="50" t="s">
        <v>458</v>
      </c>
    </row>
    <row r="121" spans="1:1" x14ac:dyDescent="0.25">
      <c r="A121" s="50" t="s">
        <v>459</v>
      </c>
    </row>
    <row r="122" spans="1:1" x14ac:dyDescent="0.25">
      <c r="A122" s="50" t="s">
        <v>460</v>
      </c>
    </row>
    <row r="123" spans="1:1" x14ac:dyDescent="0.25">
      <c r="A123" s="50" t="s">
        <v>461</v>
      </c>
    </row>
    <row r="124" spans="1:1" x14ac:dyDescent="0.25">
      <c r="A124" s="50" t="s">
        <v>462</v>
      </c>
    </row>
    <row r="125" spans="1:1" x14ac:dyDescent="0.25">
      <c r="A125" t="s">
        <v>316</v>
      </c>
    </row>
    <row r="126" spans="1:1" x14ac:dyDescent="0.25">
      <c r="A126" t="s">
        <v>317</v>
      </c>
    </row>
    <row r="127" spans="1:1" x14ac:dyDescent="0.25">
      <c r="A127" t="s">
        <v>318</v>
      </c>
    </row>
    <row r="128" spans="1:1" x14ac:dyDescent="0.25">
      <c r="A128" s="50" t="s">
        <v>319</v>
      </c>
    </row>
    <row r="129" spans="1:1" x14ac:dyDescent="0.25">
      <c r="A129" s="50" t="s">
        <v>320</v>
      </c>
    </row>
    <row r="130" spans="1:1" x14ac:dyDescent="0.25">
      <c r="A130" s="50" t="s">
        <v>321</v>
      </c>
    </row>
    <row r="131" spans="1:1" x14ac:dyDescent="0.25">
      <c r="A131" s="50" t="s">
        <v>322</v>
      </c>
    </row>
    <row r="132" spans="1:1" x14ac:dyDescent="0.25">
      <c r="A132" s="50" t="s">
        <v>323</v>
      </c>
    </row>
    <row r="133" spans="1:1" x14ac:dyDescent="0.25">
      <c r="A133" s="50" t="s">
        <v>324</v>
      </c>
    </row>
    <row r="134" spans="1:1" x14ac:dyDescent="0.25">
      <c r="A134" s="50" t="s">
        <v>325</v>
      </c>
    </row>
    <row r="135" spans="1:1" x14ac:dyDescent="0.25">
      <c r="A135" s="50" t="s">
        <v>326</v>
      </c>
    </row>
    <row r="136" spans="1:1" x14ac:dyDescent="0.25">
      <c r="A136" s="50" t="s">
        <v>327</v>
      </c>
    </row>
    <row r="137" spans="1:1" x14ac:dyDescent="0.25">
      <c r="A137" s="50" t="s">
        <v>328</v>
      </c>
    </row>
    <row r="138" spans="1:1" x14ac:dyDescent="0.25">
      <c r="A138" s="50" t="s">
        <v>329</v>
      </c>
    </row>
    <row r="139" spans="1:1" x14ac:dyDescent="0.25">
      <c r="A139" s="50" t="s">
        <v>330</v>
      </c>
    </row>
    <row r="140" spans="1:1" x14ac:dyDescent="0.25">
      <c r="A140" t="s">
        <v>331</v>
      </c>
    </row>
    <row r="141" spans="1:1" x14ac:dyDescent="0.25">
      <c r="A141" t="s">
        <v>463</v>
      </c>
    </row>
    <row r="142" spans="1:1" x14ac:dyDescent="0.25">
      <c r="A142" t="s">
        <v>464</v>
      </c>
    </row>
    <row r="143" spans="1:1" x14ac:dyDescent="0.25">
      <c r="A143" t="s">
        <v>332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5" x14ac:dyDescent="0.25"/>
  <cols>
    <col min="1" max="1" width="68.7109375" bestFit="1" customWidth="1"/>
    <col min="2" max="2" width="12.140625" bestFit="1" customWidth="1"/>
    <col min="3" max="3" width="44.42578125" customWidth="1"/>
    <col min="4" max="4" width="31" customWidth="1"/>
    <col min="5" max="5" width="22.140625" customWidth="1"/>
    <col min="6" max="6" width="165.140625" bestFit="1" customWidth="1"/>
    <col min="11" max="11" width="19" bestFit="1" customWidth="1"/>
  </cols>
  <sheetData>
    <row r="1" spans="1:12" x14ac:dyDescent="0.25">
      <c r="A1" s="39" t="s">
        <v>333</v>
      </c>
      <c r="B1" t="s">
        <v>334</v>
      </c>
      <c r="C1" t="s">
        <v>335</v>
      </c>
      <c r="D1" t="s">
        <v>336</v>
      </c>
      <c r="E1" t="s">
        <v>337</v>
      </c>
      <c r="F1" t="s">
        <v>338</v>
      </c>
    </row>
    <row r="2" spans="1:12" hidden="1" x14ac:dyDescent="0.25">
      <c r="A2" s="34" t="s">
        <v>339</v>
      </c>
      <c r="B2">
        <f>LEN(A2)</f>
        <v>35</v>
      </c>
      <c r="C2" t="s">
        <v>340</v>
      </c>
      <c r="D2" t="s">
        <v>110</v>
      </c>
      <c r="E2" t="s">
        <v>341</v>
      </c>
      <c r="K2" s="2" t="s">
        <v>342</v>
      </c>
      <c r="L2" s="2" t="s">
        <v>343</v>
      </c>
    </row>
    <row r="3" spans="1:12" hidden="1" x14ac:dyDescent="0.25">
      <c r="A3" s="34" t="s">
        <v>344</v>
      </c>
      <c r="B3">
        <f t="shared" ref="B3:B66" si="0">LEN(A3)</f>
        <v>35</v>
      </c>
      <c r="K3" t="s">
        <v>79</v>
      </c>
      <c r="L3">
        <f>LEN(K3)</f>
        <v>18</v>
      </c>
    </row>
    <row r="4" spans="1:12" hidden="1" x14ac:dyDescent="0.25">
      <c r="A4" s="34" t="s">
        <v>345</v>
      </c>
      <c r="B4">
        <f t="shared" si="0"/>
        <v>35</v>
      </c>
      <c r="K4" t="s">
        <v>95</v>
      </c>
      <c r="L4">
        <f t="shared" ref="L4:L10" si="1">LEN(K4)</f>
        <v>19</v>
      </c>
    </row>
    <row r="5" spans="1:12" hidden="1" x14ac:dyDescent="0.25">
      <c r="A5" s="34" t="s">
        <v>346</v>
      </c>
      <c r="B5">
        <f t="shared" si="0"/>
        <v>35</v>
      </c>
      <c r="K5" t="s">
        <v>100</v>
      </c>
      <c r="L5">
        <f t="shared" si="1"/>
        <v>18</v>
      </c>
    </row>
    <row r="6" spans="1:12" hidden="1" x14ac:dyDescent="0.25">
      <c r="A6" s="34" t="s">
        <v>347</v>
      </c>
      <c r="B6">
        <f t="shared" si="0"/>
        <v>35</v>
      </c>
      <c r="K6" t="s">
        <v>131</v>
      </c>
      <c r="L6">
        <f t="shared" si="1"/>
        <v>7</v>
      </c>
    </row>
    <row r="7" spans="1:12" hidden="1" x14ac:dyDescent="0.25">
      <c r="A7" s="34" t="s">
        <v>348</v>
      </c>
      <c r="B7">
        <f t="shared" si="0"/>
        <v>35</v>
      </c>
      <c r="K7" t="s">
        <v>144</v>
      </c>
      <c r="L7">
        <f t="shared" si="1"/>
        <v>20</v>
      </c>
    </row>
    <row r="8" spans="1:12" hidden="1" x14ac:dyDescent="0.25">
      <c r="A8" s="34" t="s">
        <v>349</v>
      </c>
      <c r="B8">
        <f t="shared" si="0"/>
        <v>35</v>
      </c>
      <c r="K8" t="s">
        <v>159</v>
      </c>
      <c r="L8">
        <f t="shared" si="1"/>
        <v>15</v>
      </c>
    </row>
    <row r="9" spans="1:12" hidden="1" x14ac:dyDescent="0.25">
      <c r="A9" s="34" t="s">
        <v>350</v>
      </c>
      <c r="B9">
        <f t="shared" si="0"/>
        <v>35</v>
      </c>
      <c r="K9" t="s">
        <v>189</v>
      </c>
      <c r="L9">
        <f t="shared" si="1"/>
        <v>11</v>
      </c>
    </row>
    <row r="10" spans="1:12" hidden="1" x14ac:dyDescent="0.25">
      <c r="A10" s="34" t="s">
        <v>351</v>
      </c>
      <c r="B10">
        <f t="shared" si="0"/>
        <v>35</v>
      </c>
      <c r="K10" t="s">
        <v>0</v>
      </c>
      <c r="L10">
        <f t="shared" si="1"/>
        <v>16</v>
      </c>
    </row>
    <row r="11" spans="1:12" hidden="1" x14ac:dyDescent="0.25">
      <c r="A11" s="34" t="s">
        <v>352</v>
      </c>
      <c r="B11">
        <f t="shared" si="0"/>
        <v>35</v>
      </c>
    </row>
    <row r="12" spans="1:12" hidden="1" x14ac:dyDescent="0.25">
      <c r="A12" s="34" t="s">
        <v>353</v>
      </c>
      <c r="B12">
        <f t="shared" si="0"/>
        <v>35</v>
      </c>
    </row>
    <row r="13" spans="1:12" hidden="1" x14ac:dyDescent="0.25">
      <c r="A13" s="34" t="s">
        <v>354</v>
      </c>
      <c r="B13">
        <f t="shared" si="0"/>
        <v>35</v>
      </c>
    </row>
    <row r="14" spans="1:12" hidden="1" x14ac:dyDescent="0.25">
      <c r="A14" s="34" t="s">
        <v>355</v>
      </c>
      <c r="B14">
        <f t="shared" si="0"/>
        <v>37</v>
      </c>
    </row>
    <row r="15" spans="1:12" hidden="1" x14ac:dyDescent="0.25">
      <c r="A15" s="34" t="s">
        <v>356</v>
      </c>
      <c r="B15">
        <f t="shared" si="0"/>
        <v>37</v>
      </c>
    </row>
    <row r="16" spans="1:12" hidden="1" x14ac:dyDescent="0.25">
      <c r="A16" s="34" t="s">
        <v>357</v>
      </c>
      <c r="B16">
        <f t="shared" si="0"/>
        <v>37</v>
      </c>
    </row>
    <row r="17" spans="1:2" hidden="1" x14ac:dyDescent="0.25">
      <c r="A17" s="34" t="s">
        <v>358</v>
      </c>
      <c r="B17">
        <f t="shared" si="0"/>
        <v>37</v>
      </c>
    </row>
    <row r="18" spans="1:2" hidden="1" x14ac:dyDescent="0.25">
      <c r="A18" s="34" t="s">
        <v>359</v>
      </c>
      <c r="B18">
        <f t="shared" si="0"/>
        <v>37</v>
      </c>
    </row>
    <row r="19" spans="1:2" hidden="1" x14ac:dyDescent="0.25">
      <c r="A19" s="34" t="s">
        <v>360</v>
      </c>
      <c r="B19">
        <f t="shared" si="0"/>
        <v>37</v>
      </c>
    </row>
    <row r="20" spans="1:2" hidden="1" x14ac:dyDescent="0.25">
      <c r="A20" s="34" t="s">
        <v>361</v>
      </c>
      <c r="B20">
        <f t="shared" si="0"/>
        <v>37</v>
      </c>
    </row>
    <row r="21" spans="1:2" hidden="1" x14ac:dyDescent="0.25">
      <c r="A21" s="34" t="s">
        <v>362</v>
      </c>
      <c r="B21">
        <f t="shared" si="0"/>
        <v>37</v>
      </c>
    </row>
    <row r="22" spans="1:2" hidden="1" x14ac:dyDescent="0.25">
      <c r="A22" s="34" t="s">
        <v>363</v>
      </c>
      <c r="B22">
        <f t="shared" si="0"/>
        <v>37</v>
      </c>
    </row>
    <row r="23" spans="1:2" hidden="1" x14ac:dyDescent="0.25">
      <c r="A23" s="34" t="s">
        <v>364</v>
      </c>
      <c r="B23">
        <f t="shared" si="0"/>
        <v>37</v>
      </c>
    </row>
    <row r="24" spans="1:2" hidden="1" x14ac:dyDescent="0.25">
      <c r="A24" s="34" t="s">
        <v>365</v>
      </c>
      <c r="B24">
        <f t="shared" si="0"/>
        <v>37</v>
      </c>
    </row>
    <row r="25" spans="1:2" hidden="1" x14ac:dyDescent="0.25">
      <c r="A25" s="34" t="s">
        <v>366</v>
      </c>
      <c r="B25">
        <f t="shared" si="0"/>
        <v>37</v>
      </c>
    </row>
    <row r="26" spans="1:2" hidden="1" x14ac:dyDescent="0.25">
      <c r="A26" s="34" t="s">
        <v>367</v>
      </c>
      <c r="B26">
        <f t="shared" si="0"/>
        <v>37</v>
      </c>
    </row>
    <row r="27" spans="1:2" hidden="1" x14ac:dyDescent="0.25">
      <c r="A27" s="34" t="s">
        <v>368</v>
      </c>
      <c r="B27">
        <f t="shared" si="0"/>
        <v>37</v>
      </c>
    </row>
    <row r="28" spans="1:2" hidden="1" x14ac:dyDescent="0.25">
      <c r="A28" s="34" t="s">
        <v>369</v>
      </c>
      <c r="B28">
        <f t="shared" si="0"/>
        <v>37</v>
      </c>
    </row>
    <row r="29" spans="1:2" hidden="1" x14ac:dyDescent="0.25">
      <c r="A29" s="34" t="s">
        <v>370</v>
      </c>
      <c r="B29">
        <f t="shared" si="0"/>
        <v>37</v>
      </c>
    </row>
    <row r="30" spans="1:2" hidden="1" x14ac:dyDescent="0.25">
      <c r="A30" s="34" t="s">
        <v>371</v>
      </c>
      <c r="B30">
        <f t="shared" si="0"/>
        <v>35</v>
      </c>
    </row>
    <row r="31" spans="1:2" hidden="1" x14ac:dyDescent="0.25">
      <c r="A31" s="34" t="s">
        <v>372</v>
      </c>
      <c r="B31">
        <f t="shared" si="0"/>
        <v>35</v>
      </c>
    </row>
    <row r="32" spans="1:2" hidden="1" x14ac:dyDescent="0.25">
      <c r="A32" s="34" t="s">
        <v>373</v>
      </c>
      <c r="B32">
        <f t="shared" si="0"/>
        <v>35</v>
      </c>
    </row>
    <row r="33" spans="1:2" hidden="1" x14ac:dyDescent="0.25">
      <c r="A33" s="34" t="s">
        <v>374</v>
      </c>
      <c r="B33">
        <f t="shared" si="0"/>
        <v>35</v>
      </c>
    </row>
    <row r="34" spans="1:2" hidden="1" x14ac:dyDescent="0.25">
      <c r="A34" s="34" t="s">
        <v>375</v>
      </c>
      <c r="B34">
        <f t="shared" si="0"/>
        <v>35</v>
      </c>
    </row>
    <row r="35" spans="1:2" hidden="1" x14ac:dyDescent="0.25">
      <c r="A35" s="34" t="s">
        <v>376</v>
      </c>
      <c r="B35">
        <f t="shared" si="0"/>
        <v>35</v>
      </c>
    </row>
    <row r="36" spans="1:2" hidden="1" x14ac:dyDescent="0.25">
      <c r="A36" s="34" t="s">
        <v>377</v>
      </c>
      <c r="B36">
        <f t="shared" si="0"/>
        <v>35</v>
      </c>
    </row>
    <row r="37" spans="1:2" hidden="1" x14ac:dyDescent="0.25">
      <c r="A37" s="34" t="s">
        <v>378</v>
      </c>
      <c r="B37">
        <f t="shared" si="0"/>
        <v>35</v>
      </c>
    </row>
    <row r="38" spans="1:2" hidden="1" x14ac:dyDescent="0.25">
      <c r="A38" s="34" t="s">
        <v>379</v>
      </c>
      <c r="B38">
        <f t="shared" si="0"/>
        <v>35</v>
      </c>
    </row>
    <row r="39" spans="1:2" hidden="1" x14ac:dyDescent="0.25">
      <c r="A39" s="34" t="s">
        <v>380</v>
      </c>
      <c r="B39">
        <f t="shared" si="0"/>
        <v>35</v>
      </c>
    </row>
    <row r="40" spans="1:2" hidden="1" x14ac:dyDescent="0.25">
      <c r="A40" s="34" t="s">
        <v>381</v>
      </c>
      <c r="B40">
        <f t="shared" si="0"/>
        <v>35</v>
      </c>
    </row>
    <row r="41" spans="1:2" hidden="1" x14ac:dyDescent="0.25">
      <c r="A41" s="34" t="s">
        <v>382</v>
      </c>
      <c r="B41">
        <f t="shared" si="0"/>
        <v>35</v>
      </c>
    </row>
    <row r="42" spans="1:2" hidden="1" x14ac:dyDescent="0.25">
      <c r="A42" s="34" t="s">
        <v>383</v>
      </c>
      <c r="B42">
        <f t="shared" si="0"/>
        <v>35</v>
      </c>
    </row>
    <row r="43" spans="1:2" hidden="1" x14ac:dyDescent="0.25">
      <c r="A43" s="34" t="s">
        <v>384</v>
      </c>
      <c r="B43">
        <f t="shared" si="0"/>
        <v>35</v>
      </c>
    </row>
    <row r="44" spans="1:2" hidden="1" x14ac:dyDescent="0.25">
      <c r="A44" s="34" t="s">
        <v>385</v>
      </c>
      <c r="B44">
        <f t="shared" si="0"/>
        <v>35</v>
      </c>
    </row>
    <row r="45" spans="1:2" hidden="1" x14ac:dyDescent="0.25">
      <c r="A45" s="34" t="s">
        <v>386</v>
      </c>
      <c r="B45">
        <f t="shared" si="0"/>
        <v>35</v>
      </c>
    </row>
    <row r="46" spans="1:2" hidden="1" x14ac:dyDescent="0.25">
      <c r="A46" s="34" t="s">
        <v>387</v>
      </c>
      <c r="B46">
        <f t="shared" si="0"/>
        <v>39</v>
      </c>
    </row>
    <row r="47" spans="1:2" hidden="1" x14ac:dyDescent="0.25">
      <c r="A47" s="34" t="s">
        <v>388</v>
      </c>
      <c r="B47">
        <f t="shared" si="0"/>
        <v>39</v>
      </c>
    </row>
    <row r="48" spans="1:2" hidden="1" x14ac:dyDescent="0.25">
      <c r="A48" s="34" t="s">
        <v>389</v>
      </c>
      <c r="B48">
        <f t="shared" si="0"/>
        <v>39</v>
      </c>
    </row>
    <row r="49" spans="1:6" hidden="1" x14ac:dyDescent="0.25">
      <c r="A49" s="34" t="s">
        <v>390</v>
      </c>
      <c r="B49">
        <f t="shared" si="0"/>
        <v>39</v>
      </c>
    </row>
    <row r="50" spans="1:6" hidden="1" x14ac:dyDescent="0.25">
      <c r="A50" s="34" t="s">
        <v>391</v>
      </c>
      <c r="B50">
        <f t="shared" si="0"/>
        <v>41</v>
      </c>
    </row>
    <row r="51" spans="1:6" hidden="1" x14ac:dyDescent="0.25">
      <c r="A51" s="34" t="s">
        <v>392</v>
      </c>
      <c r="B51">
        <f t="shared" si="0"/>
        <v>41</v>
      </c>
    </row>
    <row r="52" spans="1:6" hidden="1" x14ac:dyDescent="0.25">
      <c r="A52" s="34" t="s">
        <v>393</v>
      </c>
      <c r="B52">
        <f t="shared" si="0"/>
        <v>41</v>
      </c>
    </row>
    <row r="53" spans="1:6" hidden="1" x14ac:dyDescent="0.25">
      <c r="A53" s="34" t="s">
        <v>394</v>
      </c>
      <c r="B53">
        <f t="shared" si="0"/>
        <v>41</v>
      </c>
    </row>
    <row r="54" spans="1:6" hidden="1" x14ac:dyDescent="0.25">
      <c r="A54" s="34" t="s">
        <v>395</v>
      </c>
      <c r="B54">
        <f t="shared" si="0"/>
        <v>42</v>
      </c>
    </row>
    <row r="55" spans="1:6" hidden="1" x14ac:dyDescent="0.25">
      <c r="A55" s="34" t="s">
        <v>396</v>
      </c>
      <c r="B55">
        <f t="shared" si="0"/>
        <v>42</v>
      </c>
    </row>
    <row r="56" spans="1:6" x14ac:dyDescent="0.25">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x14ac:dyDescent="0.25">
      <c r="A57" s="34" t="s">
        <v>398</v>
      </c>
      <c r="B57">
        <f t="shared" ref="B57:B59" si="2">LEN(F57)</f>
        <v>158</v>
      </c>
      <c r="C57" t="s">
        <v>340</v>
      </c>
      <c r="D57" t="s">
        <v>110</v>
      </c>
      <c r="E57" t="s">
        <v>341</v>
      </c>
      <c r="F57" t="str">
        <f t="shared" ref="F57:F59" si="3">C57&amp;"\"&amp;A57&amp;"\"&amp;D57&amp;"\"&amp;E57</f>
        <v>analysis\SFm_Ductless_Heat_Pump_Ex\runs\CZ01\SFm&amp;2&amp;rDXHP&amp;Ex&amp;dxHP_equip__spltHP-SEER-BA&amp;dxAC_equip__RoomAC\Std-RE-HV-RoomAC-9.8E-ERheat\instance-parameters.csv</v>
      </c>
    </row>
    <row r="58" spans="1:6" x14ac:dyDescent="0.25">
      <c r="A58" s="34" t="s">
        <v>399</v>
      </c>
      <c r="B58">
        <f t="shared" si="2"/>
        <v>158</v>
      </c>
      <c r="C58" t="s">
        <v>340</v>
      </c>
      <c r="D58" t="s">
        <v>110</v>
      </c>
      <c r="E58" t="s">
        <v>341</v>
      </c>
      <c r="F58" t="str">
        <f t="shared" si="3"/>
        <v>analysis\SFm_Ductless_Heat_Pump_Ex\runs\CZ01\DMo&amp;0&amp;rDXHP&amp;Ex&amp;dxHP_equip__spltHP-SEER-BA&amp;dxAC_equip__RoomAC\Std-RE-HV-RoomAC-9.8E-ERheat\instance-parameters.csv</v>
      </c>
    </row>
    <row r="59" spans="1:6" x14ac:dyDescent="0.25">
      <c r="A59" s="34" t="s">
        <v>400</v>
      </c>
      <c r="B59">
        <f t="shared" si="2"/>
        <v>158</v>
      </c>
      <c r="C59" t="s">
        <v>340</v>
      </c>
      <c r="D59" t="s">
        <v>110</v>
      </c>
      <c r="E59" t="s">
        <v>341</v>
      </c>
      <c r="F59" t="str">
        <f t="shared" si="3"/>
        <v>analysis\SFm_Ductless_Heat_Pump_Ex\runs\CZ01\MFm&amp;0&amp;rDXHP&amp;Ex&amp;dxHP_equip__spltHP-SEER-BA&amp;dxAC_equip__RoomAC\Std-RE-HV-RoomAC-9.8E-ERheat\instance-parameters.csv</v>
      </c>
    </row>
    <row r="60" spans="1:6" hidden="1" x14ac:dyDescent="0.25">
      <c r="A60" s="34" t="s">
        <v>401</v>
      </c>
      <c r="B60">
        <f t="shared" si="0"/>
        <v>38</v>
      </c>
    </row>
    <row r="61" spans="1:6" hidden="1" x14ac:dyDescent="0.25">
      <c r="A61" s="34" t="s">
        <v>402</v>
      </c>
      <c r="B61">
        <f t="shared" si="0"/>
        <v>38</v>
      </c>
    </row>
    <row r="62" spans="1:6" hidden="1" x14ac:dyDescent="0.25">
      <c r="A62" s="34" t="s">
        <v>403</v>
      </c>
      <c r="B62">
        <f t="shared" si="0"/>
        <v>38</v>
      </c>
    </row>
    <row r="63" spans="1:6" hidden="1" x14ac:dyDescent="0.25">
      <c r="A63" s="34" t="s">
        <v>404</v>
      </c>
      <c r="B63">
        <f t="shared" si="0"/>
        <v>38</v>
      </c>
    </row>
    <row r="64" spans="1:6" hidden="1" x14ac:dyDescent="0.25">
      <c r="A64" s="34" t="s">
        <v>405</v>
      </c>
      <c r="B64">
        <f t="shared" si="0"/>
        <v>38</v>
      </c>
    </row>
    <row r="65" spans="1:2" hidden="1" x14ac:dyDescent="0.25">
      <c r="A65" s="34" t="s">
        <v>406</v>
      </c>
      <c r="B65">
        <f t="shared" si="0"/>
        <v>38</v>
      </c>
    </row>
    <row r="66" spans="1:2" hidden="1" x14ac:dyDescent="0.25">
      <c r="A66" s="34" t="s">
        <v>407</v>
      </c>
      <c r="B66">
        <f t="shared" si="0"/>
        <v>38</v>
      </c>
    </row>
    <row r="67" spans="1:2" hidden="1" x14ac:dyDescent="0.25">
      <c r="A67" s="34" t="s">
        <v>408</v>
      </c>
      <c r="B67">
        <f t="shared" ref="B67:B130" si="4">LEN(A67)</f>
        <v>38</v>
      </c>
    </row>
    <row r="68" spans="1:2" hidden="1" x14ac:dyDescent="0.25">
      <c r="A68" s="34" t="s">
        <v>409</v>
      </c>
      <c r="B68">
        <f t="shared" si="4"/>
        <v>39</v>
      </c>
    </row>
    <row r="69" spans="1:2" hidden="1" x14ac:dyDescent="0.25">
      <c r="A69" s="34" t="s">
        <v>410</v>
      </c>
      <c r="B69">
        <f t="shared" si="4"/>
        <v>39</v>
      </c>
    </row>
    <row r="70" spans="1:2" hidden="1" x14ac:dyDescent="0.25">
      <c r="A70" s="34" t="s">
        <v>411</v>
      </c>
      <c r="B70">
        <f t="shared" si="4"/>
        <v>39</v>
      </c>
    </row>
    <row r="71" spans="1:2" hidden="1" x14ac:dyDescent="0.25">
      <c r="A71" s="34" t="s">
        <v>412</v>
      </c>
      <c r="B71">
        <f t="shared" si="4"/>
        <v>39</v>
      </c>
    </row>
    <row r="72" spans="1:2" hidden="1" x14ac:dyDescent="0.25">
      <c r="A72" s="34" t="s">
        <v>413</v>
      </c>
      <c r="B72">
        <f t="shared" si="4"/>
        <v>39</v>
      </c>
    </row>
    <row r="73" spans="1:2" hidden="1" x14ac:dyDescent="0.25">
      <c r="A73" s="34" t="s">
        <v>414</v>
      </c>
      <c r="B73">
        <f t="shared" si="4"/>
        <v>39</v>
      </c>
    </row>
    <row r="74" spans="1:2" hidden="1" x14ac:dyDescent="0.25">
      <c r="A74" s="34" t="s">
        <v>415</v>
      </c>
      <c r="B74">
        <f t="shared" si="4"/>
        <v>39</v>
      </c>
    </row>
    <row r="75" spans="1:2" hidden="1" x14ac:dyDescent="0.25">
      <c r="A75" s="34" t="s">
        <v>416</v>
      </c>
      <c r="B75">
        <f t="shared" si="4"/>
        <v>39</v>
      </c>
    </row>
    <row r="76" spans="1:2" hidden="1" x14ac:dyDescent="0.25">
      <c r="A76" s="34" t="s">
        <v>417</v>
      </c>
      <c r="B76">
        <f t="shared" si="4"/>
        <v>37</v>
      </c>
    </row>
    <row r="77" spans="1:2" hidden="1" x14ac:dyDescent="0.25">
      <c r="A77" s="34" t="s">
        <v>418</v>
      </c>
      <c r="B77">
        <f t="shared" si="4"/>
        <v>37</v>
      </c>
    </row>
    <row r="78" spans="1:2" hidden="1" x14ac:dyDescent="0.25">
      <c r="A78" s="34" t="s">
        <v>419</v>
      </c>
      <c r="B78">
        <f t="shared" si="4"/>
        <v>37</v>
      </c>
    </row>
    <row r="79" spans="1:2" hidden="1" x14ac:dyDescent="0.25">
      <c r="A79" s="34" t="s">
        <v>420</v>
      </c>
      <c r="B79">
        <f t="shared" si="4"/>
        <v>37</v>
      </c>
    </row>
    <row r="80" spans="1:2" hidden="1" x14ac:dyDescent="0.25">
      <c r="A80" s="34" t="s">
        <v>421</v>
      </c>
      <c r="B80">
        <f t="shared" si="4"/>
        <v>38</v>
      </c>
    </row>
    <row r="81" spans="1:2" hidden="1" x14ac:dyDescent="0.25">
      <c r="A81" s="34" t="s">
        <v>422</v>
      </c>
      <c r="B81">
        <f t="shared" si="4"/>
        <v>38</v>
      </c>
    </row>
    <row r="82" spans="1:2" hidden="1" x14ac:dyDescent="0.25">
      <c r="A82" s="34" t="s">
        <v>423</v>
      </c>
      <c r="B82">
        <f t="shared" si="4"/>
        <v>38</v>
      </c>
    </row>
    <row r="83" spans="1:2" hidden="1" x14ac:dyDescent="0.25">
      <c r="A83" s="34" t="s">
        <v>424</v>
      </c>
      <c r="B83">
        <f t="shared" si="4"/>
        <v>38</v>
      </c>
    </row>
    <row r="84" spans="1:2" hidden="1" x14ac:dyDescent="0.25">
      <c r="A84" s="34" t="s">
        <v>425</v>
      </c>
      <c r="B84">
        <f t="shared" si="4"/>
        <v>37</v>
      </c>
    </row>
    <row r="85" spans="1:2" hidden="1" x14ac:dyDescent="0.25">
      <c r="A85" s="34" t="s">
        <v>426</v>
      </c>
      <c r="B85">
        <f t="shared" si="4"/>
        <v>37</v>
      </c>
    </row>
    <row r="86" spans="1:2" hidden="1" x14ac:dyDescent="0.25">
      <c r="A86" s="34" t="s">
        <v>427</v>
      </c>
      <c r="B86">
        <f t="shared" si="4"/>
        <v>37</v>
      </c>
    </row>
    <row r="87" spans="1:2" hidden="1" x14ac:dyDescent="0.25">
      <c r="A87" s="34" t="s">
        <v>428</v>
      </c>
      <c r="B87">
        <f t="shared" si="4"/>
        <v>37</v>
      </c>
    </row>
    <row r="88" spans="1:2" hidden="1" x14ac:dyDescent="0.25">
      <c r="A88" s="34" t="s">
        <v>429</v>
      </c>
      <c r="B88">
        <f t="shared" si="4"/>
        <v>38</v>
      </c>
    </row>
    <row r="89" spans="1:2" hidden="1" x14ac:dyDescent="0.25">
      <c r="A89" s="34" t="s">
        <v>430</v>
      </c>
      <c r="B89">
        <f t="shared" si="4"/>
        <v>38</v>
      </c>
    </row>
    <row r="90" spans="1:2" hidden="1" x14ac:dyDescent="0.25">
      <c r="A90" s="34" t="s">
        <v>431</v>
      </c>
      <c r="B90">
        <f t="shared" si="4"/>
        <v>38</v>
      </c>
    </row>
    <row r="91" spans="1:2" hidden="1" x14ac:dyDescent="0.25">
      <c r="A91" s="34" t="s">
        <v>432</v>
      </c>
      <c r="B91">
        <f t="shared" si="4"/>
        <v>38</v>
      </c>
    </row>
    <row r="92" spans="1:2" hidden="1" x14ac:dyDescent="0.25">
      <c r="A92" s="34" t="s">
        <v>433</v>
      </c>
      <c r="B92">
        <f t="shared" si="4"/>
        <v>37</v>
      </c>
    </row>
    <row r="93" spans="1:2" hidden="1" x14ac:dyDescent="0.25">
      <c r="A93" s="34" t="s">
        <v>434</v>
      </c>
      <c r="B93">
        <f t="shared" si="4"/>
        <v>37</v>
      </c>
    </row>
    <row r="94" spans="1:2" hidden="1" x14ac:dyDescent="0.25">
      <c r="A94" s="34" t="s">
        <v>435</v>
      </c>
      <c r="B94">
        <f t="shared" si="4"/>
        <v>37</v>
      </c>
    </row>
    <row r="95" spans="1:2" hidden="1" x14ac:dyDescent="0.25">
      <c r="A95" s="34" t="s">
        <v>436</v>
      </c>
      <c r="B95">
        <f t="shared" si="4"/>
        <v>37</v>
      </c>
    </row>
    <row r="96" spans="1:2" hidden="1" x14ac:dyDescent="0.25">
      <c r="A96" s="34" t="s">
        <v>437</v>
      </c>
      <c r="B96">
        <f t="shared" si="4"/>
        <v>38</v>
      </c>
    </row>
    <row r="97" spans="1:2" hidden="1" x14ac:dyDescent="0.25">
      <c r="A97" s="34" t="s">
        <v>438</v>
      </c>
      <c r="B97">
        <f t="shared" si="4"/>
        <v>38</v>
      </c>
    </row>
    <row r="98" spans="1:2" hidden="1" x14ac:dyDescent="0.25">
      <c r="A98" s="34" t="s">
        <v>439</v>
      </c>
      <c r="B98">
        <f t="shared" si="4"/>
        <v>38</v>
      </c>
    </row>
    <row r="99" spans="1:2" hidden="1" x14ac:dyDescent="0.25">
      <c r="A99" s="34" t="s">
        <v>440</v>
      </c>
      <c r="B99">
        <f t="shared" si="4"/>
        <v>38</v>
      </c>
    </row>
    <row r="100" spans="1:2" hidden="1" x14ac:dyDescent="0.25">
      <c r="A100" s="34" t="s">
        <v>441</v>
      </c>
      <c r="B100">
        <f t="shared" si="4"/>
        <v>37</v>
      </c>
    </row>
    <row r="101" spans="1:2" hidden="1" x14ac:dyDescent="0.25">
      <c r="A101" s="34" t="s">
        <v>442</v>
      </c>
      <c r="B101">
        <f t="shared" si="4"/>
        <v>37</v>
      </c>
    </row>
    <row r="102" spans="1:2" hidden="1" x14ac:dyDescent="0.25">
      <c r="A102" s="34" t="s">
        <v>443</v>
      </c>
      <c r="B102">
        <f t="shared" si="4"/>
        <v>37</v>
      </c>
    </row>
    <row r="103" spans="1:2" hidden="1" x14ac:dyDescent="0.25">
      <c r="A103" s="34" t="s">
        <v>444</v>
      </c>
      <c r="B103">
        <f t="shared" si="4"/>
        <v>37</v>
      </c>
    </row>
    <row r="104" spans="1:2" hidden="1" x14ac:dyDescent="0.25">
      <c r="A104" s="34" t="s">
        <v>445</v>
      </c>
      <c r="B104">
        <f t="shared" si="4"/>
        <v>38</v>
      </c>
    </row>
    <row r="105" spans="1:2" hidden="1" x14ac:dyDescent="0.25">
      <c r="A105" s="34" t="s">
        <v>446</v>
      </c>
      <c r="B105">
        <f t="shared" si="4"/>
        <v>38</v>
      </c>
    </row>
    <row r="106" spans="1:2" hidden="1" x14ac:dyDescent="0.25">
      <c r="A106" s="34" t="s">
        <v>447</v>
      </c>
      <c r="B106">
        <f t="shared" si="4"/>
        <v>38</v>
      </c>
    </row>
    <row r="107" spans="1:2" hidden="1" x14ac:dyDescent="0.25">
      <c r="A107" s="34" t="s">
        <v>448</v>
      </c>
      <c r="B107">
        <f t="shared" si="4"/>
        <v>38</v>
      </c>
    </row>
    <row r="108" spans="1:2" hidden="1" x14ac:dyDescent="0.25">
      <c r="A108" s="34" t="s">
        <v>449</v>
      </c>
      <c r="B108">
        <f t="shared" si="4"/>
        <v>29</v>
      </c>
    </row>
    <row r="109" spans="1:2" hidden="1" x14ac:dyDescent="0.25">
      <c r="A109" s="34" t="s">
        <v>450</v>
      </c>
      <c r="B109">
        <f t="shared" si="4"/>
        <v>29</v>
      </c>
    </row>
    <row r="110" spans="1:2" hidden="1" x14ac:dyDescent="0.25">
      <c r="A110" s="34" t="s">
        <v>451</v>
      </c>
      <c r="B110">
        <f t="shared" si="4"/>
        <v>34</v>
      </c>
    </row>
    <row r="111" spans="1:2" hidden="1" x14ac:dyDescent="0.25">
      <c r="A111" s="34" t="s">
        <v>452</v>
      </c>
      <c r="B111">
        <f t="shared" si="4"/>
        <v>34</v>
      </c>
    </row>
    <row r="112" spans="1:2" hidden="1" x14ac:dyDescent="0.25">
      <c r="A112" s="34" t="s">
        <v>453</v>
      </c>
      <c r="B112">
        <f t="shared" si="4"/>
        <v>34</v>
      </c>
    </row>
    <row r="113" spans="1:2" hidden="1" x14ac:dyDescent="0.25">
      <c r="A113" s="34" t="s">
        <v>454</v>
      </c>
      <c r="B113">
        <f t="shared" si="4"/>
        <v>35</v>
      </c>
    </row>
    <row r="114" spans="1:2" hidden="1" x14ac:dyDescent="0.25">
      <c r="A114" s="34" t="s">
        <v>455</v>
      </c>
      <c r="B114">
        <f t="shared" si="4"/>
        <v>35</v>
      </c>
    </row>
    <row r="115" spans="1:2" hidden="1" x14ac:dyDescent="0.25">
      <c r="A115" s="34" t="s">
        <v>456</v>
      </c>
      <c r="B115">
        <f t="shared" si="4"/>
        <v>35</v>
      </c>
    </row>
    <row r="116" spans="1:2" hidden="1" x14ac:dyDescent="0.25">
      <c r="A116" s="34" t="s">
        <v>457</v>
      </c>
      <c r="B116">
        <f t="shared" si="4"/>
        <v>34</v>
      </c>
    </row>
    <row r="117" spans="1:2" hidden="1" x14ac:dyDescent="0.25">
      <c r="A117" s="34" t="s">
        <v>458</v>
      </c>
      <c r="B117">
        <f t="shared" si="4"/>
        <v>34</v>
      </c>
    </row>
    <row r="118" spans="1:2" hidden="1" x14ac:dyDescent="0.25">
      <c r="A118" s="34" t="s">
        <v>459</v>
      </c>
      <c r="B118">
        <f t="shared" si="4"/>
        <v>34</v>
      </c>
    </row>
    <row r="119" spans="1:2" hidden="1" x14ac:dyDescent="0.25">
      <c r="A119" s="34" t="s">
        <v>460</v>
      </c>
      <c r="B119">
        <f t="shared" si="4"/>
        <v>35</v>
      </c>
    </row>
    <row r="120" spans="1:2" hidden="1" x14ac:dyDescent="0.25">
      <c r="A120" s="34" t="s">
        <v>461</v>
      </c>
      <c r="B120">
        <f t="shared" si="4"/>
        <v>35</v>
      </c>
    </row>
    <row r="121" spans="1:2" hidden="1" x14ac:dyDescent="0.25">
      <c r="A121" s="34" t="s">
        <v>462</v>
      </c>
      <c r="B121">
        <f t="shared" si="4"/>
        <v>35</v>
      </c>
    </row>
    <row r="122" spans="1:2" hidden="1" x14ac:dyDescent="0.25">
      <c r="A122" s="34" t="s">
        <v>316</v>
      </c>
      <c r="B122">
        <f t="shared" si="4"/>
        <v>25</v>
      </c>
    </row>
    <row r="123" spans="1:2" hidden="1" x14ac:dyDescent="0.25">
      <c r="A123" s="34" t="s">
        <v>317</v>
      </c>
      <c r="B123">
        <f t="shared" si="4"/>
        <v>25</v>
      </c>
    </row>
    <row r="124" spans="1:2" hidden="1" x14ac:dyDescent="0.25">
      <c r="A124" s="34" t="s">
        <v>318</v>
      </c>
      <c r="B124">
        <f t="shared" si="4"/>
        <v>25</v>
      </c>
    </row>
    <row r="125" spans="1:2" hidden="1" x14ac:dyDescent="0.25">
      <c r="A125" s="34" t="s">
        <v>319</v>
      </c>
      <c r="B125">
        <f t="shared" si="4"/>
        <v>25</v>
      </c>
    </row>
    <row r="126" spans="1:2" hidden="1" x14ac:dyDescent="0.25">
      <c r="A126" s="34" t="s">
        <v>320</v>
      </c>
      <c r="B126">
        <f t="shared" si="4"/>
        <v>26</v>
      </c>
    </row>
    <row r="127" spans="1:2" hidden="1" x14ac:dyDescent="0.25">
      <c r="A127" s="34" t="s">
        <v>321</v>
      </c>
      <c r="B127">
        <f t="shared" si="4"/>
        <v>26</v>
      </c>
    </row>
    <row r="128" spans="1:2" hidden="1" x14ac:dyDescent="0.25">
      <c r="A128" s="34" t="s">
        <v>322</v>
      </c>
      <c r="B128">
        <f t="shared" si="4"/>
        <v>26</v>
      </c>
    </row>
    <row r="129" spans="1:2" hidden="1" x14ac:dyDescent="0.25">
      <c r="A129" s="34" t="s">
        <v>323</v>
      </c>
      <c r="B129">
        <f t="shared" si="4"/>
        <v>26</v>
      </c>
    </row>
    <row r="130" spans="1:2" hidden="1" x14ac:dyDescent="0.25">
      <c r="A130" s="34" t="s">
        <v>324</v>
      </c>
      <c r="B130">
        <f t="shared" si="4"/>
        <v>25</v>
      </c>
    </row>
    <row r="131" spans="1:2" hidden="1" x14ac:dyDescent="0.25">
      <c r="A131" s="34" t="s">
        <v>325</v>
      </c>
      <c r="B131">
        <f t="shared" ref="B131:B139" si="5">LEN(A131)</f>
        <v>25</v>
      </c>
    </row>
    <row r="132" spans="1:2" hidden="1" x14ac:dyDescent="0.25">
      <c r="A132" s="34" t="s">
        <v>326</v>
      </c>
      <c r="B132">
        <f t="shared" si="5"/>
        <v>25</v>
      </c>
    </row>
    <row r="133" spans="1:2" hidden="1" x14ac:dyDescent="0.25">
      <c r="A133" s="34" t="s">
        <v>327</v>
      </c>
      <c r="B133">
        <f t="shared" si="5"/>
        <v>25</v>
      </c>
    </row>
    <row r="134" spans="1:2" hidden="1" x14ac:dyDescent="0.25">
      <c r="A134" s="34" t="s">
        <v>328</v>
      </c>
      <c r="B134">
        <f t="shared" si="5"/>
        <v>26</v>
      </c>
    </row>
    <row r="135" spans="1:2" hidden="1" x14ac:dyDescent="0.25">
      <c r="A135" s="34" t="s">
        <v>329</v>
      </c>
      <c r="B135">
        <f t="shared" si="5"/>
        <v>26</v>
      </c>
    </row>
    <row r="136" spans="1:2" hidden="1" x14ac:dyDescent="0.25">
      <c r="A136" s="34" t="s">
        <v>330</v>
      </c>
      <c r="B136">
        <f t="shared" si="5"/>
        <v>26</v>
      </c>
    </row>
    <row r="137" spans="1:2" hidden="1" x14ac:dyDescent="0.25">
      <c r="A137" s="34" t="s">
        <v>331</v>
      </c>
      <c r="B137">
        <f t="shared" si="5"/>
        <v>26</v>
      </c>
    </row>
    <row r="138" spans="1:2" hidden="1" x14ac:dyDescent="0.25">
      <c r="A138" s="34" t="s">
        <v>463</v>
      </c>
      <c r="B138">
        <f t="shared" si="5"/>
        <v>42</v>
      </c>
    </row>
    <row r="139" spans="1:2" hidden="1" x14ac:dyDescent="0.25">
      <c r="A139" s="34" t="s">
        <v>464</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5" x14ac:dyDescent="0.25"/>
  <sheetData>
    <row r="1" spans="1:1" x14ac:dyDescent="0.25">
      <c r="A1" t="s">
        <v>465</v>
      </c>
    </row>
    <row r="2" spans="1:1" x14ac:dyDescent="0.25">
      <c r="A2" t="s">
        <v>466</v>
      </c>
    </row>
    <row r="3" spans="1:1" x14ac:dyDescent="0.25">
      <c r="A3" t="s">
        <v>467</v>
      </c>
    </row>
    <row r="6" spans="1:1" x14ac:dyDescent="0.25">
      <c r="A6" t="s">
        <v>45</v>
      </c>
    </row>
    <row r="7" spans="1:1" x14ac:dyDescent="0.25">
      <c r="A7" t="s">
        <v>131</v>
      </c>
    </row>
    <row r="8" spans="1:1" x14ac:dyDescent="0.25">
      <c r="A8" t="s">
        <v>468</v>
      </c>
    </row>
    <row r="9" spans="1:1" x14ac:dyDescent="0.2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5" x14ac:dyDescent="0.25"/>
  <cols>
    <col min="1" max="1" width="52.7109375" customWidth="1"/>
    <col min="2" max="2" width="36.140625" customWidth="1"/>
  </cols>
  <sheetData>
    <row r="3" spans="1:1" x14ac:dyDescent="0.25">
      <c r="A3" t="s">
        <v>469</v>
      </c>
    </row>
    <row r="5" spans="1:1" x14ac:dyDescent="0.25">
      <c r="A5" t="s">
        <v>470</v>
      </c>
    </row>
    <row r="7" spans="1:1" x14ac:dyDescent="0.25">
      <c r="A7" t="s">
        <v>471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5" x14ac:dyDescent="0.25"/>
  <cols>
    <col min="1" max="1" width="12.5703125" style="1" customWidth="1"/>
    <col min="2" max="2" width="30.85546875" bestFit="1" customWidth="1"/>
  </cols>
  <sheetData>
    <row r="1" spans="1:2" x14ac:dyDescent="0.25">
      <c r="A1" s="17" t="s">
        <v>472</v>
      </c>
      <c r="B1" s="2" t="s">
        <v>473</v>
      </c>
    </row>
    <row r="2" spans="1:2" hidden="1" x14ac:dyDescent="0.25">
      <c r="A2" s="1">
        <v>234</v>
      </c>
      <c r="B2" t="str" cm="1">
        <f t="array" ref="B2">IFERROR(SUBSTITUTE(INDEX(TechType[[#All],[TechTypeID]],$A2),":","__"),"")</f>
        <v/>
      </c>
    </row>
    <row r="3" spans="1:2" hidden="1" x14ac:dyDescent="0.25">
      <c r="A3" s="1">
        <v>235</v>
      </c>
      <c r="B3" t="str" cm="1">
        <f t="array" ref="B3">IFERROR(SUBSTITUTE(INDEX(TechType[[#All],[TechTypeID]],$A3),":","__"),"")</f>
        <v/>
      </c>
    </row>
    <row r="4" spans="1:2" hidden="1" x14ac:dyDescent="0.25">
      <c r="A4" s="1">
        <v>236</v>
      </c>
      <c r="B4" t="str" cm="1">
        <f t="array" ref="B4">IFERROR(SUBSTITUTE(INDEX(TechType[[#All],[TechTypeID]],$A4),":","__"),"")</f>
        <v/>
      </c>
    </row>
    <row r="5" spans="1:2" hidden="1" x14ac:dyDescent="0.25">
      <c r="A5" s="1">
        <v>237</v>
      </c>
      <c r="B5" t="str" cm="1">
        <f t="array" ref="B5">IFERROR(SUBSTITUTE(INDEX(TechType[[#All],[TechTypeID]],$A5),":","__"),"")</f>
        <v/>
      </c>
    </row>
    <row r="6" spans="1:2" hidden="1" x14ac:dyDescent="0.25">
      <c r="A6" s="1">
        <v>238</v>
      </c>
      <c r="B6" t="str" cm="1">
        <f t="array" ref="B6">IFERROR(SUBSTITUTE(INDEX(TechType[[#All],[TechTypeID]],$A6),":","__"),"")</f>
        <v/>
      </c>
    </row>
    <row r="7" spans="1:2" hidden="1" x14ac:dyDescent="0.25">
      <c r="A7" s="1">
        <v>239</v>
      </c>
      <c r="B7" t="str" cm="1">
        <f t="array" ref="B7">IFERROR(SUBSTITUTE(INDEX(TechType[[#All],[TechTypeID]],$A7),":","__"),"")</f>
        <v/>
      </c>
    </row>
    <row r="8" spans="1:2" hidden="1" x14ac:dyDescent="0.25">
      <c r="A8" s="1">
        <v>240</v>
      </c>
      <c r="B8" t="str" cm="1">
        <f t="array" ref="B8">IFERROR(SUBSTITUTE(INDEX(TechType[[#All],[TechTypeID]],$A8),":","__"),"")</f>
        <v/>
      </c>
    </row>
    <row r="9" spans="1:2" hidden="1" x14ac:dyDescent="0.25">
      <c r="A9" s="1">
        <v>241</v>
      </c>
      <c r="B9" t="str" cm="1">
        <f t="array" ref="B9">IFERROR(SUBSTITUTE(INDEX(TechType[[#All],[TechTypeID]],$A9),":","__"),"")</f>
        <v/>
      </c>
    </row>
    <row r="10" spans="1:2" hidden="1" x14ac:dyDescent="0.25">
      <c r="A10" s="1">
        <v>242</v>
      </c>
      <c r="B10" t="str" cm="1">
        <f t="array" ref="B10">IFERROR(SUBSTITUTE(INDEX(TechType[[#All],[TechTypeID]],$A10),":","__"),"")</f>
        <v/>
      </c>
    </row>
    <row r="11" spans="1:2" hidden="1" x14ac:dyDescent="0.25">
      <c r="A11" s="1">
        <v>243</v>
      </c>
      <c r="B11" t="str" cm="1">
        <f t="array" ref="B11">IFERROR(SUBSTITUTE(INDEX(TechType[[#All],[TechTypeID]],$A11),":","__"),"")</f>
        <v/>
      </c>
    </row>
    <row r="12" spans="1:2" hidden="1" x14ac:dyDescent="0.25">
      <c r="A12" s="1">
        <v>244</v>
      </c>
      <c r="B12" t="str" cm="1">
        <f t="array" ref="B12">IFERROR(SUBSTITUTE(INDEX(TechType[[#All],[TechTypeID]],$A12),":","__"),"")</f>
        <v/>
      </c>
    </row>
    <row r="13" spans="1:2" hidden="1" x14ac:dyDescent="0.25">
      <c r="A13" s="1">
        <v>245</v>
      </c>
      <c r="B13" t="str" cm="1">
        <f t="array" ref="B13">IFERROR(SUBSTITUTE(INDEX(TechType[[#All],[TechTypeID]],$A13),":","__"),"")</f>
        <v/>
      </c>
    </row>
    <row r="14" spans="1:2" hidden="1" x14ac:dyDescent="0.25">
      <c r="A14" s="1">
        <v>246</v>
      </c>
      <c r="B14" t="str" cm="1">
        <f t="array" ref="B14">IFERROR(SUBSTITUTE(INDEX(TechType[[#All],[TechTypeID]],$A14),":","__"),"")</f>
        <v/>
      </c>
    </row>
    <row r="15" spans="1:2" hidden="1" x14ac:dyDescent="0.25">
      <c r="A15" s="1">
        <v>247</v>
      </c>
      <c r="B15" t="str" cm="1">
        <f t="array" ref="B15">IFERROR(SUBSTITUTE(INDEX(TechType[[#All],[TechTypeID]],$A15),":","__"),"")</f>
        <v/>
      </c>
    </row>
    <row r="16" spans="1:2" hidden="1" x14ac:dyDescent="0.25">
      <c r="A16" s="1">
        <v>248</v>
      </c>
      <c r="B16" t="str" cm="1">
        <f t="array" ref="B16">IFERROR(SUBSTITUTE(INDEX(TechType[[#All],[TechTypeID]],$A16),":","__"),"")</f>
        <v/>
      </c>
    </row>
    <row r="17" spans="1:2" hidden="1" x14ac:dyDescent="0.25">
      <c r="A17" s="1">
        <v>249</v>
      </c>
      <c r="B17" t="str" cm="1">
        <f t="array" ref="B17">IFERROR(SUBSTITUTE(INDEX(TechType[[#All],[TechTypeID]],$A17),":","__"),"")</f>
        <v/>
      </c>
    </row>
    <row r="18" spans="1:2" hidden="1" x14ac:dyDescent="0.25">
      <c r="A18" s="1">
        <v>250</v>
      </c>
      <c r="B18" t="str" cm="1">
        <f t="array" ref="B18">IFERROR(SUBSTITUTE(INDEX(TechType[[#All],[TechTypeID]],$A18),":","__"),"")</f>
        <v/>
      </c>
    </row>
    <row r="19" spans="1:2" hidden="1" x14ac:dyDescent="0.25">
      <c r="A19" s="1">
        <v>251</v>
      </c>
      <c r="B19" t="str" cm="1">
        <f t="array" ref="B19">IFERROR(SUBSTITUTE(INDEX(TechType[[#All],[TechTypeID]],$A19),":","__"),"")</f>
        <v/>
      </c>
    </row>
    <row r="20" spans="1:2" hidden="1" x14ac:dyDescent="0.25">
      <c r="A20" s="1">
        <v>252</v>
      </c>
      <c r="B20" t="str" cm="1">
        <f t="array" ref="B20">IFERROR(SUBSTITUTE(INDEX(TechType[[#All],[TechTypeID]],$A20),":","__"),"")</f>
        <v/>
      </c>
    </row>
    <row r="21" spans="1:2" hidden="1" x14ac:dyDescent="0.25">
      <c r="A21" s="1">
        <v>253</v>
      </c>
      <c r="B21" t="str" cm="1">
        <f t="array" ref="B21">IFERROR(SUBSTITUTE(INDEX(TechType[[#All],[TechTypeID]],$A21),":","__"),"")</f>
        <v/>
      </c>
    </row>
    <row r="22" spans="1:2" hidden="1" x14ac:dyDescent="0.25">
      <c r="A22" s="1">
        <v>254</v>
      </c>
      <c r="B22" t="str" cm="1">
        <f t="array" ref="B22">IFERROR(SUBSTITUTE(INDEX(TechType[[#All],[TechTypeID]],$A22),":","__"),"")</f>
        <v/>
      </c>
    </row>
    <row r="23" spans="1:2" hidden="1" x14ac:dyDescent="0.25">
      <c r="A23" s="1">
        <v>255</v>
      </c>
      <c r="B23" t="str" cm="1">
        <f t="array" ref="B23">IFERROR(SUBSTITUTE(INDEX(TechType[[#All],[TechTypeID]],$A23),":","__"),"")</f>
        <v/>
      </c>
    </row>
    <row r="24" spans="1:2" hidden="1" x14ac:dyDescent="0.25">
      <c r="A24" s="1">
        <v>256</v>
      </c>
      <c r="B24" t="str" cm="1">
        <f t="array" ref="B24">IFERROR(SUBSTITUTE(INDEX(TechType[[#All],[TechTypeID]],$A24),":","__"),"")</f>
        <v/>
      </c>
    </row>
    <row r="25" spans="1:2" hidden="1" x14ac:dyDescent="0.25">
      <c r="A25" s="1">
        <v>257</v>
      </c>
      <c r="B25" t="str" cm="1">
        <f t="array" ref="B25">IFERROR(SUBSTITUTE(INDEX(TechType[[#All],[TechTypeID]],$A25),":","__"),"")</f>
        <v/>
      </c>
    </row>
    <row r="26" spans="1:2" hidden="1" x14ac:dyDescent="0.25">
      <c r="A26" s="1">
        <v>258</v>
      </c>
      <c r="B26" t="str" cm="1">
        <f t="array" ref="B26">IFERROR(SUBSTITUTE(INDEX(TechType[[#All],[TechTypeID]],$A26),":","__"),"")</f>
        <v/>
      </c>
    </row>
    <row r="27" spans="1:2" hidden="1" x14ac:dyDescent="0.25">
      <c r="A27" s="1">
        <v>259</v>
      </c>
      <c r="B27" t="str" cm="1">
        <f t="array" ref="B27">IFERROR(SUBSTITUTE(INDEX(TechType[[#All],[TechTypeID]],$A27),":","__"),"")</f>
        <v/>
      </c>
    </row>
    <row r="28" spans="1:2" hidden="1" x14ac:dyDescent="0.25">
      <c r="A28" s="1">
        <v>260</v>
      </c>
      <c r="B28" t="str" cm="1">
        <f t="array" ref="B28">IFERROR(SUBSTITUTE(INDEX(TechType[[#All],[TechTypeID]],$A28),":","__"),"")</f>
        <v/>
      </c>
    </row>
    <row r="29" spans="1:2" hidden="1" x14ac:dyDescent="0.25">
      <c r="A29" s="1">
        <v>261</v>
      </c>
      <c r="B29" t="str" cm="1">
        <f t="array" ref="B29">IFERROR(SUBSTITUTE(INDEX(TechType[[#All],[TechTypeID]],$A29),":","__"),"")</f>
        <v/>
      </c>
    </row>
    <row r="30" spans="1:2" hidden="1" x14ac:dyDescent="0.25">
      <c r="A30" s="1">
        <v>262</v>
      </c>
      <c r="B30" t="str" cm="1">
        <f t="array" ref="B30">IFERROR(SUBSTITUTE(INDEX(TechType[[#All],[TechTypeID]],$A30),":","__"),"")</f>
        <v/>
      </c>
    </row>
    <row r="31" spans="1:2" hidden="1" x14ac:dyDescent="0.25">
      <c r="A31" s="1">
        <v>263</v>
      </c>
      <c r="B31" t="str" cm="1">
        <f t="array" ref="B31">IFERROR(SUBSTITUTE(INDEX(TechType[[#All],[TechTypeID]],$A31),":","__"),"")</f>
        <v/>
      </c>
    </row>
    <row r="32" spans="1:2" hidden="1" x14ac:dyDescent="0.25">
      <c r="A32" s="1">
        <v>264</v>
      </c>
      <c r="B32" t="str" cm="1">
        <f t="array" ref="B32">IFERROR(SUBSTITUTE(INDEX(TechType[[#All],[TechTypeID]],$A32),":","__"),"")</f>
        <v/>
      </c>
    </row>
    <row r="33" spans="1:2" hidden="1" x14ac:dyDescent="0.25">
      <c r="A33" s="1">
        <v>265</v>
      </c>
      <c r="B33" t="str" cm="1">
        <f t="array" ref="B33">IFERROR(SUBSTITUTE(INDEX(TechType[[#All],[TechTypeID]],$A33),":","__"),"")</f>
        <v/>
      </c>
    </row>
    <row r="34" spans="1:2" hidden="1" x14ac:dyDescent="0.25">
      <c r="A34" s="1">
        <v>266</v>
      </c>
      <c r="B34" t="str" cm="1">
        <f t="array" ref="B34">IFERROR(SUBSTITUTE(INDEX(TechType[[#All],[TechTypeID]],$A34),":","__"),"")</f>
        <v/>
      </c>
    </row>
    <row r="35" spans="1:2" hidden="1" x14ac:dyDescent="0.25">
      <c r="A35" s="1">
        <v>267</v>
      </c>
      <c r="B35" t="str" cm="1">
        <f t="array" ref="B35">IFERROR(SUBSTITUTE(INDEX(TechType[[#All],[TechTypeID]],$A35),":","__"),"")</f>
        <v/>
      </c>
    </row>
    <row r="36" spans="1:2" hidden="1" x14ac:dyDescent="0.25">
      <c r="A36" s="1">
        <v>268</v>
      </c>
      <c r="B36" t="str" cm="1">
        <f t="array" ref="B36">IFERROR(SUBSTITUTE(INDEX(TechType[[#All],[TechTypeID]],$A36),":","__"),"")</f>
        <v/>
      </c>
    </row>
    <row r="37" spans="1:2" hidden="1" x14ac:dyDescent="0.25">
      <c r="A37" s="1">
        <v>269</v>
      </c>
      <c r="B37" t="str" cm="1">
        <f t="array" ref="B37">IFERROR(SUBSTITUTE(INDEX(TechType[[#All],[TechTypeID]],$A37),":","__"),"")</f>
        <v/>
      </c>
    </row>
    <row r="38" spans="1:2" hidden="1" x14ac:dyDescent="0.25">
      <c r="A38" s="1">
        <v>270</v>
      </c>
      <c r="B38" t="str" cm="1">
        <f t="array" ref="B38">IFERROR(SUBSTITUTE(INDEX(TechType[[#All],[TechTypeID]],$A38),":","__"),"")</f>
        <v/>
      </c>
    </row>
    <row r="39" spans="1:2" hidden="1" x14ac:dyDescent="0.25">
      <c r="A39" s="1">
        <v>271</v>
      </c>
      <c r="B39" t="str" cm="1">
        <f t="array" ref="B39">IFERROR(SUBSTITUTE(INDEX(TechType[[#All],[TechTypeID]],$A39),":","__"),"")</f>
        <v/>
      </c>
    </row>
    <row r="40" spans="1:2" hidden="1" x14ac:dyDescent="0.25">
      <c r="A40" s="1">
        <v>272</v>
      </c>
      <c r="B40" t="str" cm="1">
        <f t="array" ref="B40">IFERROR(SUBSTITUTE(INDEX(TechType[[#All],[TechTypeID]],$A40),":","__"),"")</f>
        <v/>
      </c>
    </row>
    <row r="41" spans="1:2" hidden="1" x14ac:dyDescent="0.25">
      <c r="A41" s="1">
        <v>273</v>
      </c>
      <c r="B41" t="str" cm="1">
        <f t="array" ref="B41">IFERROR(SUBSTITUTE(INDEX(TechType[[#All],[TechTypeID]],$A41),":","__"),"")</f>
        <v/>
      </c>
    </row>
    <row r="42" spans="1:2" hidden="1" x14ac:dyDescent="0.25">
      <c r="A42" s="1">
        <v>274</v>
      </c>
      <c r="B42" t="str" cm="1">
        <f t="array" ref="B42">IFERROR(SUBSTITUTE(INDEX(TechType[[#All],[TechTypeID]],$A42),":","__"),"")</f>
        <v/>
      </c>
    </row>
    <row r="43" spans="1:2" hidden="1" x14ac:dyDescent="0.25">
      <c r="A43" s="1">
        <v>275</v>
      </c>
      <c r="B43" t="str" cm="1">
        <f t="array" ref="B43">IFERROR(SUBSTITUTE(INDEX(TechType[[#All],[TechTypeID]],$A43),":","__"),"")</f>
        <v/>
      </c>
    </row>
    <row r="44" spans="1:2" hidden="1" x14ac:dyDescent="0.25">
      <c r="A44" s="1">
        <v>276</v>
      </c>
      <c r="B44" t="str" cm="1">
        <f t="array" ref="B44">IFERROR(SUBSTITUTE(INDEX(TechType[[#All],[TechTypeID]],$A44),":","__"),"")</f>
        <v/>
      </c>
    </row>
    <row r="45" spans="1:2" hidden="1" x14ac:dyDescent="0.25">
      <c r="A45" s="1">
        <v>277</v>
      </c>
      <c r="B45" t="str" cm="1">
        <f t="array" ref="B45">IFERROR(SUBSTITUTE(INDEX(TechType[[#All],[TechTypeID]],$A45),":","__"),"")</f>
        <v/>
      </c>
    </row>
    <row r="46" spans="1:2" hidden="1" x14ac:dyDescent="0.25">
      <c r="A46" s="1">
        <v>278</v>
      </c>
      <c r="B46" t="str" cm="1">
        <f t="array" ref="B46">IFERROR(SUBSTITUTE(INDEX(TechType[[#All],[TechTypeID]],$A46),":","__"),"")</f>
        <v/>
      </c>
    </row>
    <row r="47" spans="1:2" hidden="1" x14ac:dyDescent="0.25">
      <c r="A47" s="1">
        <v>279</v>
      </c>
      <c r="B47" t="str" cm="1">
        <f t="array" ref="B47">IFERROR(SUBSTITUTE(INDEX(TechType[[#All],[TechTypeID]],$A47),":","__"),"")</f>
        <v/>
      </c>
    </row>
    <row r="48" spans="1:2" hidden="1" x14ac:dyDescent="0.25">
      <c r="A48" s="1">
        <v>280</v>
      </c>
      <c r="B48" t="str" cm="1">
        <f t="array" ref="B48">IFERROR(SUBSTITUTE(INDEX(TechType[[#All],[TechTypeID]],$A48),":","__"),"")</f>
        <v/>
      </c>
    </row>
    <row r="49" spans="1:2" hidden="1" x14ac:dyDescent="0.25">
      <c r="A49" s="1">
        <v>281</v>
      </c>
      <c r="B49" t="str" cm="1">
        <f t="array" ref="B49">IFERROR(SUBSTITUTE(INDEX(TechType[[#All],[TechTypeID]],$A49),":","__"),"")</f>
        <v/>
      </c>
    </row>
    <row r="50" spans="1:2" hidden="1" x14ac:dyDescent="0.25">
      <c r="A50" s="1">
        <v>282</v>
      </c>
      <c r="B50" t="str" cm="1">
        <f t="array" ref="B50">IFERROR(SUBSTITUTE(INDEX(TechType[[#All],[TechTypeID]],$A50),":","__"),"")</f>
        <v/>
      </c>
    </row>
    <row r="51" spans="1:2" hidden="1" x14ac:dyDescent="0.25">
      <c r="A51" s="1">
        <v>283</v>
      </c>
      <c r="B51" t="str" cm="1">
        <f t="array" ref="B51">IFERROR(SUBSTITUTE(INDEX(TechType[[#All],[TechTypeID]],$A51),":","__"),"")</f>
        <v/>
      </c>
    </row>
    <row r="52" spans="1:2" hidden="1" x14ac:dyDescent="0.25">
      <c r="A52" s="1">
        <v>284</v>
      </c>
      <c r="B52" t="str" cm="1">
        <f t="array" ref="B52">IFERROR(SUBSTITUTE(INDEX(TechType[[#All],[TechTypeID]],$A52),":","__"),"")</f>
        <v/>
      </c>
    </row>
    <row r="53" spans="1:2" hidden="1" x14ac:dyDescent="0.25">
      <c r="A53" s="1">
        <v>285</v>
      </c>
      <c r="B53" t="str" cm="1">
        <f t="array" ref="B53">IFERROR(SUBSTITUTE(INDEX(TechType[[#All],[TechTypeID]],$A53),":","__"),"")</f>
        <v/>
      </c>
    </row>
    <row r="54" spans="1:2" hidden="1" x14ac:dyDescent="0.25">
      <c r="A54" s="1">
        <v>286</v>
      </c>
      <c r="B54" t="str" cm="1">
        <f t="array" ref="B54">IFERROR(SUBSTITUTE(INDEX(TechType[[#All],[TechTypeID]],$A54),":","__"),"")</f>
        <v/>
      </c>
    </row>
    <row r="55" spans="1:2" hidden="1" x14ac:dyDescent="0.25">
      <c r="A55" s="1">
        <v>287</v>
      </c>
      <c r="B55" t="str" cm="1">
        <f t="array" ref="B55">IFERROR(SUBSTITUTE(INDEX(TechType[[#All],[TechTypeID]],$A55),":","__"),"")</f>
        <v/>
      </c>
    </row>
    <row r="56" spans="1:2" hidden="1" x14ac:dyDescent="0.25">
      <c r="A56" s="1">
        <v>288</v>
      </c>
      <c r="B56" t="str" cm="1">
        <f t="array" ref="B56">IFERROR(SUBSTITUTE(INDEX(TechType[[#All],[TechTypeID]],$A56),":","__"),"")</f>
        <v/>
      </c>
    </row>
    <row r="57" spans="1:2" hidden="1" x14ac:dyDescent="0.25">
      <c r="A57" s="1">
        <v>289</v>
      </c>
      <c r="B57" t="str" cm="1">
        <f t="array" ref="B57">IFERROR(SUBSTITUTE(INDEX(TechType[[#All],[TechTypeID]],$A57),":","__"),"")</f>
        <v/>
      </c>
    </row>
    <row r="58" spans="1:2" hidden="1" x14ac:dyDescent="0.25">
      <c r="A58" s="1">
        <v>290</v>
      </c>
      <c r="B58" t="str" cm="1">
        <f t="array" ref="B58">IFERROR(SUBSTITUTE(INDEX(TechType[[#All],[TechTypeID]],$A58),":","__"),"")</f>
        <v/>
      </c>
    </row>
    <row r="59" spans="1:2" hidden="1" x14ac:dyDescent="0.25">
      <c r="A59" s="1">
        <v>291</v>
      </c>
      <c r="B59" t="str" cm="1">
        <f t="array" ref="B59">IFERROR(SUBSTITUTE(INDEX(TechType[[#All],[TechTypeID]],$A59),":","__"),"")</f>
        <v/>
      </c>
    </row>
    <row r="60" spans="1:2" hidden="1" x14ac:dyDescent="0.25">
      <c r="A60" s="1">
        <v>292</v>
      </c>
      <c r="B60" t="str" cm="1">
        <f t="array" ref="B60">IFERROR(SUBSTITUTE(INDEX(TechType[[#All],[TechTypeID]],$A60),":","__"),"")</f>
        <v/>
      </c>
    </row>
    <row r="61" spans="1:2" hidden="1" x14ac:dyDescent="0.25">
      <c r="A61" s="1">
        <v>293</v>
      </c>
      <c r="B61" t="str" cm="1">
        <f t="array" ref="B61">IFERROR(SUBSTITUTE(INDEX(TechType[[#All],[TechTypeID]],$A61),":","__"),"")</f>
        <v/>
      </c>
    </row>
    <row r="62" spans="1:2" hidden="1" x14ac:dyDescent="0.25">
      <c r="A62" s="1">
        <v>294</v>
      </c>
      <c r="B62" t="str" cm="1">
        <f t="array" ref="B62">IFERROR(SUBSTITUTE(INDEX(TechType[[#All],[TechTypeID]],$A62),":","__"),"")</f>
        <v/>
      </c>
    </row>
    <row r="63" spans="1:2" hidden="1" x14ac:dyDescent="0.25">
      <c r="A63" s="1">
        <v>295</v>
      </c>
      <c r="B63" t="str" cm="1">
        <f t="array" ref="B63">IFERROR(SUBSTITUTE(INDEX(TechType[[#All],[TechTypeID]],$A63),":","__"),"")</f>
        <v/>
      </c>
    </row>
    <row r="64" spans="1:2" hidden="1" x14ac:dyDescent="0.25">
      <c r="A64" s="1">
        <v>296</v>
      </c>
      <c r="B64" t="str" cm="1">
        <f t="array" ref="B64">IFERROR(SUBSTITUTE(INDEX(TechType[[#All],[TechTypeID]],$A64),":","__"),"")</f>
        <v/>
      </c>
    </row>
    <row r="65" spans="1:2" hidden="1" x14ac:dyDescent="0.25">
      <c r="A65" s="1">
        <v>297</v>
      </c>
      <c r="B65" t="str" cm="1">
        <f t="array" ref="B65">IFERROR(SUBSTITUTE(INDEX(TechType[[#All],[TechTypeID]],$A65),":","__"),"")</f>
        <v/>
      </c>
    </row>
    <row r="66" spans="1:2" hidden="1" x14ac:dyDescent="0.25">
      <c r="A66" s="1">
        <v>298</v>
      </c>
      <c r="B66" t="str" cm="1">
        <f t="array" ref="B66">IFERROR(SUBSTITUTE(INDEX(TechType[[#All],[TechTypeID]],$A66),":","__"),"")</f>
        <v/>
      </c>
    </row>
    <row r="67" spans="1:2" hidden="1" x14ac:dyDescent="0.25">
      <c r="A67" s="1">
        <v>299</v>
      </c>
      <c r="B67" t="str" cm="1">
        <f t="array" ref="B67">IFERROR(SUBSTITUTE(INDEX(TechType[[#All],[TechTypeID]],$A67),":","__"),"")</f>
        <v/>
      </c>
    </row>
    <row r="68" spans="1:2" hidden="1" x14ac:dyDescent="0.25">
      <c r="A68" s="1">
        <v>300</v>
      </c>
      <c r="B68" t="str" cm="1">
        <f t="array" ref="B68">IFERROR(SUBSTITUTE(INDEX(TechType[[#All],[TechTypeID]],$A68),":","__"),"")</f>
        <v/>
      </c>
    </row>
    <row r="69" spans="1:2" hidden="1" x14ac:dyDescent="0.25">
      <c r="A69" s="1">
        <v>301</v>
      </c>
      <c r="B69" t="str" cm="1">
        <f t="array" ref="B69">IFERROR(SUBSTITUTE(INDEX(TechType[[#All],[TechTypeID]],$A69),":","__"),"")</f>
        <v/>
      </c>
    </row>
    <row r="70" spans="1:2" hidden="1" x14ac:dyDescent="0.25">
      <c r="A70" s="1">
        <v>302</v>
      </c>
      <c r="B70" t="str" cm="1">
        <f t="array" ref="B70">IFERROR(SUBSTITUTE(INDEX(TechType[[#All],[TechTypeID]],$A70),":","__"),"")</f>
        <v/>
      </c>
    </row>
    <row r="71" spans="1:2" hidden="1" x14ac:dyDescent="0.25">
      <c r="A71" s="1">
        <v>303</v>
      </c>
      <c r="B71" t="str" cm="1">
        <f t="array" ref="B71">IFERROR(SUBSTITUTE(INDEX(TechType[[#All],[TechTypeID]],$A71),":","__"),"")</f>
        <v/>
      </c>
    </row>
    <row r="72" spans="1:2" hidden="1" x14ac:dyDescent="0.25">
      <c r="A72" s="1">
        <v>304</v>
      </c>
      <c r="B72" t="str" cm="1">
        <f t="array" ref="B72">IFERROR(SUBSTITUTE(INDEX(TechType[[#All],[TechTypeID]],$A72),":","__"),"")</f>
        <v/>
      </c>
    </row>
    <row r="73" spans="1:2" hidden="1" x14ac:dyDescent="0.25">
      <c r="A73" s="1">
        <v>305</v>
      </c>
      <c r="B73" t="str" cm="1">
        <f t="array" ref="B73">IFERROR(SUBSTITUTE(INDEX(TechType[[#All],[TechTypeID]],$A73),":","__"),"")</f>
        <v/>
      </c>
    </row>
    <row r="74" spans="1:2" hidden="1" x14ac:dyDescent="0.25">
      <c r="A74" s="1">
        <v>306</v>
      </c>
      <c r="B74" t="str" cm="1">
        <f t="array" ref="B74">IFERROR(SUBSTITUTE(INDEX(TechType[[#All],[TechTypeID]],$A74),":","__"),"")</f>
        <v/>
      </c>
    </row>
    <row r="75" spans="1:2" hidden="1" x14ac:dyDescent="0.25">
      <c r="A75" s="1">
        <v>307</v>
      </c>
      <c r="B75" t="str" cm="1">
        <f t="array" ref="B75">IFERROR(SUBSTITUTE(INDEX(TechType[[#All],[TechTypeID]],$A75),":","__"),"")</f>
        <v/>
      </c>
    </row>
    <row r="76" spans="1:2" hidden="1" x14ac:dyDescent="0.25">
      <c r="A76" s="1">
        <v>308</v>
      </c>
      <c r="B76" t="str" cm="1">
        <f t="array" ref="B76">IFERROR(SUBSTITUTE(INDEX(TechType[[#All],[TechTypeID]],$A76),":","__"),"")</f>
        <v/>
      </c>
    </row>
    <row r="77" spans="1:2" hidden="1" x14ac:dyDescent="0.25">
      <c r="A77" s="1">
        <v>309</v>
      </c>
      <c r="B77" t="str" cm="1">
        <f t="array" ref="B77">IFERROR(SUBSTITUTE(INDEX(TechType[[#All],[TechTypeID]],$A77),":","__"),"")</f>
        <v/>
      </c>
    </row>
    <row r="78" spans="1:2" hidden="1" x14ac:dyDescent="0.25">
      <c r="A78" s="1">
        <v>310</v>
      </c>
      <c r="B78" t="str" cm="1">
        <f t="array" ref="B78">IFERROR(SUBSTITUTE(INDEX(TechType[[#All],[TechTypeID]],$A78),":","__"),"")</f>
        <v/>
      </c>
    </row>
    <row r="79" spans="1:2" hidden="1" x14ac:dyDescent="0.25">
      <c r="A79" s="1">
        <v>311</v>
      </c>
      <c r="B79" t="str" cm="1">
        <f t="array" ref="B79">IFERROR(SUBSTITUTE(INDEX(TechType[[#All],[TechTypeID]],$A79),":","__"),"")</f>
        <v/>
      </c>
    </row>
    <row r="80" spans="1:2" hidden="1" x14ac:dyDescent="0.25">
      <c r="A80" s="1">
        <v>312</v>
      </c>
      <c r="B80" t="str" cm="1">
        <f t="array" ref="B80">IFERROR(SUBSTITUTE(INDEX(TechType[[#All],[TechTypeID]],$A80),":","__"),"")</f>
        <v/>
      </c>
    </row>
    <row r="81" spans="1:2" hidden="1" x14ac:dyDescent="0.25">
      <c r="A81" s="1">
        <v>313</v>
      </c>
      <c r="B81" t="str" cm="1">
        <f t="array" ref="B81">IFERROR(SUBSTITUTE(INDEX(TechType[[#All],[TechTypeID]],$A81),":","__"),"")</f>
        <v/>
      </c>
    </row>
    <row r="82" spans="1:2" hidden="1" x14ac:dyDescent="0.25">
      <c r="A82" s="1">
        <v>314</v>
      </c>
      <c r="B82" t="str" cm="1">
        <f t="array" ref="B82">IFERROR(SUBSTITUTE(INDEX(TechType[[#All],[TechTypeID]],$A82),":","__"),"")</f>
        <v/>
      </c>
    </row>
    <row r="83" spans="1:2" hidden="1" x14ac:dyDescent="0.25">
      <c r="A83" s="1">
        <v>315</v>
      </c>
      <c r="B83" t="str" cm="1">
        <f t="array" ref="B83">IFERROR(SUBSTITUTE(INDEX(TechType[[#All],[TechTypeID]],$A83),":","__"),"")</f>
        <v/>
      </c>
    </row>
    <row r="84" spans="1:2" hidden="1" x14ac:dyDescent="0.25">
      <c r="A84" s="1">
        <v>316</v>
      </c>
      <c r="B84" t="str" cm="1">
        <f t="array" ref="B84">IFERROR(SUBSTITUTE(INDEX(TechType[[#All],[TechTypeID]],$A84),":","__"),"")</f>
        <v/>
      </c>
    </row>
    <row r="85" spans="1:2" hidden="1" x14ac:dyDescent="0.25">
      <c r="A85" s="1">
        <v>317</v>
      </c>
      <c r="B85" t="str" cm="1">
        <f t="array" ref="B85">IFERROR(SUBSTITUTE(INDEX(TechType[[#All],[TechTypeID]],$A85),":","__"),"")</f>
        <v/>
      </c>
    </row>
    <row r="86" spans="1:2" hidden="1" x14ac:dyDescent="0.25">
      <c r="A86" s="1">
        <v>318</v>
      </c>
      <c r="B86" t="str" cm="1">
        <f t="array" ref="B86">IFERROR(SUBSTITUTE(INDEX(TechType[[#All],[TechTypeID]],$A86),":","__"),"")</f>
        <v/>
      </c>
    </row>
    <row r="87" spans="1:2" hidden="1" x14ac:dyDescent="0.25">
      <c r="A87" s="1">
        <v>319</v>
      </c>
      <c r="B87" t="str" cm="1">
        <f t="array" ref="B87">IFERROR(SUBSTITUTE(INDEX(TechType[[#All],[TechTypeID]],$A87),":","__"),"")</f>
        <v/>
      </c>
    </row>
    <row r="88" spans="1:2" hidden="1" x14ac:dyDescent="0.25">
      <c r="A88" s="1">
        <v>320</v>
      </c>
      <c r="B88" t="str" cm="1">
        <f t="array" ref="B88">IFERROR(SUBSTITUTE(INDEX(TechType[[#All],[TechTypeID]],$A88),":","__"),"")</f>
        <v/>
      </c>
    </row>
    <row r="89" spans="1:2" hidden="1" x14ac:dyDescent="0.25">
      <c r="A89" s="1">
        <v>321</v>
      </c>
      <c r="B89" t="str" cm="1">
        <f t="array" ref="B89">IFERROR(SUBSTITUTE(INDEX(TechType[[#All],[TechTypeID]],$A89),":","__"),"")</f>
        <v/>
      </c>
    </row>
    <row r="90" spans="1:2" hidden="1" x14ac:dyDescent="0.25">
      <c r="A90" s="1">
        <v>322</v>
      </c>
      <c r="B90" t="str" cm="1">
        <f t="array" ref="B90">IFERROR(SUBSTITUTE(INDEX(TechType[[#All],[TechTypeID]],$A90),":","__"),"")</f>
        <v/>
      </c>
    </row>
    <row r="91" spans="1:2" hidden="1" x14ac:dyDescent="0.25">
      <c r="A91" s="1">
        <v>323</v>
      </c>
      <c r="B91" t="str" cm="1">
        <f t="array" ref="B91">IFERROR(SUBSTITUTE(INDEX(TechType[[#All],[TechTypeID]],$A91),":","__"),"")</f>
        <v/>
      </c>
    </row>
    <row r="92" spans="1:2" hidden="1" x14ac:dyDescent="0.25">
      <c r="A92" s="1">
        <v>324</v>
      </c>
      <c r="B92" t="str" cm="1">
        <f t="array" ref="B92">IFERROR(SUBSTITUTE(INDEX(TechType[[#All],[TechTypeID]],$A92),":","__"),"")</f>
        <v/>
      </c>
    </row>
    <row r="93" spans="1:2" hidden="1" x14ac:dyDescent="0.25">
      <c r="A93" s="1">
        <v>325</v>
      </c>
      <c r="B93" t="str" cm="1">
        <f t="array" ref="B93">IFERROR(SUBSTITUTE(INDEX(TechType[[#All],[TechTypeID]],$A93),":","__"),"")</f>
        <v/>
      </c>
    </row>
    <row r="94" spans="1:2" hidden="1" x14ac:dyDescent="0.25">
      <c r="A94" s="1">
        <v>326</v>
      </c>
      <c r="B94" t="str" cm="1">
        <f t="array" ref="B94">IFERROR(SUBSTITUTE(INDEX(TechType[[#All],[TechTypeID]],$A94),":","__"),"")</f>
        <v/>
      </c>
    </row>
    <row r="95" spans="1:2" hidden="1" x14ac:dyDescent="0.25">
      <c r="A95" s="1">
        <v>327</v>
      </c>
      <c r="B95" t="str" cm="1">
        <f t="array" ref="B95">IFERROR(SUBSTITUTE(INDEX(TechType[[#All],[TechTypeID]],$A95),":","__"),"")</f>
        <v/>
      </c>
    </row>
    <row r="96" spans="1:2" hidden="1" x14ac:dyDescent="0.25">
      <c r="A96" s="1">
        <v>328</v>
      </c>
      <c r="B96" t="str" cm="1">
        <f t="array" ref="B96">IFERROR(SUBSTITUTE(INDEX(TechType[[#All],[TechTypeID]],$A96),":","__"),"")</f>
        <v/>
      </c>
    </row>
    <row r="97" spans="1:2" hidden="1" x14ac:dyDescent="0.25">
      <c r="A97" s="1">
        <v>329</v>
      </c>
      <c r="B97" t="str" cm="1">
        <f t="array" ref="B97">IFERROR(SUBSTITUTE(INDEX(TechType[[#All],[TechTypeID]],$A97),":","__"),"")</f>
        <v/>
      </c>
    </row>
    <row r="98" spans="1:2" hidden="1" x14ac:dyDescent="0.25">
      <c r="A98" s="1">
        <v>330</v>
      </c>
      <c r="B98" t="str" cm="1">
        <f t="array" ref="B98">IFERROR(SUBSTITUTE(INDEX(TechType[[#All],[TechTypeID]],$A98),":","__"),"")</f>
        <v/>
      </c>
    </row>
    <row r="99" spans="1:2" hidden="1" x14ac:dyDescent="0.25">
      <c r="A99" s="1">
        <v>331</v>
      </c>
      <c r="B99" t="str" cm="1">
        <f t="array" ref="B99">IFERROR(SUBSTITUTE(INDEX(TechType[[#All],[TechTypeID]],$A99),":","__"),"")</f>
        <v/>
      </c>
    </row>
    <row r="100" spans="1:2" hidden="1" x14ac:dyDescent="0.25">
      <c r="A100" s="1">
        <v>332</v>
      </c>
      <c r="B100" t="str" cm="1">
        <f t="array" ref="B100">IFERROR(SUBSTITUTE(INDEX(TechType[[#All],[TechTypeID]],$A100),":","__"),"")</f>
        <v/>
      </c>
    </row>
    <row r="101" spans="1:2" hidden="1" x14ac:dyDescent="0.25">
      <c r="A101" s="1">
        <v>333</v>
      </c>
      <c r="B101" t="str" cm="1">
        <f t="array" ref="B101">IFERROR(SUBSTITUTE(INDEX(TechType[[#All],[TechTypeID]],$A101),":","__"),"")</f>
        <v/>
      </c>
    </row>
    <row r="102" spans="1:2" hidden="1" x14ac:dyDescent="0.25">
      <c r="A102" s="1">
        <v>334</v>
      </c>
      <c r="B102" t="str" cm="1">
        <f t="array" ref="B102">IFERROR(SUBSTITUTE(INDEX(TechType[[#All],[TechTypeID]],$A102),":","__"),"")</f>
        <v/>
      </c>
    </row>
    <row r="103" spans="1:2" hidden="1" x14ac:dyDescent="0.25">
      <c r="A103" s="1">
        <v>335</v>
      </c>
      <c r="B103" t="str" cm="1">
        <f t="array" ref="B103">IFERROR(SUBSTITUTE(INDEX(TechType[[#All],[TechTypeID]],$A103),":","__"),"")</f>
        <v/>
      </c>
    </row>
    <row r="104" spans="1:2" hidden="1" x14ac:dyDescent="0.25">
      <c r="A104" s="1">
        <v>336</v>
      </c>
      <c r="B104" t="str" cm="1">
        <f t="array" ref="B104">IFERROR(SUBSTITUTE(INDEX(TechType[[#All],[TechTypeID]],$A104),":","__"),"")</f>
        <v/>
      </c>
    </row>
    <row r="105" spans="1:2" hidden="1" x14ac:dyDescent="0.25">
      <c r="A105" s="1">
        <v>337</v>
      </c>
      <c r="B105" t="str" cm="1">
        <f t="array" ref="B105">IFERROR(SUBSTITUTE(INDEX(TechType[[#All],[TechTypeID]],$A105),":","__"),"")</f>
        <v/>
      </c>
    </row>
    <row r="106" spans="1:2" hidden="1" x14ac:dyDescent="0.25">
      <c r="A106" s="1">
        <v>338</v>
      </c>
      <c r="B106" t="str" cm="1">
        <f t="array" ref="B106">IFERROR(SUBSTITUTE(INDEX(TechType[[#All],[TechTypeID]],$A106),":","__"),"")</f>
        <v/>
      </c>
    </row>
    <row r="107" spans="1:2" hidden="1" x14ac:dyDescent="0.25">
      <c r="A107" s="1">
        <v>339</v>
      </c>
      <c r="B107" t="str" cm="1">
        <f t="array" ref="B107">IFERROR(SUBSTITUTE(INDEX(TechType[[#All],[TechTypeID]],$A107),":","__"),"")</f>
        <v/>
      </c>
    </row>
    <row r="108" spans="1:2" hidden="1" x14ac:dyDescent="0.25">
      <c r="A108" s="1">
        <v>340</v>
      </c>
      <c r="B108" t="str" cm="1">
        <f t="array" ref="B108">IFERROR(SUBSTITUTE(INDEX(TechType[[#All],[TechTypeID]],$A108),":","__"),"")</f>
        <v/>
      </c>
    </row>
    <row r="109" spans="1:2" hidden="1" x14ac:dyDescent="0.25">
      <c r="A109" s="1">
        <v>341</v>
      </c>
      <c r="B109" t="str" cm="1">
        <f t="array" ref="B109">IFERROR(SUBSTITUTE(INDEX(TechType[[#All],[TechTypeID]],$A109),":","__"),"")</f>
        <v/>
      </c>
    </row>
    <row r="110" spans="1:2" hidden="1" x14ac:dyDescent="0.25">
      <c r="A110" s="1">
        <v>342</v>
      </c>
      <c r="B110" t="str" cm="1">
        <f t="array" ref="B110">IFERROR(SUBSTITUTE(INDEX(TechType[[#All],[TechTypeID]],$A110),":","__"),"")</f>
        <v/>
      </c>
    </row>
    <row r="111" spans="1:2" hidden="1" x14ac:dyDescent="0.25">
      <c r="A111" s="1">
        <v>343</v>
      </c>
      <c r="B111" t="str" cm="1">
        <f t="array" ref="B111">IFERROR(SUBSTITUTE(INDEX(TechType[[#All],[TechTypeID]],$A111),":","__"),"")</f>
        <v/>
      </c>
    </row>
    <row r="112" spans="1:2" hidden="1" x14ac:dyDescent="0.25">
      <c r="A112" s="1">
        <v>344</v>
      </c>
      <c r="B112" t="str" cm="1">
        <f t="array" ref="B112">IFERROR(SUBSTITUTE(INDEX(TechType[[#All],[TechTypeID]],$A112),":","__"),"")</f>
        <v/>
      </c>
    </row>
    <row r="113" spans="1:2" hidden="1" x14ac:dyDescent="0.25">
      <c r="A113" s="1">
        <v>345</v>
      </c>
      <c r="B113" t="str" cm="1">
        <f t="array" ref="B113">IFERROR(SUBSTITUTE(INDEX(TechType[[#All],[TechTypeID]],$A113),":","__"),"")</f>
        <v/>
      </c>
    </row>
    <row r="114" spans="1:2" hidden="1" x14ac:dyDescent="0.25">
      <c r="A114" s="1">
        <v>346</v>
      </c>
      <c r="B114" t="str" cm="1">
        <f t="array" ref="B114">IFERROR(SUBSTITUTE(INDEX(TechType[[#All],[TechTypeID]],$A114),":","__"),"")</f>
        <v/>
      </c>
    </row>
    <row r="115" spans="1:2" hidden="1" x14ac:dyDescent="0.25">
      <c r="A115" s="1">
        <v>347</v>
      </c>
      <c r="B115" t="str" cm="1">
        <f t="array" ref="B115">IFERROR(SUBSTITUTE(INDEX(TechType[[#All],[TechTypeID]],$A115),":","__"),"")</f>
        <v/>
      </c>
    </row>
    <row r="116" spans="1:2" hidden="1" x14ac:dyDescent="0.25">
      <c r="A116" s="1">
        <v>348</v>
      </c>
      <c r="B116" t="str" cm="1">
        <f t="array" ref="B116">IFERROR(SUBSTITUTE(INDEX(TechType[[#All],[TechTypeID]],$A116),":","__"),"")</f>
        <v/>
      </c>
    </row>
    <row r="117" spans="1:2" hidden="1" x14ac:dyDescent="0.25">
      <c r="A117" s="1">
        <v>349</v>
      </c>
      <c r="B117" t="str" cm="1">
        <f t="array" ref="B117">IFERROR(SUBSTITUTE(INDEX(TechType[[#All],[TechTypeID]],$A117),":","__"),"")</f>
        <v/>
      </c>
    </row>
    <row r="118" spans="1:2" hidden="1" x14ac:dyDescent="0.25">
      <c r="A118" s="1">
        <v>350</v>
      </c>
      <c r="B118" t="str" cm="1">
        <f t="array" ref="B118">IFERROR(SUBSTITUTE(INDEX(TechType[[#All],[TechTypeID]],$A118),":","__"),"")</f>
        <v/>
      </c>
    </row>
    <row r="119" spans="1:2" hidden="1" x14ac:dyDescent="0.25">
      <c r="A119" s="1">
        <v>351</v>
      </c>
      <c r="B119" t="str" cm="1">
        <f t="array" ref="B119">IFERROR(SUBSTITUTE(INDEX(TechType[[#All],[TechTypeID]],$A119),":","__"),"")</f>
        <v/>
      </c>
    </row>
    <row r="120" spans="1:2" hidden="1" x14ac:dyDescent="0.25">
      <c r="A120" s="1">
        <v>352</v>
      </c>
      <c r="B120" t="str" cm="1">
        <f t="array" ref="B120">IFERROR(SUBSTITUTE(INDEX(TechType[[#All],[TechTypeID]],$A120),":","__"),"")</f>
        <v/>
      </c>
    </row>
    <row r="121" spans="1:2" hidden="1" x14ac:dyDescent="0.25">
      <c r="A121" s="1">
        <v>353</v>
      </c>
      <c r="B121" t="str" cm="1">
        <f t="array" ref="B121">IFERROR(SUBSTITUTE(INDEX(TechType[[#All],[TechTypeID]],$A121),":","__"),"")</f>
        <v/>
      </c>
    </row>
    <row r="122" spans="1:2" hidden="1" x14ac:dyDescent="0.25">
      <c r="A122" s="1">
        <v>354</v>
      </c>
      <c r="B122" t="str" cm="1">
        <f t="array" ref="B122">IFERROR(SUBSTITUTE(INDEX(TechType[[#All],[TechTypeID]],$A122),":","__"),"")</f>
        <v/>
      </c>
    </row>
    <row r="123" spans="1:2" hidden="1" x14ac:dyDescent="0.25">
      <c r="A123" s="1">
        <v>355</v>
      </c>
      <c r="B123" t="str" cm="1">
        <f t="array" ref="B123">IFERROR(SUBSTITUTE(INDEX(TechType[[#All],[TechTypeID]],$A123),":","__"),"")</f>
        <v/>
      </c>
    </row>
    <row r="124" spans="1:2" hidden="1" x14ac:dyDescent="0.25">
      <c r="A124" s="1">
        <v>356</v>
      </c>
      <c r="B124" t="str" cm="1">
        <f t="array" ref="B124">IFERROR(SUBSTITUTE(INDEX(TechType[[#All],[TechTypeID]],$A124),":","__"),"")</f>
        <v/>
      </c>
    </row>
    <row r="125" spans="1:2" hidden="1" x14ac:dyDescent="0.25">
      <c r="A125" s="1">
        <v>357</v>
      </c>
      <c r="B125" t="str" cm="1">
        <f t="array" ref="B125">IFERROR(SUBSTITUTE(INDEX(TechType[[#All],[TechTypeID]],$A125),":","__"),"")</f>
        <v/>
      </c>
    </row>
    <row r="126" spans="1:2" hidden="1" x14ac:dyDescent="0.25">
      <c r="A126" s="1">
        <v>358</v>
      </c>
      <c r="B126" t="str" cm="1">
        <f t="array" ref="B126">IFERROR(SUBSTITUTE(INDEX(TechType[[#All],[TechTypeID]],$A126),":","__"),"")</f>
        <v/>
      </c>
    </row>
    <row r="127" spans="1:2" hidden="1" x14ac:dyDescent="0.25">
      <c r="A127" s="1">
        <v>359</v>
      </c>
      <c r="B127" t="str" cm="1">
        <f t="array" ref="B127">IFERROR(SUBSTITUTE(INDEX(TechType[[#All],[TechTypeID]],$A127),":","__"),"")</f>
        <v/>
      </c>
    </row>
    <row r="128" spans="1:2" hidden="1" x14ac:dyDescent="0.25">
      <c r="A128" s="1">
        <v>360</v>
      </c>
      <c r="B128" t="str" cm="1">
        <f t="array" ref="B128">IFERROR(SUBSTITUTE(INDEX(TechType[[#All],[TechTypeID]],$A128),":","__"),"")</f>
        <v/>
      </c>
    </row>
    <row r="129" spans="1:2" hidden="1" x14ac:dyDescent="0.25">
      <c r="A129" s="1">
        <v>361</v>
      </c>
      <c r="B129" t="str" cm="1">
        <f t="array" ref="B129">IFERROR(SUBSTITUTE(INDEX(TechType[[#All],[TechTypeID]],$A129),":","__"),"")</f>
        <v/>
      </c>
    </row>
    <row r="130" spans="1:2" hidden="1" x14ac:dyDescent="0.25">
      <c r="A130" s="1">
        <v>362</v>
      </c>
      <c r="B130" t="str" cm="1">
        <f t="array" ref="B130">IFERROR(SUBSTITUTE(INDEX(TechType[[#All],[TechTypeID]],$A130),":","__"),"")</f>
        <v/>
      </c>
    </row>
    <row r="131" spans="1:2" hidden="1" x14ac:dyDescent="0.25">
      <c r="A131" s="1">
        <v>363</v>
      </c>
      <c r="B131" t="str" cm="1">
        <f t="array" ref="B131">IFERROR(SUBSTITUTE(INDEX(TechType[[#All],[TechTypeID]],$A131),":","__"),"")</f>
        <v/>
      </c>
    </row>
    <row r="132" spans="1:2" hidden="1" x14ac:dyDescent="0.25">
      <c r="A132" s="1">
        <v>364</v>
      </c>
      <c r="B132" t="str" cm="1">
        <f t="array" ref="B132">IFERROR(SUBSTITUTE(INDEX(TechType[[#All],[TechTypeID]],$A132),":","__"),"")</f>
        <v/>
      </c>
    </row>
    <row r="133" spans="1:2" hidden="1" x14ac:dyDescent="0.25">
      <c r="A133" s="1">
        <v>365</v>
      </c>
      <c r="B133" t="str" cm="1">
        <f t="array" ref="B133">IFERROR(SUBSTITUTE(INDEX(TechType[[#All],[TechTypeID]],$A133),":","__"),"")</f>
        <v/>
      </c>
    </row>
    <row r="134" spans="1:2" hidden="1" x14ac:dyDescent="0.25">
      <c r="A134" s="1">
        <v>366</v>
      </c>
      <c r="B134" t="str" cm="1">
        <f t="array" ref="B134">IFERROR(SUBSTITUTE(INDEX(TechType[[#All],[TechTypeID]],$A134),":","__"),"")</f>
        <v/>
      </c>
    </row>
    <row r="135" spans="1:2" hidden="1" x14ac:dyDescent="0.25">
      <c r="A135" s="1">
        <v>367</v>
      </c>
      <c r="B135" t="str" cm="1">
        <f t="array" ref="B135">IFERROR(SUBSTITUTE(INDEX(TechType[[#All],[TechTypeID]],$A135),":","__"),"")</f>
        <v/>
      </c>
    </row>
    <row r="136" spans="1:2" hidden="1" x14ac:dyDescent="0.25">
      <c r="A136" s="1">
        <v>368</v>
      </c>
      <c r="B136" t="str" cm="1">
        <f t="array" ref="B136">IFERROR(SUBSTITUTE(INDEX(TechType[[#All],[TechTypeID]],$A136),":","__"),"")</f>
        <v/>
      </c>
    </row>
    <row r="137" spans="1:2" hidden="1" x14ac:dyDescent="0.25">
      <c r="A137" s="1">
        <v>369</v>
      </c>
      <c r="B137" t="str" cm="1">
        <f t="array" ref="B137">IFERROR(SUBSTITUTE(INDEX(TechType[[#All],[TechTypeID]],$A137),":","__"),"")</f>
        <v/>
      </c>
    </row>
    <row r="138" spans="1:2" hidden="1" x14ac:dyDescent="0.25">
      <c r="A138" s="1">
        <v>370</v>
      </c>
      <c r="B138" t="str" cm="1">
        <f t="array" ref="B138">IFERROR(SUBSTITUTE(INDEX(TechType[[#All],[TechTypeID]],$A138),":","__"),"")</f>
        <v/>
      </c>
    </row>
    <row r="139" spans="1:2" hidden="1" x14ac:dyDescent="0.25">
      <c r="A139" s="1">
        <v>371</v>
      </c>
      <c r="B139" t="str" cm="1">
        <f t="array" ref="B139">IFERROR(SUBSTITUTE(INDEX(TechType[[#All],[TechTypeID]],$A139),":","__"),"")</f>
        <v/>
      </c>
    </row>
    <row r="140" spans="1:2" hidden="1" x14ac:dyDescent="0.25">
      <c r="A140" s="1">
        <v>372</v>
      </c>
      <c r="B140" t="str" cm="1">
        <f t="array" ref="B140">IFERROR(SUBSTITUTE(INDEX(TechType[[#All],[TechTypeID]],$A140),":","__"),"")</f>
        <v/>
      </c>
    </row>
    <row r="141" spans="1:2" hidden="1" x14ac:dyDescent="0.25">
      <c r="A141" s="1">
        <v>373</v>
      </c>
      <c r="B141" t="str" cm="1">
        <f t="array" ref="B141">IFERROR(SUBSTITUTE(INDEX(TechType[[#All],[TechTypeID]],$A141),":","__"),"")</f>
        <v/>
      </c>
    </row>
    <row r="142" spans="1:2" hidden="1" x14ac:dyDescent="0.25">
      <c r="A142" s="1">
        <v>374</v>
      </c>
      <c r="B142" t="str" cm="1">
        <f t="array" ref="B142">IFERROR(SUBSTITUTE(INDEX(TechType[[#All],[TechTypeID]],$A142),":","__"),"")</f>
        <v/>
      </c>
    </row>
    <row r="143" spans="1:2" hidden="1" x14ac:dyDescent="0.25">
      <c r="A143" s="1">
        <v>375</v>
      </c>
      <c r="B143" t="str" cm="1">
        <f t="array" ref="B143">IFERROR(SUBSTITUTE(INDEX(TechType[[#All],[TechTypeID]],$A143),":","__"),"")</f>
        <v/>
      </c>
    </row>
    <row r="144" spans="1:2" hidden="1" x14ac:dyDescent="0.25">
      <c r="A144" s="1">
        <v>376</v>
      </c>
      <c r="B144" t="str" cm="1">
        <f t="array" ref="B144">IFERROR(SUBSTITUTE(INDEX(TechType[[#All],[TechTypeID]],$A144),":","__"),"")</f>
        <v/>
      </c>
    </row>
    <row r="145" spans="1:2" hidden="1" x14ac:dyDescent="0.25">
      <c r="A145" s="1">
        <v>377</v>
      </c>
      <c r="B145" t="str" cm="1">
        <f t="array" ref="B145">IFERROR(SUBSTITUTE(INDEX(TechType[[#All],[TechTypeID]],$A145),":","__"),"")</f>
        <v/>
      </c>
    </row>
    <row r="146" spans="1:2" hidden="1" x14ac:dyDescent="0.25">
      <c r="A146" s="1">
        <v>378</v>
      </c>
      <c r="B146" t="str" cm="1">
        <f t="array" ref="B146">IFERROR(SUBSTITUTE(INDEX(TechType[[#All],[TechTypeID]],$A146),":","__"),"")</f>
        <v/>
      </c>
    </row>
    <row r="147" spans="1:2" hidden="1" x14ac:dyDescent="0.25">
      <c r="A147" s="1">
        <v>379</v>
      </c>
      <c r="B147" t="str" cm="1">
        <f t="array" ref="B147">IFERROR(SUBSTITUTE(INDEX(TechType[[#All],[TechTypeID]],$A147),":","__"),"")</f>
        <v/>
      </c>
    </row>
    <row r="148" spans="1:2" hidden="1" x14ac:dyDescent="0.25">
      <c r="A148" s="1">
        <v>380</v>
      </c>
      <c r="B148" t="str" cm="1">
        <f t="array" ref="B148">IFERROR(SUBSTITUTE(INDEX(TechType[[#All],[TechTypeID]],$A148),":","__"),"")</f>
        <v/>
      </c>
    </row>
    <row r="149" spans="1:2" hidden="1" x14ac:dyDescent="0.25">
      <c r="A149" s="1">
        <v>381</v>
      </c>
      <c r="B149" t="str" cm="1">
        <f t="array" ref="B149">IFERROR(SUBSTITUTE(INDEX(TechType[[#All],[TechTypeID]],$A149),":","__"),"")</f>
        <v/>
      </c>
    </row>
    <row r="150" spans="1:2" hidden="1" x14ac:dyDescent="0.25">
      <c r="A150" s="1">
        <v>382</v>
      </c>
      <c r="B150" t="str" cm="1">
        <f t="array" ref="B150">IFERROR(SUBSTITUTE(INDEX(TechType[[#All],[TechTypeID]],$A150),":","__"),"")</f>
        <v/>
      </c>
    </row>
    <row r="151" spans="1:2" hidden="1" x14ac:dyDescent="0.25">
      <c r="A151" s="1">
        <v>383</v>
      </c>
      <c r="B151" t="str" cm="1">
        <f t="array" ref="B151">IFERROR(SUBSTITUTE(INDEX(TechType[[#All],[TechTypeID]],$A151),":","__"),"")</f>
        <v/>
      </c>
    </row>
    <row r="152" spans="1:2" hidden="1" x14ac:dyDescent="0.25">
      <c r="A152" s="1">
        <v>384</v>
      </c>
      <c r="B152" t="str" cm="1">
        <f t="array" ref="B152">IFERROR(SUBSTITUTE(INDEX(TechType[[#All],[TechTypeID]],$A152),":","__"),"")</f>
        <v/>
      </c>
    </row>
    <row r="153" spans="1:2" hidden="1" x14ac:dyDescent="0.25">
      <c r="A153" s="1">
        <v>385</v>
      </c>
      <c r="B153" t="str" cm="1">
        <f t="array" ref="B153">IFERROR(SUBSTITUTE(INDEX(TechType[[#All],[TechTypeID]],$A153),":","__"),"")</f>
        <v/>
      </c>
    </row>
    <row r="154" spans="1:2" hidden="1" x14ac:dyDescent="0.25">
      <c r="A154" s="1">
        <v>386</v>
      </c>
      <c r="B154" t="str" cm="1">
        <f t="array" ref="B154">IFERROR(SUBSTITUTE(INDEX(TechType[[#All],[TechTypeID]],$A154),":","__"),"")</f>
        <v/>
      </c>
    </row>
    <row r="155" spans="1:2" hidden="1" x14ac:dyDescent="0.25">
      <c r="A155" s="1">
        <v>387</v>
      </c>
      <c r="B155" t="str" cm="1">
        <f t="array" ref="B155">IFERROR(SUBSTITUTE(INDEX(TechType[[#All],[TechTypeID]],$A155),":","__"),"")</f>
        <v/>
      </c>
    </row>
    <row r="156" spans="1:2" hidden="1" x14ac:dyDescent="0.25">
      <c r="A156" s="1">
        <v>388</v>
      </c>
      <c r="B156" t="str" cm="1">
        <f t="array" ref="B156">IFERROR(SUBSTITUTE(INDEX(TechType[[#All],[TechTypeID]],$A156),":","__"),"")</f>
        <v/>
      </c>
    </row>
    <row r="157" spans="1:2" hidden="1" x14ac:dyDescent="0.25">
      <c r="A157" s="1">
        <v>389</v>
      </c>
      <c r="B157" t="str" cm="1">
        <f t="array" ref="B157">IFERROR(SUBSTITUTE(INDEX(TechType[[#All],[TechTypeID]],$A157),":","__"),"")</f>
        <v/>
      </c>
    </row>
    <row r="158" spans="1:2" hidden="1" x14ac:dyDescent="0.25">
      <c r="A158" s="1">
        <v>390</v>
      </c>
      <c r="B158" t="str" cm="1">
        <f t="array" ref="B158">IFERROR(SUBSTITUTE(INDEX(TechType[[#All],[TechTypeID]],$A158),":","__"),"")</f>
        <v/>
      </c>
    </row>
    <row r="159" spans="1:2" hidden="1" x14ac:dyDescent="0.25">
      <c r="A159" s="1">
        <v>391</v>
      </c>
      <c r="B159" t="str" cm="1">
        <f t="array" ref="B159">IFERROR(SUBSTITUTE(INDEX(TechType[[#All],[TechTypeID]],$A159),":","__"),"")</f>
        <v/>
      </c>
    </row>
    <row r="160" spans="1:2" hidden="1" x14ac:dyDescent="0.25">
      <c r="A160" s="1">
        <v>392</v>
      </c>
      <c r="B160" t="str" cm="1">
        <f t="array" ref="B160">IFERROR(SUBSTITUTE(INDEX(TechType[[#All],[TechTypeID]],$A160),":","__"),"")</f>
        <v/>
      </c>
    </row>
    <row r="161" spans="1:2" hidden="1" x14ac:dyDescent="0.25">
      <c r="A161" s="1">
        <v>393</v>
      </c>
      <c r="B161" t="str" cm="1">
        <f t="array" ref="B161">IFERROR(SUBSTITUTE(INDEX(TechType[[#All],[TechTypeID]],$A161),":","__"),"")</f>
        <v/>
      </c>
    </row>
    <row r="162" spans="1:2" hidden="1" x14ac:dyDescent="0.25">
      <c r="A162" s="1">
        <v>394</v>
      </c>
      <c r="B162" t="str" cm="1">
        <f t="array" ref="B162">IFERROR(SUBSTITUTE(INDEX(TechType[[#All],[TechTypeID]],$A162),":","__"),"")</f>
        <v/>
      </c>
    </row>
    <row r="163" spans="1:2" hidden="1" x14ac:dyDescent="0.25">
      <c r="A163" s="1">
        <v>395</v>
      </c>
      <c r="B163" t="str" cm="1">
        <f t="array" ref="B163">IFERROR(SUBSTITUTE(INDEX(TechType[[#All],[TechTypeID]],$A163),":","__"),"")</f>
        <v/>
      </c>
    </row>
    <row r="164" spans="1:2" hidden="1" x14ac:dyDescent="0.25">
      <c r="A164" s="1">
        <v>396</v>
      </c>
      <c r="B164" t="str" cm="1">
        <f t="array" ref="B164">IFERROR(SUBSTITUTE(INDEX(TechType[[#All],[TechTypeID]],$A164),":","__"),"")</f>
        <v/>
      </c>
    </row>
    <row r="165" spans="1:2" hidden="1" x14ac:dyDescent="0.25">
      <c r="A165" s="1">
        <v>397</v>
      </c>
      <c r="B165" t="str" cm="1">
        <f t="array" ref="B165">IFERROR(SUBSTITUTE(INDEX(TechType[[#All],[TechTypeID]],$A165),":","__"),"")</f>
        <v/>
      </c>
    </row>
    <row r="166" spans="1:2" hidden="1" x14ac:dyDescent="0.25">
      <c r="A166" s="1">
        <v>398</v>
      </c>
      <c r="B166" t="str" cm="1">
        <f t="array" ref="B166">IFERROR(SUBSTITUTE(INDEX(TechType[[#All],[TechTypeID]],$A166),":","__"),"")</f>
        <v/>
      </c>
    </row>
    <row r="167" spans="1:2" hidden="1" x14ac:dyDescent="0.25">
      <c r="A167" s="1">
        <v>399</v>
      </c>
      <c r="B167" t="str" cm="1">
        <f t="array" ref="B167">IFERROR(SUBSTITUTE(INDEX(TechType[[#All],[TechTypeID]],$A167),":","__"),"")</f>
        <v/>
      </c>
    </row>
    <row r="168" spans="1:2" hidden="1" x14ac:dyDescent="0.25">
      <c r="A168" s="1">
        <v>400</v>
      </c>
      <c r="B168" t="str" cm="1">
        <f t="array" ref="B168">IFERROR(SUBSTITUTE(INDEX(TechType[[#All],[TechTypeID]],$A168),":","__"),"")</f>
        <v/>
      </c>
    </row>
    <row r="169" spans="1:2" hidden="1" x14ac:dyDescent="0.25">
      <c r="A169" s="1">
        <v>401</v>
      </c>
      <c r="B169" t="str" cm="1">
        <f t="array" ref="B169">IFERROR(SUBSTITUTE(INDEX(TechType[[#All],[TechTypeID]],$A169),":","__"),"")</f>
        <v/>
      </c>
    </row>
    <row r="170" spans="1:2" hidden="1" x14ac:dyDescent="0.25">
      <c r="A170" s="1">
        <v>402</v>
      </c>
      <c r="B170" t="str" cm="1">
        <f t="array" ref="B170">IFERROR(SUBSTITUTE(INDEX(TechType[[#All],[TechTypeID]],$A170),":","__"),"")</f>
        <v/>
      </c>
    </row>
    <row r="171" spans="1:2" hidden="1" x14ac:dyDescent="0.25">
      <c r="A171" s="1">
        <v>403</v>
      </c>
      <c r="B171" t="str" cm="1">
        <f t="array" ref="B171">IFERROR(SUBSTITUTE(INDEX(TechType[[#All],[TechTypeID]],$A171),":","__"),"")</f>
        <v/>
      </c>
    </row>
    <row r="172" spans="1:2" hidden="1" x14ac:dyDescent="0.25">
      <c r="A172" s="1">
        <v>404</v>
      </c>
      <c r="B172" t="str" cm="1">
        <f t="array" ref="B172">IFERROR(SUBSTITUTE(INDEX(TechType[[#All],[TechTypeID]],$A172),":","__"),"")</f>
        <v/>
      </c>
    </row>
    <row r="173" spans="1:2" hidden="1" x14ac:dyDescent="0.25">
      <c r="A173" s="1">
        <v>405</v>
      </c>
      <c r="B173" t="str" cm="1">
        <f t="array" ref="B173">IFERROR(SUBSTITUTE(INDEX(TechType[[#All],[TechTypeID]],$A173),":","__"),"")</f>
        <v/>
      </c>
    </row>
    <row r="174" spans="1:2" hidden="1" x14ac:dyDescent="0.25">
      <c r="A174" s="1">
        <v>406</v>
      </c>
      <c r="B174" t="str" cm="1">
        <f t="array" ref="B174">IFERROR(SUBSTITUTE(INDEX(TechType[[#All],[TechTypeID]],$A174),":","__"),"")</f>
        <v/>
      </c>
    </row>
    <row r="175" spans="1:2" hidden="1" x14ac:dyDescent="0.25">
      <c r="A175" s="1">
        <v>407</v>
      </c>
      <c r="B175" t="str" cm="1">
        <f t="array" ref="B175">IFERROR(SUBSTITUTE(INDEX(TechType[[#All],[TechTypeID]],$A175),":","__"),"")</f>
        <v/>
      </c>
    </row>
    <row r="176" spans="1:2" hidden="1" x14ac:dyDescent="0.25">
      <c r="A176" s="1">
        <v>408</v>
      </c>
      <c r="B176" t="str" cm="1">
        <f t="array" ref="B176">IFERROR(SUBSTITUTE(INDEX(TechType[[#All],[TechTypeID]],$A176),":","__"),"")</f>
        <v/>
      </c>
    </row>
    <row r="177" spans="1:2" hidden="1" x14ac:dyDescent="0.25">
      <c r="A177" s="1">
        <v>409</v>
      </c>
      <c r="B177" t="str" cm="1">
        <f t="array" ref="B177">IFERROR(SUBSTITUTE(INDEX(TechType[[#All],[TechTypeID]],$A177),":","__"),"")</f>
        <v/>
      </c>
    </row>
    <row r="178" spans="1:2" hidden="1" x14ac:dyDescent="0.25">
      <c r="A178" s="1">
        <v>410</v>
      </c>
      <c r="B178" t="str" cm="1">
        <f t="array" ref="B178">IFERROR(SUBSTITUTE(INDEX(TechType[[#All],[TechTypeID]],$A178),":","__"),"")</f>
        <v/>
      </c>
    </row>
    <row r="179" spans="1:2" hidden="1" x14ac:dyDescent="0.25">
      <c r="A179" s="1">
        <v>411</v>
      </c>
      <c r="B179" t="str" cm="1">
        <f t="array" ref="B179">IFERROR(SUBSTITUTE(INDEX(TechType[[#All],[TechTypeID]],$A179),":","__"),"")</f>
        <v/>
      </c>
    </row>
    <row r="180" spans="1:2" hidden="1" x14ac:dyDescent="0.25">
      <c r="A180" s="1">
        <v>412</v>
      </c>
      <c r="B180" t="str" cm="1">
        <f t="array" ref="B180">IFERROR(SUBSTITUTE(INDEX(TechType[[#All],[TechTypeID]],$A180),":","__"),"")</f>
        <v/>
      </c>
    </row>
    <row r="181" spans="1:2" hidden="1" x14ac:dyDescent="0.25">
      <c r="A181" s="1">
        <v>413</v>
      </c>
      <c r="B181" t="str" cm="1">
        <f t="array" ref="B181">IFERROR(SUBSTITUTE(INDEX(TechType[[#All],[TechTypeID]],$A181),":","__"),"")</f>
        <v/>
      </c>
    </row>
    <row r="182" spans="1:2" hidden="1" x14ac:dyDescent="0.25">
      <c r="A182" s="1">
        <v>414</v>
      </c>
      <c r="B182" t="str" cm="1">
        <f t="array" ref="B182">IFERROR(SUBSTITUTE(INDEX(TechType[[#All],[TechTypeID]],$A182),":","__"),"")</f>
        <v/>
      </c>
    </row>
    <row r="183" spans="1:2" hidden="1" x14ac:dyDescent="0.25">
      <c r="A183" s="1">
        <v>415</v>
      </c>
      <c r="B183" t="str" cm="1">
        <f t="array" ref="B183">IFERROR(SUBSTITUTE(INDEX(TechType[[#All],[TechTypeID]],$A183),":","__"),"")</f>
        <v/>
      </c>
    </row>
    <row r="184" spans="1:2" hidden="1" x14ac:dyDescent="0.25">
      <c r="A184" s="1">
        <v>416</v>
      </c>
      <c r="B184" t="str" cm="1">
        <f t="array" ref="B184">IFERROR(SUBSTITUTE(INDEX(TechType[[#All],[TechTypeID]],$A184),":","__"),"")</f>
        <v/>
      </c>
    </row>
    <row r="185" spans="1:2" hidden="1" x14ac:dyDescent="0.25">
      <c r="A185" s="1">
        <v>417</v>
      </c>
      <c r="B185" t="str" cm="1">
        <f t="array" ref="B185">IFERROR(SUBSTITUTE(INDEX(TechType[[#All],[TechTypeID]],$A185),":","__"),"")</f>
        <v/>
      </c>
    </row>
    <row r="186" spans="1:2" hidden="1" x14ac:dyDescent="0.25">
      <c r="A186" s="1">
        <v>418</v>
      </c>
      <c r="B186" t="str" cm="1">
        <f t="array" ref="B186">IFERROR(SUBSTITUTE(INDEX(TechType[[#All],[TechTypeID]],$A186),":","__"),"")</f>
        <v/>
      </c>
    </row>
    <row r="187" spans="1:2" hidden="1" x14ac:dyDescent="0.25">
      <c r="A187" s="1">
        <v>419</v>
      </c>
      <c r="B187" t="str" cm="1">
        <f t="array" ref="B187">IFERROR(SUBSTITUTE(INDEX(TechType[[#All],[TechTypeID]],$A187),":","__"),"")</f>
        <v/>
      </c>
    </row>
    <row r="188" spans="1:2" hidden="1" x14ac:dyDescent="0.25">
      <c r="A188" s="1">
        <v>420</v>
      </c>
      <c r="B188" t="str" cm="1">
        <f t="array" ref="B188">IFERROR(SUBSTITUTE(INDEX(TechType[[#All],[TechTypeID]],$A188),":","__"),"")</f>
        <v/>
      </c>
    </row>
    <row r="189" spans="1:2" hidden="1" x14ac:dyDescent="0.25">
      <c r="A189" s="1">
        <v>421</v>
      </c>
      <c r="B189" t="str" cm="1">
        <f t="array" ref="B189">IFERROR(SUBSTITUTE(INDEX(TechType[[#All],[TechTypeID]],$A189),":","__"),"")</f>
        <v/>
      </c>
    </row>
    <row r="190" spans="1:2" hidden="1" x14ac:dyDescent="0.25">
      <c r="A190" s="1">
        <v>422</v>
      </c>
      <c r="B190" t="str" cm="1">
        <f t="array" ref="B190">IFERROR(SUBSTITUTE(INDEX(TechType[[#All],[TechTypeID]],$A190),":","__"),"")</f>
        <v/>
      </c>
    </row>
    <row r="191" spans="1:2" hidden="1" x14ac:dyDescent="0.25">
      <c r="A191" s="1">
        <v>423</v>
      </c>
      <c r="B191" t="str" cm="1">
        <f t="array" ref="B191">IFERROR(SUBSTITUTE(INDEX(TechType[[#All],[TechTypeID]],$A191),":","__"),"")</f>
        <v/>
      </c>
    </row>
    <row r="192" spans="1:2" hidden="1" x14ac:dyDescent="0.25">
      <c r="A192" s="1">
        <v>424</v>
      </c>
      <c r="B192" t="str" cm="1">
        <f t="array" ref="B192">IFERROR(SUBSTITUTE(INDEX(TechType[[#All],[TechTypeID]],$A192),":","__"),"")</f>
        <v/>
      </c>
    </row>
    <row r="193" spans="1:2" hidden="1" x14ac:dyDescent="0.25">
      <c r="A193" s="1">
        <v>425</v>
      </c>
      <c r="B193" t="str" cm="1">
        <f t="array" ref="B193">IFERROR(SUBSTITUTE(INDEX(TechType[[#All],[TechTypeID]],$A193),":","__"),"")</f>
        <v/>
      </c>
    </row>
    <row r="194" spans="1:2" hidden="1" x14ac:dyDescent="0.25">
      <c r="A194" s="1">
        <v>426</v>
      </c>
      <c r="B194" t="str" cm="1">
        <f t="array" ref="B194">IFERROR(SUBSTITUTE(INDEX(TechType[[#All],[TechTypeID]],$A194),":","__"),"")</f>
        <v/>
      </c>
    </row>
    <row r="195" spans="1:2" hidden="1" x14ac:dyDescent="0.25">
      <c r="A195" s="1">
        <v>427</v>
      </c>
      <c r="B195" t="str" cm="1">
        <f t="array" ref="B195">IFERROR(SUBSTITUTE(INDEX(TechType[[#All],[TechTypeID]],$A195),":","__"),"")</f>
        <v/>
      </c>
    </row>
    <row r="196" spans="1:2" hidden="1" x14ac:dyDescent="0.25">
      <c r="A196" s="1">
        <v>428</v>
      </c>
      <c r="B196" t="str" cm="1">
        <f t="array" ref="B196">IFERROR(SUBSTITUTE(INDEX(TechType[[#All],[TechTypeID]],$A196),":","__"),"")</f>
        <v/>
      </c>
    </row>
    <row r="197" spans="1:2" hidden="1" x14ac:dyDescent="0.25">
      <c r="A197" s="1">
        <v>429</v>
      </c>
      <c r="B197" t="str" cm="1">
        <f t="array" ref="B197">IFERROR(SUBSTITUTE(INDEX(TechType[[#All],[TechTypeID]],$A197),":","__"),"")</f>
        <v/>
      </c>
    </row>
    <row r="198" spans="1:2" hidden="1" x14ac:dyDescent="0.25">
      <c r="A198" s="1">
        <v>430</v>
      </c>
      <c r="B198" t="str" cm="1">
        <f t="array" ref="B198">IFERROR(SUBSTITUTE(INDEX(TechType[[#All],[TechTypeID]],$A198),":","__"),"")</f>
        <v/>
      </c>
    </row>
    <row r="199" spans="1:2" hidden="1" x14ac:dyDescent="0.25">
      <c r="A199" s="1">
        <v>431</v>
      </c>
      <c r="B199" t="str" cm="1">
        <f t="array" ref="B199">IFERROR(SUBSTITUTE(INDEX(TechType[[#All],[TechTypeID]],$A199),":","__"),"")</f>
        <v/>
      </c>
    </row>
    <row r="200" spans="1:2" hidden="1" x14ac:dyDescent="0.25">
      <c r="A200" s="1">
        <v>432</v>
      </c>
      <c r="B200" t="str" cm="1">
        <f t="array" ref="B200">IFERROR(SUBSTITUTE(INDEX(TechType[[#All],[TechTypeID]],$A200),":","__"),"")</f>
        <v/>
      </c>
    </row>
    <row r="201" spans="1:2" hidden="1" x14ac:dyDescent="0.25">
      <c r="A201" s="1">
        <v>433</v>
      </c>
      <c r="B201" t="str" cm="1">
        <f t="array" ref="B201">IFERROR(SUBSTITUTE(INDEX(TechType[[#All],[TechTypeID]],$A201),":","__"),"")</f>
        <v/>
      </c>
    </row>
    <row r="202" spans="1:2" hidden="1" x14ac:dyDescent="0.25">
      <c r="A202" s="1">
        <v>434</v>
      </c>
      <c r="B202" t="str" cm="1">
        <f t="array" ref="B202">IFERROR(SUBSTITUTE(INDEX(TechType[[#All],[TechTypeID]],$A202),":","__"),"")</f>
        <v/>
      </c>
    </row>
    <row r="203" spans="1:2" hidden="1" x14ac:dyDescent="0.25">
      <c r="A203" s="1">
        <v>435</v>
      </c>
      <c r="B203" t="str" cm="1">
        <f t="array" ref="B203">IFERROR(SUBSTITUTE(INDEX(TechType[[#All],[TechTypeID]],$A203),":","__"),"")</f>
        <v/>
      </c>
    </row>
    <row r="204" spans="1:2" hidden="1" x14ac:dyDescent="0.25">
      <c r="A204" s="1">
        <v>436</v>
      </c>
      <c r="B204" t="str" cm="1">
        <f t="array" ref="B204">IFERROR(SUBSTITUTE(INDEX(TechType[[#All],[TechTypeID]],$A204),":","__"),"")</f>
        <v/>
      </c>
    </row>
    <row r="205" spans="1:2" hidden="1" x14ac:dyDescent="0.25">
      <c r="A205" s="1">
        <v>437</v>
      </c>
      <c r="B205" t="str" cm="1">
        <f t="array" ref="B205">IFERROR(SUBSTITUTE(INDEX(TechType[[#All],[TechTypeID]],$A205),":","__"),"")</f>
        <v/>
      </c>
    </row>
    <row r="206" spans="1:2" hidden="1" x14ac:dyDescent="0.25">
      <c r="A206" s="1">
        <v>438</v>
      </c>
      <c r="B206" t="str" cm="1">
        <f t="array" ref="B206">IFERROR(SUBSTITUTE(INDEX(TechType[[#All],[TechTypeID]],$A206),":","__"),"")</f>
        <v/>
      </c>
    </row>
    <row r="207" spans="1:2" hidden="1" x14ac:dyDescent="0.25">
      <c r="A207" s="1">
        <v>439</v>
      </c>
      <c r="B207" t="str" cm="1">
        <f t="array" ref="B207">IFERROR(SUBSTITUTE(INDEX(TechType[[#All],[TechTypeID]],$A207),":","__"),"")</f>
        <v/>
      </c>
    </row>
    <row r="208" spans="1:2" hidden="1" x14ac:dyDescent="0.25">
      <c r="A208" s="1">
        <v>440</v>
      </c>
      <c r="B208" t="str" cm="1">
        <f t="array" ref="B208">IFERROR(SUBSTITUTE(INDEX(TechType[[#All],[TechTypeID]],$A208),":","__"),"")</f>
        <v/>
      </c>
    </row>
    <row r="209" spans="1:2" hidden="1" x14ac:dyDescent="0.25">
      <c r="A209" s="1">
        <v>441</v>
      </c>
      <c r="B209" t="str" cm="1">
        <f t="array" ref="B209">IFERROR(SUBSTITUTE(INDEX(TechType[[#All],[TechTypeID]],$A209),":","__"),"")</f>
        <v/>
      </c>
    </row>
    <row r="210" spans="1:2" hidden="1" x14ac:dyDescent="0.25">
      <c r="A210" s="1">
        <v>442</v>
      </c>
      <c r="B210" t="str" cm="1">
        <f t="array" ref="B210">IFERROR(SUBSTITUTE(INDEX(TechType[[#All],[TechTypeID]],$A210),":","__"),"")</f>
        <v/>
      </c>
    </row>
    <row r="211" spans="1:2" hidden="1" x14ac:dyDescent="0.25">
      <c r="A211" s="1">
        <v>443</v>
      </c>
      <c r="B211" t="str" cm="1">
        <f t="array" ref="B211">IFERROR(SUBSTITUTE(INDEX(TechType[[#All],[TechTypeID]],$A211),":","__"),"")</f>
        <v/>
      </c>
    </row>
    <row r="212" spans="1:2" hidden="1" x14ac:dyDescent="0.25">
      <c r="A212" s="1">
        <v>444</v>
      </c>
      <c r="B212" t="str" cm="1">
        <f t="array" ref="B212">IFERROR(SUBSTITUTE(INDEX(TechType[[#All],[TechTypeID]],$A212),":","__"),"")</f>
        <v/>
      </c>
    </row>
    <row r="213" spans="1:2" hidden="1" x14ac:dyDescent="0.25">
      <c r="A213" s="1">
        <v>445</v>
      </c>
      <c r="B213" t="str" cm="1">
        <f t="array" ref="B213">IFERROR(SUBSTITUTE(INDEX(TechType[[#All],[TechTypeID]],$A213),":","__"),"")</f>
        <v/>
      </c>
    </row>
    <row r="214" spans="1:2" hidden="1" x14ac:dyDescent="0.25">
      <c r="A214" s="1">
        <v>446</v>
      </c>
      <c r="B214" t="str" cm="1">
        <f t="array" ref="B214">IFERROR(SUBSTITUTE(INDEX(TechType[[#All],[TechTypeID]],$A214),":","__"),"")</f>
        <v/>
      </c>
    </row>
    <row r="215" spans="1:2" hidden="1" x14ac:dyDescent="0.25">
      <c r="A215" s="1">
        <v>447</v>
      </c>
      <c r="B215" t="str" cm="1">
        <f t="array" ref="B215">IFERROR(SUBSTITUTE(INDEX(TechType[[#All],[TechTypeID]],$A215),":","__"),"")</f>
        <v/>
      </c>
    </row>
    <row r="216" spans="1:2" hidden="1" x14ac:dyDescent="0.25">
      <c r="A216" s="1">
        <v>448</v>
      </c>
      <c r="B216" t="str" cm="1">
        <f t="array" ref="B216">IFERROR(SUBSTITUTE(INDEX(TechType[[#All],[TechTypeID]],$A216),":","__"),"")</f>
        <v/>
      </c>
    </row>
    <row r="217" spans="1:2" hidden="1" x14ac:dyDescent="0.25">
      <c r="A217" s="1">
        <v>449</v>
      </c>
      <c r="B217" t="str" cm="1">
        <f t="array" ref="B217">IFERROR(SUBSTITUTE(INDEX(TechType[[#All],[TechTypeID]],$A217),":","__"),"")</f>
        <v/>
      </c>
    </row>
    <row r="218" spans="1:2" hidden="1" x14ac:dyDescent="0.25">
      <c r="A218" s="1">
        <v>450</v>
      </c>
      <c r="B218" t="str" cm="1">
        <f t="array" ref="B218">IFERROR(SUBSTITUTE(INDEX(TechType[[#All],[TechTypeID]],$A218),":","__"),"")</f>
        <v/>
      </c>
    </row>
    <row r="219" spans="1:2" hidden="1" x14ac:dyDescent="0.25">
      <c r="A219" s="1">
        <v>451</v>
      </c>
      <c r="B219" t="str" cm="1">
        <f t="array" ref="B219">IFERROR(SUBSTITUTE(INDEX(TechType[[#All],[TechTypeID]],$A219),":","__"),"")</f>
        <v/>
      </c>
    </row>
    <row r="220" spans="1:2" hidden="1" x14ac:dyDescent="0.25">
      <c r="A220" s="1">
        <v>452</v>
      </c>
      <c r="B220" t="str" cm="1">
        <f t="array" ref="B220">IFERROR(SUBSTITUTE(INDEX(TechType[[#All],[TechTypeID]],$A220),":","__"),"")</f>
        <v/>
      </c>
    </row>
    <row r="221" spans="1:2" hidden="1" x14ac:dyDescent="0.25">
      <c r="A221" s="1">
        <v>453</v>
      </c>
      <c r="B221" t="str" cm="1">
        <f t="array" ref="B221">IFERROR(SUBSTITUTE(INDEX(TechType[[#All],[TechTypeID]],$A221),":","__"),"")</f>
        <v/>
      </c>
    </row>
    <row r="222" spans="1:2" hidden="1" x14ac:dyDescent="0.25">
      <c r="A222" s="1">
        <v>454</v>
      </c>
      <c r="B222" t="str" cm="1">
        <f t="array" ref="B222">IFERROR(SUBSTITUTE(INDEX(TechType[[#All],[TechTypeID]],$A222),":","__"),"")</f>
        <v/>
      </c>
    </row>
    <row r="223" spans="1:2" hidden="1" x14ac:dyDescent="0.25">
      <c r="A223" s="1">
        <v>455</v>
      </c>
      <c r="B223" t="str" cm="1">
        <f t="array" ref="B223">IFERROR(SUBSTITUTE(INDEX(TechType[[#All],[TechTypeID]],$A223),":","__"),"")</f>
        <v/>
      </c>
    </row>
    <row r="224" spans="1:2" hidden="1" x14ac:dyDescent="0.25">
      <c r="A224" s="1">
        <v>456</v>
      </c>
      <c r="B224" t="str" cm="1">
        <f t="array" ref="B224">IFERROR(SUBSTITUTE(INDEX(TechType[[#All],[TechTypeID]],$A224),":","__"),"")</f>
        <v/>
      </c>
    </row>
    <row r="225" spans="1:2" hidden="1" x14ac:dyDescent="0.25">
      <c r="A225" s="1">
        <v>457</v>
      </c>
      <c r="B225" t="str" cm="1">
        <f t="array" ref="B225">IFERROR(SUBSTITUTE(INDEX(TechType[[#All],[TechTypeID]],$A225),":","__"),"")</f>
        <v/>
      </c>
    </row>
    <row r="226" spans="1:2" hidden="1" x14ac:dyDescent="0.25">
      <c r="A226" s="1">
        <v>458</v>
      </c>
      <c r="B226" t="str" cm="1">
        <f t="array" ref="B226">IFERROR(SUBSTITUTE(INDEX(TechType[[#All],[TechTypeID]],$A226),":","__"),"")</f>
        <v/>
      </c>
    </row>
    <row r="227" spans="1:2" hidden="1" x14ac:dyDescent="0.25">
      <c r="A227" s="1">
        <v>459</v>
      </c>
      <c r="B227" t="str" cm="1">
        <f t="array" ref="B227">IFERROR(SUBSTITUTE(INDEX(TechType[[#All],[TechTypeID]],$A227),":","__"),"")</f>
        <v/>
      </c>
    </row>
    <row r="228" spans="1:2" hidden="1" x14ac:dyDescent="0.25">
      <c r="A228" s="1">
        <v>460</v>
      </c>
      <c r="B228" t="str" cm="1">
        <f t="array" ref="B228">IFERROR(SUBSTITUTE(INDEX(TechType[[#All],[TechTypeID]],$A228),":","__"),"")</f>
        <v/>
      </c>
    </row>
    <row r="229" spans="1:2" hidden="1" x14ac:dyDescent="0.25">
      <c r="A229" s="1">
        <v>461</v>
      </c>
      <c r="B229" t="str" cm="1">
        <f t="array" ref="B229">IFERROR(SUBSTITUTE(INDEX(TechType[[#All],[TechTypeID]],$A229),":","__"),"")</f>
        <v/>
      </c>
    </row>
    <row r="230" spans="1:2" hidden="1" x14ac:dyDescent="0.25">
      <c r="A230" s="1">
        <v>462</v>
      </c>
      <c r="B230" t="str" cm="1">
        <f t="array" ref="B230">IFERROR(SUBSTITUTE(INDEX(TechType[[#All],[TechTypeID]],$A230),":","__"),"")</f>
        <v/>
      </c>
    </row>
    <row r="231" spans="1:2" hidden="1" x14ac:dyDescent="0.25">
      <c r="A231" s="1">
        <v>463</v>
      </c>
      <c r="B231" t="str" cm="1">
        <f t="array" ref="B231">IFERROR(SUBSTITUTE(INDEX(TechType[[#All],[TechTypeID]],$A231),":","__"),"")</f>
        <v/>
      </c>
    </row>
    <row r="232" spans="1:2" hidden="1" x14ac:dyDescent="0.25">
      <c r="A232" s="1">
        <v>464</v>
      </c>
      <c r="B232" t="str" cm="1">
        <f t="array" ref="B232">IFERROR(SUBSTITUTE(INDEX(TechType[[#All],[TechTypeID]],$A232),":","__"),"")</f>
        <v/>
      </c>
    </row>
    <row r="233" spans="1:2" hidden="1" x14ac:dyDescent="0.25">
      <c r="A233" s="1">
        <v>465</v>
      </c>
      <c r="B233" t="str" cm="1">
        <f t="array" ref="B233">IFERROR(SUBSTITUTE(INDEX(TechType[[#All],[TechTypeID]],$A233),":","__"),"")</f>
        <v/>
      </c>
    </row>
    <row r="234" spans="1:2" hidden="1" x14ac:dyDescent="0.25">
      <c r="A234" s="1">
        <v>466</v>
      </c>
      <c r="B234" t="str" cm="1">
        <f t="array" ref="B234">IFERROR(SUBSTITUTE(INDEX(TechType[[#All],[TechTypeID]],$A234),":","__"),"")</f>
        <v/>
      </c>
    </row>
    <row r="235" spans="1:2" hidden="1" x14ac:dyDescent="0.25">
      <c r="A235" s="1">
        <v>467</v>
      </c>
      <c r="B235" t="str" cm="1">
        <f t="array" ref="B235">IFERROR(SUBSTITUTE(INDEX(TechType[[#All],[TechTypeID]],$A235),":","__"),"")</f>
        <v/>
      </c>
    </row>
    <row r="236" spans="1:2" hidden="1" x14ac:dyDescent="0.25">
      <c r="A236" s="1">
        <v>468</v>
      </c>
      <c r="B236" t="str" cm="1">
        <f t="array" ref="B236">IFERROR(SUBSTITUTE(INDEX(TechType[[#All],[TechTypeID]],$A236),":","__"),"")</f>
        <v/>
      </c>
    </row>
    <row r="237" spans="1:2" hidden="1" x14ac:dyDescent="0.25">
      <c r="A237" s="1">
        <v>469</v>
      </c>
      <c r="B237" t="str" cm="1">
        <f t="array" ref="B237">IFERROR(SUBSTITUTE(INDEX(TechType[[#All],[TechTypeID]],$A237),":","__"),"")</f>
        <v/>
      </c>
    </row>
    <row r="238" spans="1:2" hidden="1" x14ac:dyDescent="0.25">
      <c r="A238" s="1">
        <v>470</v>
      </c>
      <c r="B238" t="str" cm="1">
        <f t="array" ref="B238">IFERROR(SUBSTITUTE(INDEX(TechType[[#All],[TechTypeID]],$A238),":","__"),"")</f>
        <v/>
      </c>
    </row>
    <row r="239" spans="1:2" hidden="1" x14ac:dyDescent="0.25">
      <c r="A239" s="1">
        <v>471</v>
      </c>
      <c r="B239" t="str" cm="1">
        <f t="array" ref="B239">IFERROR(SUBSTITUTE(INDEX(TechType[[#All],[TechTypeID]],$A239),":","__"),"")</f>
        <v/>
      </c>
    </row>
    <row r="240" spans="1:2" hidden="1" x14ac:dyDescent="0.25">
      <c r="A240" s="1">
        <v>472</v>
      </c>
      <c r="B240" t="str" cm="1">
        <f t="array" ref="B240">IFERROR(SUBSTITUTE(INDEX(TechType[[#All],[TechTypeID]],$A240),":","__"),"")</f>
        <v/>
      </c>
    </row>
    <row r="241" spans="1:2" hidden="1" x14ac:dyDescent="0.25">
      <c r="A241" s="1">
        <v>473</v>
      </c>
      <c r="B241" t="str" cm="1">
        <f t="array" ref="B241">IFERROR(SUBSTITUTE(INDEX(TechType[[#All],[TechTypeID]],$A241),":","__"),"")</f>
        <v/>
      </c>
    </row>
    <row r="242" spans="1:2" hidden="1" x14ac:dyDescent="0.25">
      <c r="A242" s="1">
        <v>474</v>
      </c>
      <c r="B242" t="str" cm="1">
        <f t="array" ref="B242">IFERROR(SUBSTITUTE(INDEX(TechType[[#All],[TechTypeID]],$A242),":","__"),"")</f>
        <v/>
      </c>
    </row>
    <row r="243" spans="1:2" hidden="1" x14ac:dyDescent="0.25">
      <c r="A243" s="1">
        <v>475</v>
      </c>
      <c r="B243" t="str" cm="1">
        <f t="array" ref="B243">IFERROR(SUBSTITUTE(INDEX(TechType[[#All],[TechTypeID]],$A243),":","__"),"")</f>
        <v/>
      </c>
    </row>
    <row r="244" spans="1:2" hidden="1" x14ac:dyDescent="0.25">
      <c r="A244" s="1">
        <v>476</v>
      </c>
      <c r="B244" t="str" cm="1">
        <f t="array" ref="B244">IFERROR(SUBSTITUTE(INDEX(TechType[[#All],[TechTypeID]],$A244),":","__"),"")</f>
        <v/>
      </c>
    </row>
    <row r="245" spans="1:2" hidden="1" x14ac:dyDescent="0.25">
      <c r="A245" s="1">
        <v>477</v>
      </c>
      <c r="B245" t="str" cm="1">
        <f t="array" ref="B245">IFERROR(SUBSTITUTE(INDEX(TechType[[#All],[TechTypeID]],$A245),":","__"),"")</f>
        <v/>
      </c>
    </row>
    <row r="246" spans="1:2" hidden="1" x14ac:dyDescent="0.25">
      <c r="A246" s="1">
        <v>478</v>
      </c>
      <c r="B246" t="str" cm="1">
        <f t="array" ref="B246">IFERROR(SUBSTITUTE(INDEX(TechType[[#All],[TechTypeID]],$A246),":","__"),"")</f>
        <v/>
      </c>
    </row>
    <row r="247" spans="1:2" hidden="1" x14ac:dyDescent="0.25">
      <c r="A247" s="1">
        <v>479</v>
      </c>
      <c r="B247" t="str" cm="1">
        <f t="array" ref="B247">IFERROR(SUBSTITUTE(INDEX(TechType[[#All],[TechTypeID]],$A247),":","__"),"")</f>
        <v/>
      </c>
    </row>
    <row r="248" spans="1:2" hidden="1" x14ac:dyDescent="0.25">
      <c r="A248" s="1">
        <v>480</v>
      </c>
      <c r="B248" t="str" cm="1">
        <f t="array" ref="B248">IFERROR(SUBSTITUTE(INDEX(TechType[[#All],[TechTypeID]],$A248),":","__"),"")</f>
        <v/>
      </c>
    </row>
    <row r="249" spans="1:2" hidden="1" x14ac:dyDescent="0.25">
      <c r="A249" s="1">
        <v>481</v>
      </c>
      <c r="B249" t="str" cm="1">
        <f t="array" ref="B249">IFERROR(SUBSTITUTE(INDEX(TechType[[#All],[TechTypeID]],$A249),":","__"),"")</f>
        <v/>
      </c>
    </row>
    <row r="250" spans="1:2" hidden="1" x14ac:dyDescent="0.25">
      <c r="A250" s="1">
        <v>482</v>
      </c>
      <c r="B250" t="str" cm="1">
        <f t="array" ref="B250">IFERROR(SUBSTITUTE(INDEX(TechType[[#All],[TechTypeID]],$A250),":","__"),"")</f>
        <v/>
      </c>
    </row>
    <row r="251" spans="1:2" hidden="1" x14ac:dyDescent="0.25">
      <c r="A251" s="1">
        <v>483</v>
      </c>
      <c r="B251" t="str" cm="1">
        <f t="array" ref="B251">IFERROR(SUBSTITUTE(INDEX(TechType[[#All],[TechTypeID]],$A251),":","__"),"")</f>
        <v/>
      </c>
    </row>
    <row r="252" spans="1:2" hidden="1" x14ac:dyDescent="0.25">
      <c r="A252" s="1">
        <v>484</v>
      </c>
      <c r="B252" t="str" cm="1">
        <f t="array" ref="B252">IFERROR(SUBSTITUTE(INDEX(TechType[[#All],[TechTypeID]],$A252),":","__"),"")</f>
        <v/>
      </c>
    </row>
    <row r="253" spans="1:2" hidden="1" x14ac:dyDescent="0.25">
      <c r="A253" s="1">
        <v>485</v>
      </c>
      <c r="B253" t="str" cm="1">
        <f t="array" ref="B253">IFERROR(SUBSTITUTE(INDEX(TechType[[#All],[TechTypeID]],$A253),":","__"),"")</f>
        <v/>
      </c>
    </row>
    <row r="254" spans="1:2" hidden="1" x14ac:dyDescent="0.25">
      <c r="A254" s="1">
        <v>486</v>
      </c>
      <c r="B254" t="str" cm="1">
        <f t="array" ref="B254">IFERROR(SUBSTITUTE(INDEX(TechType[[#All],[TechTypeID]],$A254),":","__"),"")</f>
        <v/>
      </c>
    </row>
    <row r="255" spans="1:2" hidden="1" x14ac:dyDescent="0.25">
      <c r="A255" s="1">
        <v>487</v>
      </c>
      <c r="B255" t="str" cm="1">
        <f t="array" ref="B255">IFERROR(SUBSTITUTE(INDEX(TechType[[#All],[TechTypeID]],$A255),":","__"),"")</f>
        <v/>
      </c>
    </row>
    <row r="256" spans="1:2" hidden="1" x14ac:dyDescent="0.25">
      <c r="A256" s="1">
        <v>488</v>
      </c>
      <c r="B256" t="str" cm="1">
        <f t="array" ref="B256">IFERROR(SUBSTITUTE(INDEX(TechType[[#All],[TechTypeID]],$A256),":","__"),"")</f>
        <v/>
      </c>
    </row>
    <row r="257" spans="1:2" hidden="1" x14ac:dyDescent="0.25">
      <c r="A257" s="1">
        <v>489</v>
      </c>
      <c r="B257" t="str" cm="1">
        <f t="array" ref="B257">IFERROR(SUBSTITUTE(INDEX(TechType[[#All],[TechTypeID]],$A257),":","__"),"")</f>
        <v/>
      </c>
    </row>
    <row r="258" spans="1:2" hidden="1" x14ac:dyDescent="0.25">
      <c r="A258" s="1">
        <v>490</v>
      </c>
      <c r="B258" t="str" cm="1">
        <f t="array" ref="B258">IFERROR(SUBSTITUTE(INDEX(TechType[[#All],[TechTypeID]],$A258),":","__"),"")</f>
        <v/>
      </c>
    </row>
    <row r="259" spans="1:2" hidden="1" x14ac:dyDescent="0.25">
      <c r="A259" s="1">
        <v>491</v>
      </c>
      <c r="B259" t="str" cm="1">
        <f t="array" ref="B259">IFERROR(SUBSTITUTE(INDEX(TechType[[#All],[TechTypeID]],$A259),":","__"),"")</f>
        <v/>
      </c>
    </row>
    <row r="260" spans="1:2" hidden="1" x14ac:dyDescent="0.25">
      <c r="A260" s="1">
        <v>492</v>
      </c>
      <c r="B260" t="str" cm="1">
        <f t="array" ref="B260">IFERROR(SUBSTITUTE(INDEX(TechType[[#All],[TechTypeID]],$A260),":","__"),"")</f>
        <v/>
      </c>
    </row>
    <row r="261" spans="1:2" hidden="1" x14ac:dyDescent="0.25">
      <c r="A261" s="1">
        <v>493</v>
      </c>
      <c r="B261" t="str" cm="1">
        <f t="array" ref="B261">IFERROR(SUBSTITUTE(INDEX(TechType[[#All],[TechTypeID]],$A261),":","__"),"")</f>
        <v/>
      </c>
    </row>
    <row r="262" spans="1:2" hidden="1" x14ac:dyDescent="0.25">
      <c r="A262" s="1">
        <v>494</v>
      </c>
      <c r="B262" t="str" cm="1">
        <f t="array" ref="B262">IFERROR(SUBSTITUTE(INDEX(TechType[[#All],[TechTypeID]],$A262),":","__"),"")</f>
        <v/>
      </c>
    </row>
    <row r="263" spans="1:2" hidden="1" x14ac:dyDescent="0.25">
      <c r="A263" s="1">
        <v>495</v>
      </c>
      <c r="B263" t="str" cm="1">
        <f t="array" ref="B263">IFERROR(SUBSTITUTE(INDEX(TechType[[#All],[TechTypeID]],$A263),":","__"),"")</f>
        <v/>
      </c>
    </row>
    <row r="264" spans="1:2" hidden="1" x14ac:dyDescent="0.25">
      <c r="A264" s="1">
        <v>496</v>
      </c>
      <c r="B264" t="str" cm="1">
        <f t="array" ref="B264">IFERROR(SUBSTITUTE(INDEX(TechType[[#All],[TechTypeID]],$A264),":","__"),"")</f>
        <v/>
      </c>
    </row>
    <row r="265" spans="1:2" hidden="1" x14ac:dyDescent="0.25">
      <c r="A265" s="1">
        <v>497</v>
      </c>
      <c r="B265" t="str" cm="1">
        <f t="array" ref="B265">IFERROR(SUBSTITUTE(INDEX(TechType[[#All],[TechTypeID]],$A265),":","__"),"")</f>
        <v/>
      </c>
    </row>
    <row r="266" spans="1:2" hidden="1" x14ac:dyDescent="0.25">
      <c r="A266" s="1">
        <v>498</v>
      </c>
      <c r="B266" t="str" cm="1">
        <f t="array" ref="B266">IFERROR(SUBSTITUTE(INDEX(TechType[[#All],[TechTypeID]],$A266),":","__"),"")</f>
        <v/>
      </c>
    </row>
    <row r="267" spans="1:2" hidden="1" x14ac:dyDescent="0.25">
      <c r="A267" s="1">
        <v>499</v>
      </c>
      <c r="B267" t="str" cm="1">
        <f t="array" ref="B267">IFERROR(SUBSTITUTE(INDEX(TechType[[#All],[TechTypeID]],$A267),":","__"),"")</f>
        <v/>
      </c>
    </row>
    <row r="268" spans="1:2" hidden="1" x14ac:dyDescent="0.25">
      <c r="A268" s="1">
        <v>500</v>
      </c>
      <c r="B268" t="str" cm="1">
        <f t="array" ref="B268">IFERROR(SUBSTITUTE(INDEX(TechType[[#All],[TechTypeID]],$A268),":","__"),"")</f>
        <v/>
      </c>
    </row>
    <row r="269" spans="1:2" hidden="1" x14ac:dyDescent="0.25">
      <c r="A269" s="1">
        <v>501</v>
      </c>
      <c r="B269" t="str" cm="1">
        <f t="array" ref="B269">IFERROR(SUBSTITUTE(INDEX(TechType[[#All],[TechTypeID]],$A269),":","__"),"")</f>
        <v/>
      </c>
    </row>
    <row r="270" spans="1:2" hidden="1" x14ac:dyDescent="0.25">
      <c r="A270" s="1">
        <v>502</v>
      </c>
      <c r="B270" t="str" cm="1">
        <f t="array" ref="B270">IFERROR(SUBSTITUTE(INDEX(TechType[[#All],[TechTypeID]],$A270),":","__"),"")</f>
        <v/>
      </c>
    </row>
    <row r="271" spans="1:2" hidden="1" x14ac:dyDescent="0.25">
      <c r="A271" s="1">
        <v>503</v>
      </c>
      <c r="B271" t="str" cm="1">
        <f t="array" ref="B271">IFERROR(SUBSTITUTE(INDEX(TechType[[#All],[TechTypeID]],$A271),":","__"),"")</f>
        <v/>
      </c>
    </row>
    <row r="272" spans="1:2" hidden="1" x14ac:dyDescent="0.25">
      <c r="A272" s="1">
        <v>504</v>
      </c>
      <c r="B272" t="str" cm="1">
        <f t="array" ref="B272">IFERROR(SUBSTITUTE(INDEX(TechType[[#All],[TechTypeID]],$A272),":","__"),"")</f>
        <v/>
      </c>
    </row>
    <row r="273" spans="1:2" hidden="1" x14ac:dyDescent="0.25">
      <c r="A273" s="1">
        <v>505</v>
      </c>
      <c r="B273" t="str" cm="1">
        <f t="array" ref="B273">IFERROR(SUBSTITUTE(INDEX(TechType[[#All],[TechTypeID]],$A273),":","__"),"")</f>
        <v/>
      </c>
    </row>
    <row r="274" spans="1:2" hidden="1" x14ac:dyDescent="0.25">
      <c r="A274" s="1">
        <v>506</v>
      </c>
      <c r="B274" t="str" cm="1">
        <f t="array" ref="B274">IFERROR(SUBSTITUTE(INDEX(TechType[[#All],[TechTypeID]],$A274),":","__"),"")</f>
        <v/>
      </c>
    </row>
    <row r="275" spans="1:2" hidden="1" x14ac:dyDescent="0.25">
      <c r="A275" s="1">
        <v>507</v>
      </c>
      <c r="B275" t="str" cm="1">
        <f t="array" ref="B275">IFERROR(SUBSTITUTE(INDEX(TechType[[#All],[TechTypeID]],$A275),":","__"),"")</f>
        <v/>
      </c>
    </row>
    <row r="276" spans="1:2" hidden="1" x14ac:dyDescent="0.25">
      <c r="A276" s="1">
        <v>508</v>
      </c>
      <c r="B276" t="str" cm="1">
        <f t="array" ref="B276">IFERROR(SUBSTITUTE(INDEX(TechType[[#All],[TechTypeID]],$A276),":","__"),"")</f>
        <v/>
      </c>
    </row>
    <row r="277" spans="1:2" hidden="1" x14ac:dyDescent="0.25">
      <c r="A277" s="1">
        <v>509</v>
      </c>
      <c r="B277" t="str" cm="1">
        <f t="array" ref="B277">IFERROR(SUBSTITUTE(INDEX(TechType[[#All],[TechTypeID]],$A277),":","__"),"")</f>
        <v/>
      </c>
    </row>
    <row r="278" spans="1:2" hidden="1" x14ac:dyDescent="0.25">
      <c r="A278" s="1">
        <v>510</v>
      </c>
      <c r="B278" t="str" cm="1">
        <f t="array" ref="B278">IFERROR(SUBSTITUTE(INDEX(TechType[[#All],[TechTypeID]],$A278),":","__"),"")</f>
        <v/>
      </c>
    </row>
    <row r="279" spans="1:2" hidden="1" x14ac:dyDescent="0.25">
      <c r="A279" s="1">
        <v>511</v>
      </c>
      <c r="B279" t="str" cm="1">
        <f t="array" ref="B279">IFERROR(SUBSTITUTE(INDEX(TechType[[#All],[TechTypeID]],$A279),":","__"),"")</f>
        <v/>
      </c>
    </row>
    <row r="280" spans="1:2" hidden="1" x14ac:dyDescent="0.25">
      <c r="A280" s="1">
        <v>512</v>
      </c>
      <c r="B280" t="str" cm="1">
        <f t="array" ref="B280">IFERROR(SUBSTITUTE(INDEX(TechType[[#All],[TechTypeID]],$A280),":","__"),"")</f>
        <v/>
      </c>
    </row>
    <row r="281" spans="1:2" hidden="1" x14ac:dyDescent="0.25">
      <c r="A281" s="1">
        <v>513</v>
      </c>
      <c r="B281" t="str" cm="1">
        <f t="array" ref="B281">IFERROR(SUBSTITUTE(INDEX(TechType[[#All],[TechTypeID]],$A281),":","__"),"")</f>
        <v/>
      </c>
    </row>
    <row r="282" spans="1:2" hidden="1" x14ac:dyDescent="0.25">
      <c r="A282" s="1">
        <v>514</v>
      </c>
      <c r="B282" t="str" cm="1">
        <f t="array" ref="B282">IFERROR(SUBSTITUTE(INDEX(TechType[[#All],[TechTypeID]],$A282),":","__"),"")</f>
        <v/>
      </c>
    </row>
    <row r="283" spans="1:2" hidden="1" x14ac:dyDescent="0.25">
      <c r="A283" s="1">
        <v>515</v>
      </c>
      <c r="B283" t="str" cm="1">
        <f t="array" ref="B283">IFERROR(SUBSTITUTE(INDEX(TechType[[#All],[TechTypeID]],$A283),":","__"),"")</f>
        <v/>
      </c>
    </row>
    <row r="284" spans="1:2" hidden="1" x14ac:dyDescent="0.25">
      <c r="A284" s="1">
        <v>516</v>
      </c>
      <c r="B284" t="str" cm="1">
        <f t="array" ref="B284">IFERROR(SUBSTITUTE(INDEX(TechType[[#All],[TechTypeID]],$A284),":","__"),"")</f>
        <v/>
      </c>
    </row>
    <row r="285" spans="1:2" hidden="1" x14ac:dyDescent="0.25">
      <c r="A285" s="1">
        <v>517</v>
      </c>
      <c r="B285" t="str" cm="1">
        <f t="array" ref="B285">IFERROR(SUBSTITUTE(INDEX(TechType[[#All],[TechTypeID]],$A285),":","__"),"")</f>
        <v/>
      </c>
    </row>
    <row r="286" spans="1:2" hidden="1" x14ac:dyDescent="0.25">
      <c r="A286" s="1">
        <v>518</v>
      </c>
      <c r="B286" t="str" cm="1">
        <f t="array" ref="B286">IFERROR(SUBSTITUTE(INDEX(TechType[[#All],[TechTypeID]],$A286),":","__"),"")</f>
        <v/>
      </c>
    </row>
    <row r="287" spans="1:2" hidden="1" x14ac:dyDescent="0.25">
      <c r="A287" s="1">
        <v>519</v>
      </c>
      <c r="B287" t="str" cm="1">
        <f t="array" ref="B287">IFERROR(SUBSTITUTE(INDEX(TechType[[#All],[TechTypeID]],$A287),":","__"),"")</f>
        <v/>
      </c>
    </row>
    <row r="288" spans="1:2" hidden="1" x14ac:dyDescent="0.25">
      <c r="A288" s="1">
        <v>520</v>
      </c>
      <c r="B288" t="str" cm="1">
        <f t="array" ref="B288">IFERROR(SUBSTITUTE(INDEX(TechType[[#All],[TechTypeID]],$A288),":","__"),"")</f>
        <v/>
      </c>
    </row>
    <row r="289" spans="1:2" hidden="1" x14ac:dyDescent="0.25">
      <c r="A289" s="1">
        <v>521</v>
      </c>
      <c r="B289" t="str" cm="1">
        <f t="array" ref="B289">IFERROR(SUBSTITUTE(INDEX(TechType[[#All],[TechTypeID]],$A289),":","__"),"")</f>
        <v/>
      </c>
    </row>
    <row r="290" spans="1:2" hidden="1" x14ac:dyDescent="0.25">
      <c r="A290" s="1">
        <v>522</v>
      </c>
      <c r="B290" t="str" cm="1">
        <f t="array" ref="B290">IFERROR(SUBSTITUTE(INDEX(TechType[[#All],[TechTypeID]],$A290),":","__"),"")</f>
        <v/>
      </c>
    </row>
    <row r="291" spans="1:2" hidden="1" x14ac:dyDescent="0.25">
      <c r="A291" s="1">
        <v>523</v>
      </c>
      <c r="B291" t="str" cm="1">
        <f t="array" ref="B291">IFERROR(SUBSTITUTE(INDEX(TechType[[#All],[TechTypeID]],$A291),":","__"),"")</f>
        <v/>
      </c>
    </row>
    <row r="292" spans="1:2" hidden="1" x14ac:dyDescent="0.25">
      <c r="A292" s="1">
        <v>524</v>
      </c>
      <c r="B292" t="str" cm="1">
        <f t="array" ref="B292">IFERROR(SUBSTITUTE(INDEX(TechType[[#All],[TechTypeID]],$A292),":","__"),"")</f>
        <v/>
      </c>
    </row>
    <row r="293" spans="1:2" hidden="1" x14ac:dyDescent="0.25">
      <c r="A293" s="1">
        <v>525</v>
      </c>
      <c r="B293" t="str" cm="1">
        <f t="array" ref="B293">IFERROR(SUBSTITUTE(INDEX(TechType[[#All],[TechTypeID]],$A293),":","__"),"")</f>
        <v/>
      </c>
    </row>
    <row r="294" spans="1:2" hidden="1" x14ac:dyDescent="0.25">
      <c r="A294" s="1">
        <v>526</v>
      </c>
      <c r="B294" t="str" cm="1">
        <f t="array" ref="B294">IFERROR(SUBSTITUTE(INDEX(TechType[[#All],[TechTypeID]],$A294),":","__"),"")</f>
        <v/>
      </c>
    </row>
    <row r="295" spans="1:2" hidden="1" x14ac:dyDescent="0.25">
      <c r="A295" s="1">
        <v>527</v>
      </c>
      <c r="B295" t="str" cm="1">
        <f t="array" ref="B295">IFERROR(SUBSTITUTE(INDEX(TechType[[#All],[TechTypeID]],$A295),":","__"),"")</f>
        <v/>
      </c>
    </row>
    <row r="296" spans="1:2" hidden="1" x14ac:dyDescent="0.25">
      <c r="A296" s="1">
        <v>528</v>
      </c>
      <c r="B296" t="str" cm="1">
        <f t="array" ref="B296">IFERROR(SUBSTITUTE(INDEX(TechType[[#All],[TechTypeID]],$A296),":","__"),"")</f>
        <v/>
      </c>
    </row>
    <row r="297" spans="1:2" hidden="1" x14ac:dyDescent="0.25">
      <c r="A297" s="1">
        <v>529</v>
      </c>
      <c r="B297" t="str" cm="1">
        <f t="array" ref="B297">IFERROR(SUBSTITUTE(INDEX(TechType[[#All],[TechTypeID]],$A297),":","__"),"")</f>
        <v/>
      </c>
    </row>
    <row r="298" spans="1:2" hidden="1" x14ac:dyDescent="0.25">
      <c r="A298" s="1">
        <v>530</v>
      </c>
      <c r="B298" t="str" cm="1">
        <f t="array" ref="B298">IFERROR(SUBSTITUTE(INDEX(TechType[[#All],[TechTypeID]],$A298),":","__"),"")</f>
        <v/>
      </c>
    </row>
    <row r="299" spans="1:2" hidden="1" x14ac:dyDescent="0.25">
      <c r="A299" s="1">
        <v>531</v>
      </c>
      <c r="B299" t="str" cm="1">
        <f t="array" ref="B299">IFERROR(SUBSTITUTE(INDEX(TechType[[#All],[TechTypeID]],$A299),":","__"),"")</f>
        <v/>
      </c>
    </row>
    <row r="300" spans="1:2" hidden="1" x14ac:dyDescent="0.25">
      <c r="A300" s="1">
        <v>532</v>
      </c>
      <c r="B300" t="str" cm="1">
        <f t="array" ref="B300">IFERROR(SUBSTITUTE(INDEX(TechType[[#All],[TechTypeID]],$A300),":","__"),"")</f>
        <v/>
      </c>
    </row>
    <row r="301" spans="1:2" hidden="1" x14ac:dyDescent="0.25">
      <c r="A301" s="1">
        <v>533</v>
      </c>
      <c r="B301" t="str" cm="1">
        <f t="array" ref="B301">IFERROR(SUBSTITUTE(INDEX(TechType[[#All],[TechTypeID]],$A301),":","__"),"")</f>
        <v/>
      </c>
    </row>
    <row r="302" spans="1:2" hidden="1" x14ac:dyDescent="0.25">
      <c r="A302" s="1">
        <v>534</v>
      </c>
      <c r="B302" t="str" cm="1">
        <f t="array" ref="B302">IFERROR(SUBSTITUTE(INDEX(TechType[[#All],[TechTypeID]],$A302),":","__"),"")</f>
        <v/>
      </c>
    </row>
    <row r="303" spans="1:2" hidden="1" x14ac:dyDescent="0.25">
      <c r="A303" s="1">
        <v>535</v>
      </c>
      <c r="B303" t="str" cm="1">
        <f t="array" ref="B303">IFERROR(SUBSTITUTE(INDEX(TechType[[#All],[TechTypeID]],$A303),":","__"),"")</f>
        <v/>
      </c>
    </row>
    <row r="304" spans="1:2" hidden="1" x14ac:dyDescent="0.25">
      <c r="A304" s="1">
        <v>536</v>
      </c>
      <c r="B304" t="str" cm="1">
        <f t="array" ref="B304">IFERROR(SUBSTITUTE(INDEX(TechType[[#All],[TechTypeID]],$A304),":","__"),"")</f>
        <v/>
      </c>
    </row>
    <row r="305" spans="1:2" hidden="1" x14ac:dyDescent="0.25">
      <c r="A305" s="1">
        <v>537</v>
      </c>
      <c r="B305" t="str" cm="1">
        <f t="array" ref="B305">IFERROR(SUBSTITUTE(INDEX(TechType[[#All],[TechTypeID]],$A305),":","__"),"")</f>
        <v/>
      </c>
    </row>
    <row r="306" spans="1:2" hidden="1" x14ac:dyDescent="0.25">
      <c r="A306" s="1">
        <v>538</v>
      </c>
      <c r="B306" t="str" cm="1">
        <f t="array" ref="B306">IFERROR(SUBSTITUTE(INDEX(TechType[[#All],[TechTypeID]],$A306),":","__"),"")</f>
        <v/>
      </c>
    </row>
    <row r="307" spans="1:2" hidden="1" x14ac:dyDescent="0.25">
      <c r="A307" s="1">
        <v>539</v>
      </c>
      <c r="B307" t="str" cm="1">
        <f t="array" ref="B307">IFERROR(SUBSTITUTE(INDEX(TechType[[#All],[TechTypeID]],$A307),":","__"),"")</f>
        <v/>
      </c>
    </row>
    <row r="308" spans="1:2" hidden="1" x14ac:dyDescent="0.25">
      <c r="A308" s="1">
        <v>540</v>
      </c>
      <c r="B308" t="str" cm="1">
        <f t="array" ref="B308">IFERROR(SUBSTITUTE(INDEX(TechType[[#All],[TechTypeID]],$A308),":","__"),"")</f>
        <v/>
      </c>
    </row>
    <row r="309" spans="1:2" hidden="1" x14ac:dyDescent="0.25">
      <c r="A309" s="1">
        <v>541</v>
      </c>
      <c r="B309" t="str" cm="1">
        <f t="array" ref="B309">IFERROR(SUBSTITUTE(INDEX(TechType[[#All],[TechTypeID]],$A309),":","__"),"")</f>
        <v/>
      </c>
    </row>
    <row r="310" spans="1:2" hidden="1" x14ac:dyDescent="0.25">
      <c r="A310" s="1">
        <v>542</v>
      </c>
      <c r="B310" t="str" cm="1">
        <f t="array" ref="B310">IFERROR(SUBSTITUTE(INDEX(TechType[[#All],[TechTypeID]],$A310),":","__"),"")</f>
        <v/>
      </c>
    </row>
    <row r="311" spans="1:2" hidden="1" x14ac:dyDescent="0.25">
      <c r="A311" s="1">
        <v>543</v>
      </c>
      <c r="B311" t="str" cm="1">
        <f t="array" ref="B311">IFERROR(SUBSTITUTE(INDEX(TechType[[#All],[TechTypeID]],$A311),":","__"),"")</f>
        <v/>
      </c>
    </row>
    <row r="312" spans="1:2" hidden="1" x14ac:dyDescent="0.25">
      <c r="A312" s="1">
        <v>544</v>
      </c>
      <c r="B312" t="str" cm="1">
        <f t="array" ref="B312">IFERROR(SUBSTITUTE(INDEX(TechType[[#All],[TechTypeID]],$A312),":","__"),"")</f>
        <v/>
      </c>
    </row>
    <row r="313" spans="1:2" hidden="1" x14ac:dyDescent="0.25">
      <c r="A313" s="1">
        <v>545</v>
      </c>
      <c r="B313" t="str" cm="1">
        <f t="array" ref="B313">IFERROR(SUBSTITUTE(INDEX(TechType[[#All],[TechTypeID]],$A313),":","__"),"")</f>
        <v/>
      </c>
    </row>
    <row r="314" spans="1:2" hidden="1" x14ac:dyDescent="0.25">
      <c r="A314" s="1">
        <v>546</v>
      </c>
      <c r="B314" t="str" cm="1">
        <f t="array" ref="B314">IFERROR(SUBSTITUTE(INDEX(TechType[[#All],[TechTypeID]],$A314),":","__"),"")</f>
        <v/>
      </c>
    </row>
    <row r="315" spans="1:2" hidden="1" x14ac:dyDescent="0.25">
      <c r="A315" s="1">
        <v>547</v>
      </c>
      <c r="B315" t="str" cm="1">
        <f t="array" ref="B315">IFERROR(SUBSTITUTE(INDEX(TechType[[#All],[TechTypeID]],$A315),":","__"),"")</f>
        <v/>
      </c>
    </row>
    <row r="316" spans="1:2" hidden="1" x14ac:dyDescent="0.25">
      <c r="A316" s="1">
        <v>548</v>
      </c>
      <c r="B316" t="str" cm="1">
        <f t="array" ref="B316">IFERROR(SUBSTITUTE(INDEX(TechType[[#All],[TechTypeID]],$A316),":","__"),"")</f>
        <v/>
      </c>
    </row>
    <row r="317" spans="1:2" hidden="1" x14ac:dyDescent="0.25">
      <c r="A317" s="1">
        <v>549</v>
      </c>
      <c r="B317" t="str" cm="1">
        <f t="array" ref="B317">IFERROR(SUBSTITUTE(INDEX(TechType[[#All],[TechTypeID]],$A317),":","__"),"")</f>
        <v/>
      </c>
    </row>
    <row r="318" spans="1:2" hidden="1" x14ac:dyDescent="0.25">
      <c r="A318" s="1">
        <v>550</v>
      </c>
      <c r="B318" t="str" cm="1">
        <f t="array" ref="B318">IFERROR(SUBSTITUTE(INDEX(TechType[[#All],[TechTypeID]],$A318),":","__"),"")</f>
        <v/>
      </c>
    </row>
    <row r="319" spans="1:2" hidden="1" x14ac:dyDescent="0.25">
      <c r="A319" s="1">
        <v>551</v>
      </c>
      <c r="B319" t="str" cm="1">
        <f t="array" ref="B319">IFERROR(SUBSTITUTE(INDEX(TechType[[#All],[TechTypeID]],$A319),":","__"),"")</f>
        <v/>
      </c>
    </row>
    <row r="320" spans="1:2" hidden="1" x14ac:dyDescent="0.25">
      <c r="A320" s="1">
        <v>552</v>
      </c>
      <c r="B320" t="str" cm="1">
        <f t="array" ref="B320">IFERROR(SUBSTITUTE(INDEX(TechType[[#All],[TechTypeID]],$A320),":","__"),"")</f>
        <v/>
      </c>
    </row>
    <row r="321" spans="1:2" hidden="1" x14ac:dyDescent="0.25">
      <c r="A321" s="1">
        <v>553</v>
      </c>
      <c r="B321" t="str" cm="1">
        <f t="array" ref="B321">IFERROR(SUBSTITUTE(INDEX(TechType[[#All],[TechTypeID]],$A321),":","__"),"")</f>
        <v/>
      </c>
    </row>
    <row r="322" spans="1:2" hidden="1" x14ac:dyDescent="0.25">
      <c r="A322" s="1">
        <v>554</v>
      </c>
      <c r="B322" t="str" cm="1">
        <f t="array" ref="B322">IFERROR(SUBSTITUTE(INDEX(TechType[[#All],[TechTypeID]],$A322),":","__"),"")</f>
        <v/>
      </c>
    </row>
    <row r="323" spans="1:2" hidden="1" x14ac:dyDescent="0.25">
      <c r="A323" s="1">
        <v>555</v>
      </c>
      <c r="B323" t="str" cm="1">
        <f t="array" ref="B323">IFERROR(SUBSTITUTE(INDEX(TechType[[#All],[TechTypeID]],$A323),":","__"),"")</f>
        <v/>
      </c>
    </row>
    <row r="324" spans="1:2" hidden="1" x14ac:dyDescent="0.25">
      <c r="A324" s="1">
        <v>556</v>
      </c>
      <c r="B324" t="str" cm="1">
        <f t="array" ref="B324">IFERROR(SUBSTITUTE(INDEX(TechType[[#All],[TechTypeID]],$A324),":","__"),"")</f>
        <v/>
      </c>
    </row>
    <row r="325" spans="1:2" hidden="1" x14ac:dyDescent="0.25">
      <c r="A325" s="1">
        <v>557</v>
      </c>
      <c r="B325" t="str" cm="1">
        <f t="array" ref="B325">IFERROR(SUBSTITUTE(INDEX(TechType[[#All],[TechTypeID]],$A325),":","__"),"")</f>
        <v/>
      </c>
    </row>
    <row r="326" spans="1:2" hidden="1" x14ac:dyDescent="0.25">
      <c r="A326" s="1">
        <v>558</v>
      </c>
      <c r="B326" t="str" cm="1">
        <f t="array" ref="B326">IFERROR(SUBSTITUTE(INDEX(TechType[[#All],[TechTypeID]],$A326),":","__"),"")</f>
        <v/>
      </c>
    </row>
    <row r="327" spans="1:2" hidden="1" x14ac:dyDescent="0.25">
      <c r="A327" s="1">
        <v>559</v>
      </c>
      <c r="B327" t="str" cm="1">
        <f t="array" ref="B327">IFERROR(SUBSTITUTE(INDEX(TechType[[#All],[TechTypeID]],$A327),":","__"),"")</f>
        <v/>
      </c>
    </row>
    <row r="328" spans="1:2" hidden="1" x14ac:dyDescent="0.25">
      <c r="A328" s="1">
        <v>560</v>
      </c>
      <c r="B328" t="str" cm="1">
        <f t="array" ref="B328">IFERROR(SUBSTITUTE(INDEX(TechType[[#All],[TechTypeID]],$A328),":","__"),"")</f>
        <v/>
      </c>
    </row>
    <row r="329" spans="1:2" hidden="1" x14ac:dyDescent="0.25">
      <c r="A329" s="1">
        <v>561</v>
      </c>
      <c r="B329" t="str" cm="1">
        <f t="array" ref="B329">IFERROR(SUBSTITUTE(INDEX(TechType[[#All],[TechTypeID]],$A329),":","__"),"")</f>
        <v/>
      </c>
    </row>
    <row r="330" spans="1:2" hidden="1" x14ac:dyDescent="0.25">
      <c r="A330" s="1">
        <v>562</v>
      </c>
      <c r="B330" t="str" cm="1">
        <f t="array" ref="B330">IFERROR(SUBSTITUTE(INDEX(TechType[[#All],[TechTypeID]],$A330),":","__"),"")</f>
        <v/>
      </c>
    </row>
    <row r="331" spans="1:2" hidden="1" x14ac:dyDescent="0.25">
      <c r="A331" s="1">
        <v>563</v>
      </c>
      <c r="B331" t="str" cm="1">
        <f t="array" ref="B331">IFERROR(SUBSTITUTE(INDEX(TechType[[#All],[TechTypeID]],$A331),":","__"),"")</f>
        <v/>
      </c>
    </row>
    <row r="332" spans="1:2" hidden="1" x14ac:dyDescent="0.25">
      <c r="A332" s="1">
        <v>564</v>
      </c>
      <c r="B332" t="str" cm="1">
        <f t="array" ref="B332">IFERROR(SUBSTITUTE(INDEX(TechType[[#All],[TechTypeID]],$A332),":","__"),"")</f>
        <v/>
      </c>
    </row>
    <row r="333" spans="1:2" hidden="1" x14ac:dyDescent="0.25">
      <c r="A333" s="1">
        <v>565</v>
      </c>
      <c r="B333" t="str" cm="1">
        <f t="array" ref="B333">IFERROR(SUBSTITUTE(INDEX(TechType[[#All],[TechTypeID]],$A333),":","__"),"")</f>
        <v/>
      </c>
    </row>
    <row r="334" spans="1:2" hidden="1" x14ac:dyDescent="0.25">
      <c r="A334" s="1">
        <v>566</v>
      </c>
      <c r="B334" t="str" cm="1">
        <f t="array" ref="B334">IFERROR(SUBSTITUTE(INDEX(TechType[[#All],[TechTypeID]],$A334),":","__"),"")</f>
        <v/>
      </c>
    </row>
    <row r="335" spans="1:2" hidden="1" x14ac:dyDescent="0.25">
      <c r="A335" s="1">
        <v>567</v>
      </c>
      <c r="B335" t="str" cm="1">
        <f t="array" ref="B335">IFERROR(SUBSTITUTE(INDEX(TechType[[#All],[TechTypeID]],$A335),":","__"),"")</f>
        <v/>
      </c>
    </row>
    <row r="336" spans="1:2" hidden="1" x14ac:dyDescent="0.25">
      <c r="A336" s="1">
        <v>568</v>
      </c>
      <c r="B336" t="str" cm="1">
        <f t="array" ref="B336">IFERROR(SUBSTITUTE(INDEX(TechType[[#All],[TechTypeID]],$A336),":","__"),"")</f>
        <v/>
      </c>
    </row>
    <row r="337" spans="1:2" hidden="1" x14ac:dyDescent="0.25">
      <c r="A337" s="1">
        <v>569</v>
      </c>
      <c r="B337" t="str" cm="1">
        <f t="array" ref="B337">IFERROR(SUBSTITUTE(INDEX(TechType[[#All],[TechTypeID]],$A337),":","__"),"")</f>
        <v/>
      </c>
    </row>
    <row r="338" spans="1:2" hidden="1" x14ac:dyDescent="0.25">
      <c r="A338" s="1">
        <v>570</v>
      </c>
      <c r="B338" t="str" cm="1">
        <f t="array" ref="B338">IFERROR(SUBSTITUTE(INDEX(TechType[[#All],[TechTypeID]],$A338),":","__"),"")</f>
        <v/>
      </c>
    </row>
    <row r="339" spans="1:2" hidden="1" x14ac:dyDescent="0.25">
      <c r="A339" s="1">
        <v>571</v>
      </c>
      <c r="B339" t="str" cm="1">
        <f t="array" ref="B339">IFERROR(SUBSTITUTE(INDEX(TechType[[#All],[TechTypeID]],$A339),":","__"),"")</f>
        <v/>
      </c>
    </row>
    <row r="340" spans="1:2" hidden="1" x14ac:dyDescent="0.25">
      <c r="A340" s="1">
        <v>572</v>
      </c>
      <c r="B340" t="str" cm="1">
        <f t="array" ref="B340">IFERROR(SUBSTITUTE(INDEX(TechType[[#All],[TechTypeID]],$A340),":","__"),"")</f>
        <v/>
      </c>
    </row>
    <row r="341" spans="1:2" hidden="1" x14ac:dyDescent="0.25">
      <c r="A341" s="1">
        <v>573</v>
      </c>
      <c r="B341" t="str" cm="1">
        <f t="array" ref="B341">IFERROR(SUBSTITUTE(INDEX(TechType[[#All],[TechTypeID]],$A341),":","__"),"")</f>
        <v/>
      </c>
    </row>
    <row r="342" spans="1:2" hidden="1" x14ac:dyDescent="0.25">
      <c r="A342" s="1">
        <v>574</v>
      </c>
      <c r="B342" t="str" cm="1">
        <f t="array" ref="B342">IFERROR(SUBSTITUTE(INDEX(TechType[[#All],[TechTypeID]],$A342),":","__"),"")</f>
        <v/>
      </c>
    </row>
    <row r="343" spans="1:2" hidden="1" x14ac:dyDescent="0.25">
      <c r="A343" s="1">
        <v>575</v>
      </c>
      <c r="B343" t="str" cm="1">
        <f t="array" ref="B343">IFERROR(SUBSTITUTE(INDEX(TechType[[#All],[TechTypeID]],$A343),":","__"),"")</f>
        <v/>
      </c>
    </row>
    <row r="344" spans="1:2" hidden="1" x14ac:dyDescent="0.25">
      <c r="A344" s="1">
        <v>576</v>
      </c>
      <c r="B344" t="str" cm="1">
        <f t="array" ref="B344">IFERROR(SUBSTITUTE(INDEX(TechType[[#All],[TechTypeID]],$A344),":","__"),"")</f>
        <v/>
      </c>
    </row>
    <row r="345" spans="1:2" hidden="1" x14ac:dyDescent="0.25">
      <c r="A345" s="1">
        <v>577</v>
      </c>
      <c r="B345" t="str" cm="1">
        <f t="array" ref="B345">IFERROR(SUBSTITUTE(INDEX(TechType[[#All],[TechTypeID]],$A345),":","__"),"")</f>
        <v/>
      </c>
    </row>
    <row r="346" spans="1:2" hidden="1" x14ac:dyDescent="0.25">
      <c r="A346" s="1">
        <v>578</v>
      </c>
      <c r="B346" t="str" cm="1">
        <f t="array" ref="B346">IFERROR(SUBSTITUTE(INDEX(TechType[[#All],[TechTypeID]],$A346),":","__"),"")</f>
        <v/>
      </c>
    </row>
    <row r="347" spans="1:2" hidden="1" x14ac:dyDescent="0.25">
      <c r="A347" s="1">
        <v>579</v>
      </c>
      <c r="B347" t="str" cm="1">
        <f t="array" ref="B347">IFERROR(SUBSTITUTE(INDEX(TechType[[#All],[TechTypeID]],$A347),":","__"),"")</f>
        <v/>
      </c>
    </row>
    <row r="348" spans="1:2" hidden="1" x14ac:dyDescent="0.25">
      <c r="A348" s="1">
        <v>580</v>
      </c>
      <c r="B348" t="str" cm="1">
        <f t="array" ref="B348">IFERROR(SUBSTITUTE(INDEX(TechType[[#All],[TechTypeID]],$A348),":","__"),"")</f>
        <v/>
      </c>
    </row>
    <row r="349" spans="1:2" hidden="1" x14ac:dyDescent="0.25">
      <c r="A349" s="1">
        <v>581</v>
      </c>
      <c r="B349" t="str" cm="1">
        <f t="array" ref="B349">IFERROR(SUBSTITUTE(INDEX(TechType[[#All],[TechTypeID]],$A349),":","__"),"")</f>
        <v/>
      </c>
    </row>
    <row r="350" spans="1:2" hidden="1" x14ac:dyDescent="0.25">
      <c r="A350" s="1">
        <v>582</v>
      </c>
      <c r="B350" t="str" cm="1">
        <f t="array" ref="B350">IFERROR(SUBSTITUTE(INDEX(TechType[[#All],[TechTypeID]],$A350),":","__"),"")</f>
        <v/>
      </c>
    </row>
    <row r="351" spans="1:2" hidden="1" x14ac:dyDescent="0.25">
      <c r="A351" s="1">
        <v>583</v>
      </c>
      <c r="B351" t="str" cm="1">
        <f t="array" ref="B351">IFERROR(SUBSTITUTE(INDEX(TechType[[#All],[TechTypeID]],$A351),":","__"),"")</f>
        <v/>
      </c>
    </row>
    <row r="352" spans="1:2" hidden="1" x14ac:dyDescent="0.25">
      <c r="A352" s="1">
        <v>584</v>
      </c>
      <c r="B352" t="str" cm="1">
        <f t="array" ref="B352">IFERROR(SUBSTITUTE(INDEX(TechType[[#All],[TechTypeID]],$A352),":","__"),"")</f>
        <v/>
      </c>
    </row>
    <row r="353" spans="1:2" hidden="1" x14ac:dyDescent="0.25">
      <c r="A353" s="1">
        <v>585</v>
      </c>
      <c r="B353" t="str" cm="1">
        <f t="array" ref="B353">IFERROR(SUBSTITUTE(INDEX(TechType[[#All],[TechTypeID]],$A353),":","__"),"")</f>
        <v/>
      </c>
    </row>
    <row r="354" spans="1:2" hidden="1" x14ac:dyDescent="0.25">
      <c r="A354" s="1">
        <v>586</v>
      </c>
      <c r="B354" t="str" cm="1">
        <f t="array" ref="B354">IFERROR(SUBSTITUTE(INDEX(TechType[[#All],[TechTypeID]],$A354),":","__"),"")</f>
        <v/>
      </c>
    </row>
    <row r="355" spans="1:2" hidden="1" x14ac:dyDescent="0.25">
      <c r="A355" s="1">
        <v>587</v>
      </c>
      <c r="B355" t="str" cm="1">
        <f t="array" ref="B355">IFERROR(SUBSTITUTE(INDEX(TechType[[#All],[TechTypeID]],$A355),":","__"),"")</f>
        <v/>
      </c>
    </row>
    <row r="356" spans="1:2" hidden="1" x14ac:dyDescent="0.25">
      <c r="A356" s="1">
        <v>588</v>
      </c>
      <c r="B356" t="str" cm="1">
        <f t="array" ref="B356">IFERROR(SUBSTITUTE(INDEX(TechType[[#All],[TechTypeID]],$A356),":","__"),"")</f>
        <v/>
      </c>
    </row>
    <row r="357" spans="1:2" hidden="1" x14ac:dyDescent="0.25">
      <c r="A357" s="1">
        <v>589</v>
      </c>
      <c r="B357" t="str" cm="1">
        <f t="array" ref="B357">IFERROR(SUBSTITUTE(INDEX(TechType[[#All],[TechTypeID]],$A357),":","__"),"")</f>
        <v/>
      </c>
    </row>
    <row r="358" spans="1:2" hidden="1" x14ac:dyDescent="0.25">
      <c r="A358" s="1">
        <v>590</v>
      </c>
      <c r="B358" t="str" cm="1">
        <f t="array" ref="B358">IFERROR(SUBSTITUTE(INDEX(TechType[[#All],[TechTypeID]],$A358),":","__"),"")</f>
        <v/>
      </c>
    </row>
    <row r="359" spans="1:2" hidden="1" x14ac:dyDescent="0.25">
      <c r="A359" s="1">
        <v>591</v>
      </c>
      <c r="B359" t="str" cm="1">
        <f t="array" ref="B359">IFERROR(SUBSTITUTE(INDEX(TechType[[#All],[TechTypeID]],$A359),":","__"),"")</f>
        <v/>
      </c>
    </row>
    <row r="360" spans="1:2" hidden="1" x14ac:dyDescent="0.25">
      <c r="A360" s="1">
        <v>592</v>
      </c>
      <c r="B360" t="str" cm="1">
        <f t="array" ref="B360">IFERROR(SUBSTITUTE(INDEX(TechType[[#All],[TechTypeID]],$A360),":","__"),"")</f>
        <v/>
      </c>
    </row>
    <row r="361" spans="1:2" hidden="1" x14ac:dyDescent="0.25">
      <c r="A361" s="1">
        <v>593</v>
      </c>
      <c r="B361" t="str" cm="1">
        <f t="array" ref="B361">IFERROR(SUBSTITUTE(INDEX(TechType[[#All],[TechTypeID]],$A361),":","__"),"")</f>
        <v/>
      </c>
    </row>
    <row r="362" spans="1:2" hidden="1" x14ac:dyDescent="0.25">
      <c r="A362" s="1">
        <v>594</v>
      </c>
      <c r="B362" t="str" cm="1">
        <f t="array" ref="B362">IFERROR(SUBSTITUTE(INDEX(TechType[[#All],[TechTypeID]],$A362),":","__"),"")</f>
        <v/>
      </c>
    </row>
    <row r="363" spans="1:2" hidden="1" x14ac:dyDescent="0.25">
      <c r="A363" s="1">
        <v>595</v>
      </c>
      <c r="B363" t="str" cm="1">
        <f t="array" ref="B363">IFERROR(SUBSTITUTE(INDEX(TechType[[#All],[TechTypeID]],$A363),":","__"),"")</f>
        <v/>
      </c>
    </row>
    <row r="364" spans="1:2" hidden="1" x14ac:dyDescent="0.25">
      <c r="A364" s="1">
        <v>596</v>
      </c>
      <c r="B364" t="str" cm="1">
        <f t="array" ref="B364">IFERROR(SUBSTITUTE(INDEX(TechType[[#All],[TechTypeID]],$A364),":","__"),"")</f>
        <v/>
      </c>
    </row>
    <row r="365" spans="1:2" hidden="1" x14ac:dyDescent="0.25">
      <c r="A365" s="1">
        <v>597</v>
      </c>
      <c r="B365" t="str" cm="1">
        <f t="array" ref="B365">IFERROR(SUBSTITUTE(INDEX(TechType[[#All],[TechTypeID]],$A365),":","__"),"")</f>
        <v/>
      </c>
    </row>
    <row r="366" spans="1:2" hidden="1" x14ac:dyDescent="0.25">
      <c r="A366" s="1">
        <v>598</v>
      </c>
      <c r="B366" t="str" cm="1">
        <f t="array" ref="B366">IFERROR(SUBSTITUTE(INDEX(TechType[[#All],[TechTypeID]],$A366),":","__"),"")</f>
        <v/>
      </c>
    </row>
    <row r="367" spans="1:2" hidden="1" x14ac:dyDescent="0.25">
      <c r="A367" s="1">
        <v>599</v>
      </c>
      <c r="B367" t="str" cm="1">
        <f t="array" ref="B367">IFERROR(SUBSTITUTE(INDEX(TechType[[#All],[TechTypeID]],$A367),":","__"),"")</f>
        <v/>
      </c>
    </row>
    <row r="368" spans="1:2" hidden="1" x14ac:dyDescent="0.25">
      <c r="A368" s="1">
        <v>600</v>
      </c>
      <c r="B368" t="str" cm="1">
        <f t="array" ref="B368">IFERROR(SUBSTITUTE(INDEX(TechType[[#All],[TechTypeID]],$A368),":","__"),"")</f>
        <v/>
      </c>
    </row>
    <row r="369" spans="1:2" hidden="1" x14ac:dyDescent="0.25">
      <c r="A369" s="1">
        <v>601</v>
      </c>
      <c r="B369" t="str" cm="1">
        <f t="array" ref="B369">IFERROR(SUBSTITUTE(INDEX(TechType[[#All],[TechTypeID]],$A369),":","__"),"")</f>
        <v/>
      </c>
    </row>
    <row r="370" spans="1:2" hidden="1" x14ac:dyDescent="0.25">
      <c r="A370" s="1">
        <v>602</v>
      </c>
      <c r="B370" t="str" cm="1">
        <f t="array" ref="B370">IFERROR(SUBSTITUTE(INDEX(TechType[[#All],[TechTypeID]],$A370),":","__"),"")</f>
        <v/>
      </c>
    </row>
    <row r="371" spans="1:2" hidden="1" x14ac:dyDescent="0.25">
      <c r="A371" s="1">
        <v>603</v>
      </c>
      <c r="B371" t="str" cm="1">
        <f t="array" ref="B371">IFERROR(SUBSTITUTE(INDEX(TechType[[#All],[TechTypeID]],$A371),":","__"),"")</f>
        <v/>
      </c>
    </row>
    <row r="372" spans="1:2" hidden="1" x14ac:dyDescent="0.25">
      <c r="A372" s="1">
        <v>604</v>
      </c>
      <c r="B372" t="str" cm="1">
        <f t="array" ref="B372">IFERROR(SUBSTITUTE(INDEX(TechType[[#All],[TechTypeID]],$A372),":","__"),"")</f>
        <v/>
      </c>
    </row>
    <row r="373" spans="1:2" hidden="1" x14ac:dyDescent="0.25">
      <c r="A373" s="1">
        <v>605</v>
      </c>
      <c r="B373" t="str" cm="1">
        <f t="array" ref="B373">IFERROR(SUBSTITUTE(INDEX(TechType[[#All],[TechTypeID]],$A373),":","__"),"")</f>
        <v/>
      </c>
    </row>
    <row r="374" spans="1:2" hidden="1" x14ac:dyDescent="0.25">
      <c r="A374" s="1">
        <v>606</v>
      </c>
      <c r="B374" t="str" cm="1">
        <f t="array" ref="B374">IFERROR(SUBSTITUTE(INDEX(TechType[[#All],[TechTypeID]],$A374),":","__"),"")</f>
        <v/>
      </c>
    </row>
    <row r="375" spans="1:2" hidden="1" x14ac:dyDescent="0.25">
      <c r="A375" s="1">
        <v>607</v>
      </c>
      <c r="B375" t="str" cm="1">
        <f t="array" ref="B375">IFERROR(SUBSTITUTE(INDEX(TechType[[#All],[TechTypeID]],$A375),":","__"),"")</f>
        <v/>
      </c>
    </row>
    <row r="376" spans="1:2" hidden="1" x14ac:dyDescent="0.25">
      <c r="A376" s="1">
        <v>608</v>
      </c>
      <c r="B376" t="str" cm="1">
        <f t="array" ref="B376">IFERROR(SUBSTITUTE(INDEX(TechType[[#All],[TechTypeID]],$A376),":","__"),"")</f>
        <v/>
      </c>
    </row>
    <row r="377" spans="1:2" hidden="1" x14ac:dyDescent="0.25">
      <c r="A377" s="1">
        <v>609</v>
      </c>
      <c r="B377" t="str" cm="1">
        <f t="array" ref="B377">IFERROR(SUBSTITUTE(INDEX(TechType[[#All],[TechTypeID]],$A377),":","__"),"")</f>
        <v/>
      </c>
    </row>
    <row r="378" spans="1:2" hidden="1" x14ac:dyDescent="0.25">
      <c r="A378" s="1">
        <v>610</v>
      </c>
      <c r="B378" t="str" cm="1">
        <f t="array" ref="B378">IFERROR(SUBSTITUTE(INDEX(TechType[[#All],[TechTypeID]],$A378),":","__"),"")</f>
        <v/>
      </c>
    </row>
    <row r="379" spans="1:2" hidden="1" x14ac:dyDescent="0.25">
      <c r="A379" s="1">
        <v>611</v>
      </c>
      <c r="B379" t="str" cm="1">
        <f t="array" ref="B379">IFERROR(SUBSTITUTE(INDEX(TechType[[#All],[TechTypeID]],$A379),":","__"),"")</f>
        <v/>
      </c>
    </row>
    <row r="380" spans="1:2" hidden="1" x14ac:dyDescent="0.25">
      <c r="A380" s="1">
        <v>612</v>
      </c>
      <c r="B380" t="str" cm="1">
        <f t="array" ref="B380">IFERROR(SUBSTITUTE(INDEX(TechType[[#All],[TechTypeID]],$A380),":","__"),"")</f>
        <v/>
      </c>
    </row>
    <row r="381" spans="1:2" hidden="1" x14ac:dyDescent="0.25">
      <c r="A381" s="1">
        <v>613</v>
      </c>
      <c r="B381" t="str" cm="1">
        <f t="array" ref="B381">IFERROR(SUBSTITUTE(INDEX(TechType[[#All],[TechTypeID]],$A381),":","__"),"")</f>
        <v/>
      </c>
    </row>
    <row r="382" spans="1:2" hidden="1" x14ac:dyDescent="0.25">
      <c r="A382" s="1">
        <v>614</v>
      </c>
      <c r="B382" t="str" cm="1">
        <f t="array" ref="B382">IFERROR(SUBSTITUTE(INDEX(TechType[[#All],[TechTypeID]],$A382),":","__"),"")</f>
        <v/>
      </c>
    </row>
    <row r="383" spans="1:2" hidden="1" x14ac:dyDescent="0.25">
      <c r="A383" s="1">
        <v>615</v>
      </c>
      <c r="B383" t="str" cm="1">
        <f t="array" ref="B383">IFERROR(SUBSTITUTE(INDEX(TechType[[#All],[TechTypeID]],$A383),":","__"),"")</f>
        <v/>
      </c>
    </row>
    <row r="384" spans="1:2" hidden="1" x14ac:dyDescent="0.25">
      <c r="A384" s="1">
        <v>616</v>
      </c>
      <c r="B384" t="str" cm="1">
        <f t="array" ref="B384">IFERROR(SUBSTITUTE(INDEX(TechType[[#All],[TechTypeID]],$A384),":","__"),"")</f>
        <v/>
      </c>
    </row>
    <row r="385" spans="1:2" hidden="1" x14ac:dyDescent="0.25">
      <c r="A385" s="1">
        <v>617</v>
      </c>
      <c r="B385" t="str" cm="1">
        <f t="array" ref="B385">IFERROR(SUBSTITUTE(INDEX(TechType[[#All],[TechTypeID]],$A385),":","__"),"")</f>
        <v/>
      </c>
    </row>
    <row r="386" spans="1:2" hidden="1" x14ac:dyDescent="0.25">
      <c r="A386" s="1">
        <v>618</v>
      </c>
      <c r="B386" t="str" cm="1">
        <f t="array" ref="B386">IFERROR(SUBSTITUTE(INDEX(TechType[[#All],[TechTypeID]],$A386),":","__"),"")</f>
        <v/>
      </c>
    </row>
    <row r="387" spans="1:2" hidden="1" x14ac:dyDescent="0.25">
      <c r="A387" s="1">
        <v>619</v>
      </c>
      <c r="B387" t="str" cm="1">
        <f t="array" ref="B387">IFERROR(SUBSTITUTE(INDEX(TechType[[#All],[TechTypeID]],$A387),":","__"),"")</f>
        <v/>
      </c>
    </row>
    <row r="388" spans="1:2" hidden="1" x14ac:dyDescent="0.25">
      <c r="A388" s="1">
        <v>620</v>
      </c>
      <c r="B388" t="str" cm="1">
        <f t="array" ref="B388">IFERROR(SUBSTITUTE(INDEX(TechType[[#All],[TechTypeID]],$A388),":","__"),"")</f>
        <v/>
      </c>
    </row>
    <row r="389" spans="1:2" hidden="1" x14ac:dyDescent="0.25">
      <c r="A389" s="1">
        <v>621</v>
      </c>
      <c r="B389" t="str" cm="1">
        <f t="array" ref="B389">IFERROR(SUBSTITUTE(INDEX(TechType[[#All],[TechTypeID]],$A389),":","__"),"")</f>
        <v/>
      </c>
    </row>
    <row r="390" spans="1:2" hidden="1" x14ac:dyDescent="0.25">
      <c r="A390" s="1">
        <v>622</v>
      </c>
      <c r="B390" t="str" cm="1">
        <f t="array" ref="B390">IFERROR(SUBSTITUTE(INDEX(TechType[[#All],[TechTypeID]],$A390),":","__"),"")</f>
        <v/>
      </c>
    </row>
    <row r="391" spans="1:2" hidden="1" x14ac:dyDescent="0.25">
      <c r="A391" s="1">
        <v>623</v>
      </c>
      <c r="B391" t="str" cm="1">
        <f t="array" ref="B391">IFERROR(SUBSTITUTE(INDEX(TechType[[#All],[TechTypeID]],$A391),":","__"),"")</f>
        <v/>
      </c>
    </row>
    <row r="392" spans="1:2" hidden="1" x14ac:dyDescent="0.25">
      <c r="A392" s="1">
        <v>624</v>
      </c>
      <c r="B392" t="str" cm="1">
        <f t="array" ref="B392">IFERROR(SUBSTITUTE(INDEX(TechType[[#All],[TechTypeID]],$A392),":","__"),"")</f>
        <v/>
      </c>
    </row>
    <row r="393" spans="1:2" hidden="1" x14ac:dyDescent="0.25">
      <c r="A393" s="1">
        <v>625</v>
      </c>
      <c r="B393" t="str" cm="1">
        <f t="array" ref="B393">IFERROR(SUBSTITUTE(INDEX(TechType[[#All],[TechTypeID]],$A393),":","__"),"")</f>
        <v/>
      </c>
    </row>
    <row r="394" spans="1:2" hidden="1" x14ac:dyDescent="0.25">
      <c r="A394" s="1">
        <v>626</v>
      </c>
      <c r="B394" t="str" cm="1">
        <f t="array" ref="B394">IFERROR(SUBSTITUTE(INDEX(TechType[[#All],[TechTypeID]],$A394),":","__"),"")</f>
        <v/>
      </c>
    </row>
    <row r="395" spans="1:2" hidden="1" x14ac:dyDescent="0.25">
      <c r="A395" s="1">
        <v>627</v>
      </c>
      <c r="B395" t="str" cm="1">
        <f t="array" ref="B395">IFERROR(SUBSTITUTE(INDEX(TechType[[#All],[TechTypeID]],$A395),":","__"),"")</f>
        <v/>
      </c>
    </row>
    <row r="396" spans="1:2" hidden="1" x14ac:dyDescent="0.25">
      <c r="A396" s="1">
        <v>628</v>
      </c>
      <c r="B396" t="str" cm="1">
        <f t="array" ref="B396">IFERROR(SUBSTITUTE(INDEX(TechType[[#All],[TechTypeID]],$A396),":","__"),"")</f>
        <v/>
      </c>
    </row>
    <row r="397" spans="1:2" hidden="1" x14ac:dyDescent="0.25">
      <c r="A397" s="1">
        <v>629</v>
      </c>
      <c r="B397" t="str" cm="1">
        <f t="array" ref="B397">IFERROR(SUBSTITUTE(INDEX(TechType[[#All],[TechTypeID]],$A397),":","__"),"")</f>
        <v/>
      </c>
    </row>
    <row r="398" spans="1:2" hidden="1" x14ac:dyDescent="0.25">
      <c r="A398" s="1">
        <v>630</v>
      </c>
      <c r="B398" t="str" cm="1">
        <f t="array" ref="B398">IFERROR(SUBSTITUTE(INDEX(TechType[[#All],[TechTypeID]],$A398),":","__"),"")</f>
        <v/>
      </c>
    </row>
    <row r="399" spans="1:2" hidden="1" x14ac:dyDescent="0.25">
      <c r="A399" s="1">
        <v>631</v>
      </c>
      <c r="B399" t="str" cm="1">
        <f t="array" ref="B399">IFERROR(SUBSTITUTE(INDEX(TechType[[#All],[TechTypeID]],$A399),":","__"),"")</f>
        <v/>
      </c>
    </row>
    <row r="400" spans="1:2" hidden="1" x14ac:dyDescent="0.25">
      <c r="A400" s="1">
        <v>632</v>
      </c>
      <c r="B400" t="str" cm="1">
        <f t="array" ref="B400">IFERROR(SUBSTITUTE(INDEX(TechType[[#All],[TechTypeID]],$A400),":","__"),"")</f>
        <v/>
      </c>
    </row>
    <row r="401" spans="1:2" hidden="1" x14ac:dyDescent="0.25">
      <c r="A401" s="1">
        <v>633</v>
      </c>
      <c r="B401" t="str" cm="1">
        <f t="array" ref="B401">IFERROR(SUBSTITUTE(INDEX(TechType[[#All],[TechTypeID]],$A401),":","__"),"")</f>
        <v/>
      </c>
    </row>
    <row r="402" spans="1:2" hidden="1" x14ac:dyDescent="0.25">
      <c r="A402" s="1">
        <v>634</v>
      </c>
      <c r="B402" t="str" cm="1">
        <f t="array" ref="B402">IFERROR(SUBSTITUTE(INDEX(TechType[[#All],[TechTypeID]],$A402),":","__"),"")</f>
        <v/>
      </c>
    </row>
    <row r="403" spans="1:2" hidden="1" x14ac:dyDescent="0.25">
      <c r="A403" s="1">
        <v>635</v>
      </c>
      <c r="B403" t="str" cm="1">
        <f t="array" ref="B403">IFERROR(SUBSTITUTE(INDEX(TechType[[#All],[TechTypeID]],$A403),":","__"),"")</f>
        <v/>
      </c>
    </row>
    <row r="404" spans="1:2" hidden="1" x14ac:dyDescent="0.25">
      <c r="A404" s="1">
        <v>636</v>
      </c>
      <c r="B404" t="str" cm="1">
        <f t="array" ref="B404">IFERROR(SUBSTITUTE(INDEX(TechType[[#All],[TechTypeID]],$A404),":","__"),"")</f>
        <v/>
      </c>
    </row>
    <row r="405" spans="1:2" hidden="1" x14ac:dyDescent="0.25">
      <c r="A405" s="1">
        <v>637</v>
      </c>
      <c r="B405" t="str" cm="1">
        <f t="array" ref="B405">IFERROR(SUBSTITUTE(INDEX(TechType[[#All],[TechTypeID]],$A405),":","__"),"")</f>
        <v/>
      </c>
    </row>
    <row r="406" spans="1:2" hidden="1" x14ac:dyDescent="0.25">
      <c r="A406" s="1">
        <v>638</v>
      </c>
      <c r="B406" t="str" cm="1">
        <f t="array" ref="B406">IFERROR(SUBSTITUTE(INDEX(TechType[[#All],[TechTypeID]],$A406),":","__"),"")</f>
        <v/>
      </c>
    </row>
    <row r="407" spans="1:2" hidden="1" x14ac:dyDescent="0.25">
      <c r="A407" s="1">
        <v>639</v>
      </c>
      <c r="B407" t="str" cm="1">
        <f t="array" ref="B407">IFERROR(SUBSTITUTE(INDEX(TechType[[#All],[TechTypeID]],$A407),":","__"),"")</f>
        <v/>
      </c>
    </row>
    <row r="408" spans="1:2" hidden="1" x14ac:dyDescent="0.25">
      <c r="A408" s="1">
        <v>640</v>
      </c>
      <c r="B408" t="str" cm="1">
        <f t="array" ref="B408">IFERROR(SUBSTITUTE(INDEX(TechType[[#All],[TechTypeID]],$A408),":","__"),"")</f>
        <v/>
      </c>
    </row>
    <row r="409" spans="1:2" hidden="1" x14ac:dyDescent="0.25">
      <c r="A409" s="1">
        <v>641</v>
      </c>
      <c r="B409" t="str" cm="1">
        <f t="array" ref="B409">IFERROR(SUBSTITUTE(INDEX(TechType[[#All],[TechTypeID]],$A409),":","__"),"")</f>
        <v/>
      </c>
    </row>
    <row r="410" spans="1:2" hidden="1" x14ac:dyDescent="0.25">
      <c r="A410" s="1">
        <v>642</v>
      </c>
      <c r="B410" t="str" cm="1">
        <f t="array" ref="B410">IFERROR(SUBSTITUTE(INDEX(TechType[[#All],[TechTypeID]],$A410),":","__"),"")</f>
        <v/>
      </c>
    </row>
    <row r="411" spans="1:2" hidden="1" x14ac:dyDescent="0.25">
      <c r="A411" s="1">
        <v>643</v>
      </c>
      <c r="B411" t="str" cm="1">
        <f t="array" ref="B411">IFERROR(SUBSTITUTE(INDEX(TechType[[#All],[TechTypeID]],$A411),":","__"),"")</f>
        <v/>
      </c>
    </row>
    <row r="412" spans="1:2" hidden="1" x14ac:dyDescent="0.25">
      <c r="A412" s="1">
        <v>644</v>
      </c>
      <c r="B412" t="str" cm="1">
        <f t="array" ref="B412">IFERROR(SUBSTITUTE(INDEX(TechType[[#All],[TechTypeID]],$A412),":","__"),"")</f>
        <v/>
      </c>
    </row>
    <row r="413" spans="1:2" hidden="1" x14ac:dyDescent="0.25">
      <c r="A413" s="1">
        <v>645</v>
      </c>
      <c r="B413" t="str" cm="1">
        <f t="array" ref="B413">IFERROR(SUBSTITUTE(INDEX(TechType[[#All],[TechTypeID]],$A413),":","__"),"")</f>
        <v/>
      </c>
    </row>
    <row r="414" spans="1:2" hidden="1" x14ac:dyDescent="0.25">
      <c r="A414" s="1">
        <v>646</v>
      </c>
      <c r="B414" t="str" cm="1">
        <f t="array" ref="B414">IFERROR(SUBSTITUTE(INDEX(TechType[[#All],[TechTypeID]],$A414),":","__"),"")</f>
        <v/>
      </c>
    </row>
    <row r="415" spans="1:2" hidden="1" x14ac:dyDescent="0.25">
      <c r="A415" s="1">
        <v>647</v>
      </c>
      <c r="B415" t="str" cm="1">
        <f t="array" ref="B415">IFERROR(SUBSTITUTE(INDEX(TechType[[#All],[TechTypeID]],$A415),":","__"),"")</f>
        <v/>
      </c>
    </row>
    <row r="416" spans="1:2" hidden="1" x14ac:dyDescent="0.25">
      <c r="A416" s="1">
        <v>648</v>
      </c>
      <c r="B416" t="str" cm="1">
        <f t="array" ref="B416">IFERROR(SUBSTITUTE(INDEX(TechType[[#All],[TechTypeID]],$A416),":","__"),"")</f>
        <v/>
      </c>
    </row>
    <row r="417" spans="1:2" hidden="1" x14ac:dyDescent="0.25">
      <c r="A417" s="1">
        <v>649</v>
      </c>
      <c r="B417" t="str" cm="1">
        <f t="array" ref="B417">IFERROR(SUBSTITUTE(INDEX(TechType[[#All],[TechTypeID]],$A417),":","__"),"")</f>
        <v/>
      </c>
    </row>
    <row r="418" spans="1:2" hidden="1" x14ac:dyDescent="0.25">
      <c r="A418" s="1">
        <v>650</v>
      </c>
      <c r="B418" t="str" cm="1">
        <f t="array" ref="B418">IFERROR(SUBSTITUTE(INDEX(TechType[[#All],[TechTypeID]],$A418),":","__"),"")</f>
        <v/>
      </c>
    </row>
    <row r="419" spans="1:2" hidden="1" x14ac:dyDescent="0.25">
      <c r="A419" s="1">
        <v>651</v>
      </c>
      <c r="B419" t="str" cm="1">
        <f t="array" ref="B419">IFERROR(SUBSTITUTE(INDEX(TechType[[#All],[TechTypeID]],$A419),":","__"),"")</f>
        <v/>
      </c>
    </row>
    <row r="420" spans="1:2" hidden="1" x14ac:dyDescent="0.25">
      <c r="A420" s="1">
        <v>652</v>
      </c>
      <c r="B420" t="str" cm="1">
        <f t="array" ref="B420">IFERROR(SUBSTITUTE(INDEX(TechType[[#All],[TechTypeID]],$A420),":","__"),"")</f>
        <v/>
      </c>
    </row>
    <row r="421" spans="1:2" hidden="1" x14ac:dyDescent="0.25">
      <c r="A421" s="1">
        <v>653</v>
      </c>
      <c r="B421" t="str" cm="1">
        <f t="array" ref="B421">IFERROR(SUBSTITUTE(INDEX(TechType[[#All],[TechTypeID]],$A421),":","__"),"")</f>
        <v/>
      </c>
    </row>
    <row r="422" spans="1:2" hidden="1" x14ac:dyDescent="0.25">
      <c r="A422" s="1">
        <v>654</v>
      </c>
      <c r="B422" t="str" cm="1">
        <f t="array" ref="B422">IFERROR(SUBSTITUTE(INDEX(TechType[[#All],[TechTypeID]],$A422),":","__"),"")</f>
        <v/>
      </c>
    </row>
    <row r="423" spans="1:2" hidden="1" x14ac:dyDescent="0.25">
      <c r="A423" s="1">
        <v>655</v>
      </c>
      <c r="B423" t="str" cm="1">
        <f t="array" ref="B423">IFERROR(SUBSTITUTE(INDEX(TechType[[#All],[TechTypeID]],$A423),":","__"),"")</f>
        <v/>
      </c>
    </row>
    <row r="424" spans="1:2" hidden="1" x14ac:dyDescent="0.25">
      <c r="A424" s="1">
        <v>656</v>
      </c>
      <c r="B424" t="str" cm="1">
        <f t="array" ref="B424">IFERROR(SUBSTITUTE(INDEX(TechType[[#All],[TechTypeID]],$A424),":","__"),"")</f>
        <v/>
      </c>
    </row>
    <row r="425" spans="1:2" hidden="1" x14ac:dyDescent="0.25">
      <c r="A425" s="1">
        <v>657</v>
      </c>
      <c r="B425" t="str" cm="1">
        <f t="array" ref="B425">IFERROR(SUBSTITUTE(INDEX(TechType[[#All],[TechTypeID]],$A425),":","__"),"")</f>
        <v/>
      </c>
    </row>
    <row r="426" spans="1:2" hidden="1" x14ac:dyDescent="0.25">
      <c r="A426" s="1">
        <v>658</v>
      </c>
      <c r="B426" t="str" cm="1">
        <f t="array" ref="B426">IFERROR(SUBSTITUTE(INDEX(TechType[[#All],[TechTypeID]],$A426),":","__"),"")</f>
        <v/>
      </c>
    </row>
    <row r="427" spans="1:2" hidden="1" x14ac:dyDescent="0.25">
      <c r="A427" s="1">
        <v>659</v>
      </c>
      <c r="B427" t="str" cm="1">
        <f t="array" ref="B427">IFERROR(SUBSTITUTE(INDEX(TechType[[#All],[TechTypeID]],$A427),":","__"),"")</f>
        <v/>
      </c>
    </row>
    <row r="428" spans="1:2" hidden="1" x14ac:dyDescent="0.25">
      <c r="A428" s="1">
        <v>660</v>
      </c>
      <c r="B428" t="str" cm="1">
        <f t="array" ref="B428">IFERROR(SUBSTITUTE(INDEX(TechType[[#All],[TechTypeID]],$A428),":","__"),"")</f>
        <v/>
      </c>
    </row>
    <row r="429" spans="1:2" hidden="1" x14ac:dyDescent="0.25">
      <c r="A429" s="1">
        <v>661</v>
      </c>
      <c r="B429" t="str" cm="1">
        <f t="array" ref="B429">IFERROR(SUBSTITUTE(INDEX(TechType[[#All],[TechTypeID]],$A429),":","__"),"")</f>
        <v/>
      </c>
    </row>
    <row r="430" spans="1:2" hidden="1" x14ac:dyDescent="0.25">
      <c r="A430" s="1">
        <v>662</v>
      </c>
      <c r="B430" t="str" cm="1">
        <f t="array" ref="B430">IFERROR(SUBSTITUTE(INDEX(TechType[[#All],[TechTypeID]],$A430),":","__"),"")</f>
        <v/>
      </c>
    </row>
    <row r="431" spans="1:2" hidden="1" x14ac:dyDescent="0.25">
      <c r="A431" s="1">
        <v>663</v>
      </c>
      <c r="B431" t="str" cm="1">
        <f t="array" ref="B431">IFERROR(SUBSTITUTE(INDEX(TechType[[#All],[TechTypeID]],$A431),":","__"),"")</f>
        <v/>
      </c>
    </row>
    <row r="432" spans="1:2" hidden="1" x14ac:dyDescent="0.25">
      <c r="A432" s="1">
        <v>664</v>
      </c>
      <c r="B432" t="str" cm="1">
        <f t="array" ref="B432">IFERROR(SUBSTITUTE(INDEX(TechType[[#All],[TechTypeID]],$A432),":","__"),"")</f>
        <v/>
      </c>
    </row>
    <row r="433" spans="1:2" hidden="1" x14ac:dyDescent="0.25">
      <c r="A433" s="1">
        <v>665</v>
      </c>
      <c r="B433" t="str" cm="1">
        <f t="array" ref="B433">IFERROR(SUBSTITUTE(INDEX(TechType[[#All],[TechTypeID]],$A433),":","__"),"")</f>
        <v/>
      </c>
    </row>
    <row r="434" spans="1:2" hidden="1" x14ac:dyDescent="0.25">
      <c r="A434" s="1">
        <v>666</v>
      </c>
      <c r="B434" t="str" cm="1">
        <f t="array" ref="B434">IFERROR(SUBSTITUTE(INDEX(TechType[[#All],[TechTypeID]],$A434),":","__"),"")</f>
        <v/>
      </c>
    </row>
    <row r="435" spans="1:2" hidden="1" x14ac:dyDescent="0.25">
      <c r="A435" s="1">
        <v>667</v>
      </c>
      <c r="B435" t="str" cm="1">
        <f t="array" ref="B435">IFERROR(SUBSTITUTE(INDEX(TechType[[#All],[TechTypeID]],$A435),":","__"),"")</f>
        <v/>
      </c>
    </row>
    <row r="436" spans="1:2" hidden="1" x14ac:dyDescent="0.25">
      <c r="A436" s="1">
        <v>668</v>
      </c>
      <c r="B436" t="str" cm="1">
        <f t="array" ref="B436">IFERROR(SUBSTITUTE(INDEX(TechType[[#All],[TechTypeID]],$A436),":","__"),"")</f>
        <v/>
      </c>
    </row>
    <row r="437" spans="1:2" hidden="1" x14ac:dyDescent="0.25">
      <c r="A437" s="1">
        <v>669</v>
      </c>
      <c r="B437" t="str" cm="1">
        <f t="array" ref="B437">IFERROR(SUBSTITUTE(INDEX(TechType[[#All],[TechTypeID]],$A437),":","__"),"")</f>
        <v/>
      </c>
    </row>
    <row r="438" spans="1:2" hidden="1" x14ac:dyDescent="0.25">
      <c r="A438" s="1">
        <v>670</v>
      </c>
      <c r="B438" t="str" cm="1">
        <f t="array" ref="B438">IFERROR(SUBSTITUTE(INDEX(TechType[[#All],[TechTypeID]],$A438),":","__"),"")</f>
        <v/>
      </c>
    </row>
    <row r="439" spans="1:2" hidden="1" x14ac:dyDescent="0.25">
      <c r="A439" s="1">
        <v>671</v>
      </c>
      <c r="B439" t="str" cm="1">
        <f t="array" ref="B439">IFERROR(SUBSTITUTE(INDEX(TechType[[#All],[TechTypeID]],$A439),":","__"),"")</f>
        <v/>
      </c>
    </row>
    <row r="440" spans="1:2" hidden="1" x14ac:dyDescent="0.25">
      <c r="A440" s="1">
        <v>672</v>
      </c>
      <c r="B440" t="str" cm="1">
        <f t="array" ref="B440">IFERROR(SUBSTITUTE(INDEX(TechType[[#All],[TechTypeID]],$A440),":","__"),"")</f>
        <v/>
      </c>
    </row>
    <row r="441" spans="1:2" hidden="1" x14ac:dyDescent="0.25">
      <c r="A441" s="1">
        <v>673</v>
      </c>
      <c r="B441" t="str" cm="1">
        <f t="array" ref="B441">IFERROR(SUBSTITUTE(INDEX(TechType[[#All],[TechTypeID]],$A441),":","__"),"")</f>
        <v/>
      </c>
    </row>
    <row r="442" spans="1:2" hidden="1" x14ac:dyDescent="0.25">
      <c r="A442" s="1">
        <v>674</v>
      </c>
      <c r="B442" t="str" cm="1">
        <f t="array" ref="B442">IFERROR(SUBSTITUTE(INDEX(TechType[[#All],[TechTypeID]],$A442),":","__"),"")</f>
        <v/>
      </c>
    </row>
    <row r="443" spans="1:2" hidden="1" x14ac:dyDescent="0.25">
      <c r="A443" s="1">
        <v>675</v>
      </c>
      <c r="B443" t="str" cm="1">
        <f t="array" ref="B443">IFERROR(SUBSTITUTE(INDEX(TechType[[#All],[TechTypeID]],$A443),":","__"),"")</f>
        <v/>
      </c>
    </row>
    <row r="444" spans="1:2" hidden="1" x14ac:dyDescent="0.25">
      <c r="A444" s="1">
        <v>676</v>
      </c>
      <c r="B444" t="str" cm="1">
        <f t="array" ref="B444">IFERROR(SUBSTITUTE(INDEX(TechType[[#All],[TechTypeID]],$A444),":","__"),"")</f>
        <v/>
      </c>
    </row>
    <row r="445" spans="1:2" hidden="1" x14ac:dyDescent="0.25">
      <c r="A445" s="1">
        <v>677</v>
      </c>
      <c r="B445" t="str" cm="1">
        <f t="array" ref="B445">IFERROR(SUBSTITUTE(INDEX(TechType[[#All],[TechTypeID]],$A445),":","__"),"")</f>
        <v/>
      </c>
    </row>
    <row r="446" spans="1:2" hidden="1" x14ac:dyDescent="0.25">
      <c r="A446" s="1">
        <v>678</v>
      </c>
      <c r="B446" t="str" cm="1">
        <f t="array" ref="B446">IFERROR(SUBSTITUTE(INDEX(TechType[[#All],[TechTypeID]],$A446),":","__"),"")</f>
        <v/>
      </c>
    </row>
    <row r="447" spans="1:2" hidden="1" x14ac:dyDescent="0.25">
      <c r="A447" s="1">
        <v>679</v>
      </c>
      <c r="B447" t="str" cm="1">
        <f t="array" ref="B447">IFERROR(SUBSTITUTE(INDEX(TechType[[#All],[TechTypeID]],$A447),":","__"),"")</f>
        <v/>
      </c>
    </row>
    <row r="448" spans="1:2" hidden="1" x14ac:dyDescent="0.25">
      <c r="A448" s="1">
        <v>680</v>
      </c>
      <c r="B448" t="str" cm="1">
        <f t="array" ref="B448">IFERROR(SUBSTITUTE(INDEX(TechType[[#All],[TechTypeID]],$A448),":","__"),"")</f>
        <v/>
      </c>
    </row>
    <row r="449" spans="1:2" hidden="1" x14ac:dyDescent="0.25">
      <c r="A449" s="1">
        <v>681</v>
      </c>
      <c r="B449" t="str" cm="1">
        <f t="array" ref="B449">IFERROR(SUBSTITUTE(INDEX(TechType[[#All],[TechTypeID]],$A449),":","__"),"")</f>
        <v/>
      </c>
    </row>
    <row r="450" spans="1:2" hidden="1" x14ac:dyDescent="0.25">
      <c r="A450" s="1">
        <v>682</v>
      </c>
      <c r="B450" t="str" cm="1">
        <f t="array" ref="B450">IFERROR(SUBSTITUTE(INDEX(TechType[[#All],[TechTypeID]],$A450),":","__"),"")</f>
        <v/>
      </c>
    </row>
    <row r="451" spans="1:2" hidden="1" x14ac:dyDescent="0.25">
      <c r="A451" s="1">
        <v>683</v>
      </c>
      <c r="B451" t="str" cm="1">
        <f t="array" ref="B451">IFERROR(SUBSTITUTE(INDEX(TechType[[#All],[TechTypeID]],$A451),":","__"),"")</f>
        <v/>
      </c>
    </row>
    <row r="452" spans="1:2" hidden="1" x14ac:dyDescent="0.25">
      <c r="A452" s="1">
        <v>684</v>
      </c>
      <c r="B452" t="str" cm="1">
        <f t="array" ref="B452">IFERROR(SUBSTITUTE(INDEX(TechType[[#All],[TechTypeID]],$A452),":","__"),"")</f>
        <v/>
      </c>
    </row>
    <row r="453" spans="1:2" hidden="1" x14ac:dyDescent="0.25">
      <c r="A453" s="1">
        <v>685</v>
      </c>
      <c r="B453" t="str" cm="1">
        <f t="array" ref="B453">IFERROR(SUBSTITUTE(INDEX(TechType[[#All],[TechTypeID]],$A453),":","__"),"")</f>
        <v/>
      </c>
    </row>
    <row r="454" spans="1:2" hidden="1" x14ac:dyDescent="0.25">
      <c r="A454" s="1">
        <v>686</v>
      </c>
      <c r="B454" t="str" cm="1">
        <f t="array" ref="B454">IFERROR(SUBSTITUTE(INDEX(TechType[[#All],[TechTypeID]],$A454),":","__"),"")</f>
        <v/>
      </c>
    </row>
    <row r="455" spans="1:2" hidden="1" x14ac:dyDescent="0.25">
      <c r="A455" s="1">
        <v>687</v>
      </c>
      <c r="B455" t="str" cm="1">
        <f t="array" ref="B455">IFERROR(SUBSTITUTE(INDEX(TechType[[#All],[TechTypeID]],$A455),":","__"),"")</f>
        <v/>
      </c>
    </row>
    <row r="456" spans="1:2" hidden="1" x14ac:dyDescent="0.25">
      <c r="A456" s="1">
        <v>688</v>
      </c>
      <c r="B456" t="str" cm="1">
        <f t="array" ref="B456">IFERROR(SUBSTITUTE(INDEX(TechType[[#All],[TechTypeID]],$A456),":","__"),"")</f>
        <v/>
      </c>
    </row>
    <row r="457" spans="1:2" hidden="1" x14ac:dyDescent="0.25">
      <c r="A457" s="1">
        <v>689</v>
      </c>
      <c r="B457" t="str" cm="1">
        <f t="array" ref="B457">IFERROR(SUBSTITUTE(INDEX(TechType[[#All],[TechTypeID]],$A457),":","__"),"")</f>
        <v/>
      </c>
    </row>
    <row r="458" spans="1:2" hidden="1" x14ac:dyDescent="0.25">
      <c r="A458" s="1">
        <v>690</v>
      </c>
      <c r="B458" t="str" cm="1">
        <f t="array" ref="B458">IFERROR(SUBSTITUTE(INDEX(TechType[[#All],[TechTypeID]],$A458),":","__"),"")</f>
        <v/>
      </c>
    </row>
    <row r="459" spans="1:2" hidden="1" x14ac:dyDescent="0.25">
      <c r="A459" s="1">
        <v>691</v>
      </c>
      <c r="B459" t="str" cm="1">
        <f t="array" ref="B459">IFERROR(SUBSTITUTE(INDEX(TechType[[#All],[TechTypeID]],$A459),":","__"),"")</f>
        <v/>
      </c>
    </row>
    <row r="460" spans="1:2" hidden="1" x14ac:dyDescent="0.25">
      <c r="A460" s="1">
        <v>692</v>
      </c>
      <c r="B460" t="str" cm="1">
        <f t="array" ref="B460">IFERROR(SUBSTITUTE(INDEX(TechType[[#All],[TechTypeID]],$A460),":","__"),"")</f>
        <v/>
      </c>
    </row>
    <row r="461" spans="1:2" hidden="1" x14ac:dyDescent="0.25">
      <c r="A461" s="1">
        <v>693</v>
      </c>
      <c r="B461" t="str" cm="1">
        <f t="array" ref="B461">IFERROR(SUBSTITUTE(INDEX(TechType[[#All],[TechTypeID]],$A461),":","__"),"")</f>
        <v/>
      </c>
    </row>
    <row r="462" spans="1:2" hidden="1" x14ac:dyDescent="0.25">
      <c r="A462" s="1">
        <v>694</v>
      </c>
      <c r="B462" t="str" cm="1">
        <f t="array" ref="B462">IFERROR(SUBSTITUTE(INDEX(TechType[[#All],[TechTypeID]],$A462),":","__"),"")</f>
        <v/>
      </c>
    </row>
    <row r="463" spans="1:2" hidden="1" x14ac:dyDescent="0.25">
      <c r="A463" s="1">
        <v>695</v>
      </c>
      <c r="B463" t="str" cm="1">
        <f t="array" ref="B463">IFERROR(SUBSTITUTE(INDEX(TechType[[#All],[TechTypeID]],$A463),":","__"),"")</f>
        <v/>
      </c>
    </row>
    <row r="464" spans="1:2" hidden="1" x14ac:dyDescent="0.25">
      <c r="A464" s="1">
        <v>696</v>
      </c>
      <c r="B464" t="str" cm="1">
        <f t="array" ref="B464">IFERROR(SUBSTITUTE(INDEX(TechType[[#All],[TechTypeID]],$A464),":","__"),"")</f>
        <v/>
      </c>
    </row>
    <row r="465" spans="1:2" hidden="1" x14ac:dyDescent="0.25">
      <c r="A465" s="1">
        <v>697</v>
      </c>
      <c r="B465" t="str" cm="1">
        <f t="array" ref="B465">IFERROR(SUBSTITUTE(INDEX(TechType[[#All],[TechTypeID]],$A465),":","__"),"")</f>
        <v/>
      </c>
    </row>
    <row r="466" spans="1:2" hidden="1" x14ac:dyDescent="0.25">
      <c r="A466" s="1">
        <v>698</v>
      </c>
      <c r="B466" t="str" cm="1">
        <f t="array" ref="B466">IFERROR(SUBSTITUTE(INDEX(TechType[[#All],[TechTypeID]],$A466),":","__"),"")</f>
        <v/>
      </c>
    </row>
    <row r="467" spans="1:2" hidden="1" x14ac:dyDescent="0.25">
      <c r="A467" s="1">
        <v>699</v>
      </c>
      <c r="B467" t="str" cm="1">
        <f t="array" ref="B467">IFERROR(SUBSTITUTE(INDEX(TechType[[#All],[TechTypeID]],$A467),":","__"),"")</f>
        <v/>
      </c>
    </row>
    <row r="468" spans="1:2" hidden="1" x14ac:dyDescent="0.25">
      <c r="A468" s="1">
        <v>700</v>
      </c>
      <c r="B468" t="str" cm="1">
        <f t="array" ref="B468">IFERROR(SUBSTITUTE(INDEX(TechType[[#All],[TechTypeID]],$A468),":","__"),"")</f>
        <v/>
      </c>
    </row>
    <row r="469" spans="1:2" hidden="1" x14ac:dyDescent="0.25">
      <c r="A469" s="1">
        <v>701</v>
      </c>
      <c r="B469" t="str" cm="1">
        <f t="array" ref="B469">IFERROR(SUBSTITUTE(INDEX(TechType[[#All],[TechTypeID]],$A469),":","__"),"")</f>
        <v/>
      </c>
    </row>
    <row r="470" spans="1:2" hidden="1" x14ac:dyDescent="0.25">
      <c r="A470" s="1">
        <v>702</v>
      </c>
      <c r="B470" t="str" cm="1">
        <f t="array" ref="B470">IFERROR(SUBSTITUTE(INDEX(TechType[[#All],[TechTypeID]],$A470),":","__"),"")</f>
        <v/>
      </c>
    </row>
    <row r="471" spans="1:2" hidden="1" x14ac:dyDescent="0.25">
      <c r="A471" s="1">
        <v>703</v>
      </c>
      <c r="B471" t="str" cm="1">
        <f t="array" ref="B471">IFERROR(SUBSTITUTE(INDEX(TechType[[#All],[TechTypeID]],$A471),":","__"),"")</f>
        <v/>
      </c>
    </row>
    <row r="472" spans="1:2" hidden="1" x14ac:dyDescent="0.25">
      <c r="A472" s="1">
        <v>704</v>
      </c>
      <c r="B472" t="str" cm="1">
        <f t="array" ref="B472">IFERROR(SUBSTITUTE(INDEX(TechType[[#All],[TechTypeID]],$A472),":","__"),"")</f>
        <v/>
      </c>
    </row>
    <row r="473" spans="1:2" hidden="1" x14ac:dyDescent="0.25">
      <c r="A473" s="1">
        <v>705</v>
      </c>
      <c r="B473" t="str" cm="1">
        <f t="array" ref="B473">IFERROR(SUBSTITUTE(INDEX(TechType[[#All],[TechTypeID]],$A473),":","__"),"")</f>
        <v/>
      </c>
    </row>
    <row r="474" spans="1:2" hidden="1" x14ac:dyDescent="0.25">
      <c r="A474" s="1">
        <v>706</v>
      </c>
      <c r="B474" t="str" cm="1">
        <f t="array" ref="B474">IFERROR(SUBSTITUTE(INDEX(TechType[[#All],[TechTypeID]],$A474),":","__"),"")</f>
        <v/>
      </c>
    </row>
    <row r="475" spans="1:2" hidden="1" x14ac:dyDescent="0.25">
      <c r="A475" s="1">
        <v>707</v>
      </c>
      <c r="B475" t="str" cm="1">
        <f t="array" ref="B475">IFERROR(SUBSTITUTE(INDEX(TechType[[#All],[TechTypeID]],$A475),":","__"),"")</f>
        <v/>
      </c>
    </row>
    <row r="476" spans="1:2" hidden="1" x14ac:dyDescent="0.25">
      <c r="A476" s="1">
        <v>708</v>
      </c>
      <c r="B476" t="str" cm="1">
        <f t="array" ref="B476">IFERROR(SUBSTITUTE(INDEX(TechType[[#All],[TechTypeID]],$A476),":","__"),"")</f>
        <v/>
      </c>
    </row>
    <row r="477" spans="1:2" hidden="1" x14ac:dyDescent="0.25">
      <c r="A477" s="1">
        <v>709</v>
      </c>
      <c r="B477" t="str" cm="1">
        <f t="array" ref="B477">IFERROR(SUBSTITUTE(INDEX(TechType[[#All],[TechTypeID]],$A477),":","__"),"")</f>
        <v/>
      </c>
    </row>
    <row r="478" spans="1:2" hidden="1" x14ac:dyDescent="0.25">
      <c r="A478" s="1">
        <v>710</v>
      </c>
      <c r="B478" t="str" cm="1">
        <f t="array" ref="B478">IFERROR(SUBSTITUTE(INDEX(TechType[[#All],[TechTypeID]],$A478),":","__"),"")</f>
        <v/>
      </c>
    </row>
    <row r="479" spans="1:2" hidden="1" x14ac:dyDescent="0.25">
      <c r="A479" s="1">
        <v>711</v>
      </c>
      <c r="B479" t="str" cm="1">
        <f t="array" ref="B479">IFERROR(SUBSTITUTE(INDEX(TechType[[#All],[TechTypeID]],$A479),":","__"),"")</f>
        <v/>
      </c>
    </row>
    <row r="480" spans="1:2" hidden="1" x14ac:dyDescent="0.25">
      <c r="A480" s="1">
        <v>712</v>
      </c>
      <c r="B480" t="str" cm="1">
        <f t="array" ref="B480">IFERROR(SUBSTITUTE(INDEX(TechType[[#All],[TechTypeID]],$A480),":","__"),"")</f>
        <v/>
      </c>
    </row>
    <row r="481" spans="1:2" hidden="1" x14ac:dyDescent="0.25">
      <c r="A481" s="1">
        <v>713</v>
      </c>
      <c r="B481" t="str" cm="1">
        <f t="array" ref="B481">IFERROR(SUBSTITUTE(INDEX(TechType[[#All],[TechTypeID]],$A481),":","__"),"")</f>
        <v/>
      </c>
    </row>
    <row r="482" spans="1:2" hidden="1" x14ac:dyDescent="0.25">
      <c r="A482" s="1">
        <v>714</v>
      </c>
      <c r="B482" t="str" cm="1">
        <f t="array" ref="B482">IFERROR(SUBSTITUTE(INDEX(TechType[[#All],[TechTypeID]],$A482),":","__"),"")</f>
        <v/>
      </c>
    </row>
    <row r="483" spans="1:2" hidden="1" x14ac:dyDescent="0.25">
      <c r="A483" s="1">
        <v>715</v>
      </c>
      <c r="B483" t="str" cm="1">
        <f t="array" ref="B483">IFERROR(SUBSTITUTE(INDEX(TechType[[#All],[TechTypeID]],$A483),":","__"),"")</f>
        <v/>
      </c>
    </row>
    <row r="484" spans="1:2" hidden="1" x14ac:dyDescent="0.25">
      <c r="A484" s="1">
        <v>716</v>
      </c>
      <c r="B484" t="str" cm="1">
        <f t="array" ref="B484">IFERROR(SUBSTITUTE(INDEX(TechType[[#All],[TechTypeID]],$A484),":","__"),"")</f>
        <v/>
      </c>
    </row>
    <row r="485" spans="1:2" hidden="1" x14ac:dyDescent="0.25">
      <c r="A485" s="1">
        <v>717</v>
      </c>
      <c r="B485" t="str" cm="1">
        <f t="array" ref="B485">IFERROR(SUBSTITUTE(INDEX(TechType[[#All],[TechTypeID]],$A485),":","__"),"")</f>
        <v/>
      </c>
    </row>
    <row r="486" spans="1:2" hidden="1" x14ac:dyDescent="0.25">
      <c r="A486" s="1">
        <v>718</v>
      </c>
      <c r="B486" t="str" cm="1">
        <f t="array" ref="B486">IFERROR(SUBSTITUTE(INDEX(TechType[[#All],[TechTypeID]],$A486),":","__"),"")</f>
        <v/>
      </c>
    </row>
    <row r="487" spans="1:2" hidden="1" x14ac:dyDescent="0.25">
      <c r="A487" s="1">
        <v>719</v>
      </c>
      <c r="B487" t="str" cm="1">
        <f t="array" ref="B487">IFERROR(SUBSTITUTE(INDEX(TechType[[#All],[TechTypeID]],$A487),":","__"),"")</f>
        <v/>
      </c>
    </row>
    <row r="488" spans="1:2" hidden="1" x14ac:dyDescent="0.25">
      <c r="A488" s="1">
        <v>720</v>
      </c>
      <c r="B488" t="str" cm="1">
        <f t="array" ref="B488">IFERROR(SUBSTITUTE(INDEX(TechType[[#All],[TechTypeID]],$A488),":","__"),"")</f>
        <v/>
      </c>
    </row>
    <row r="489" spans="1:2" hidden="1" x14ac:dyDescent="0.25">
      <c r="A489" s="1">
        <v>721</v>
      </c>
      <c r="B489" t="str" cm="1">
        <f t="array" ref="B489">IFERROR(SUBSTITUTE(INDEX(TechType[[#All],[TechTypeID]],$A489),":","__"),"")</f>
        <v/>
      </c>
    </row>
    <row r="490" spans="1:2" hidden="1" x14ac:dyDescent="0.25">
      <c r="A490" s="1">
        <v>722</v>
      </c>
      <c r="B490" t="str" cm="1">
        <f t="array" ref="B490">IFERROR(SUBSTITUTE(INDEX(TechType[[#All],[TechTypeID]],$A490),":","__"),"")</f>
        <v/>
      </c>
    </row>
    <row r="491" spans="1:2" hidden="1" x14ac:dyDescent="0.25">
      <c r="A491" s="1">
        <v>723</v>
      </c>
      <c r="B491" t="str" cm="1">
        <f t="array" ref="B491">IFERROR(SUBSTITUTE(INDEX(TechType[[#All],[TechTypeID]],$A491),":","__"),"")</f>
        <v/>
      </c>
    </row>
    <row r="492" spans="1:2" hidden="1" x14ac:dyDescent="0.25">
      <c r="A492" s="1">
        <v>724</v>
      </c>
      <c r="B492" t="str" cm="1">
        <f t="array" ref="B492">IFERROR(SUBSTITUTE(INDEX(TechType[[#All],[TechTypeID]],$A492),":","__"),"")</f>
        <v/>
      </c>
    </row>
    <row r="493" spans="1:2" hidden="1" x14ac:dyDescent="0.25">
      <c r="A493" s="1">
        <v>725</v>
      </c>
      <c r="B493" t="str" cm="1">
        <f t="array" ref="B493">IFERROR(SUBSTITUTE(INDEX(TechType[[#All],[TechTypeID]],$A493),":","__"),"")</f>
        <v/>
      </c>
    </row>
    <row r="494" spans="1:2" hidden="1" x14ac:dyDescent="0.25">
      <c r="A494" s="1">
        <v>726</v>
      </c>
      <c r="B494" t="str" cm="1">
        <f t="array" ref="B494">IFERROR(SUBSTITUTE(INDEX(TechType[[#All],[TechTypeID]],$A494),":","__"),"")</f>
        <v/>
      </c>
    </row>
    <row r="495" spans="1:2" hidden="1" x14ac:dyDescent="0.25">
      <c r="A495" s="1">
        <v>727</v>
      </c>
      <c r="B495" t="str" cm="1">
        <f t="array" ref="B495">IFERROR(SUBSTITUTE(INDEX(TechType[[#All],[TechTypeID]],$A495),":","__"),"")</f>
        <v/>
      </c>
    </row>
    <row r="496" spans="1:2" hidden="1" x14ac:dyDescent="0.25">
      <c r="A496" s="1">
        <v>728</v>
      </c>
      <c r="B496" t="str" cm="1">
        <f t="array" ref="B496">IFERROR(SUBSTITUTE(INDEX(TechType[[#All],[TechTypeID]],$A496),":","__"),"")</f>
        <v/>
      </c>
    </row>
    <row r="497" spans="1:2" hidden="1" x14ac:dyDescent="0.25">
      <c r="A497" s="1">
        <v>729</v>
      </c>
      <c r="B497" t="str" cm="1">
        <f t="array" ref="B497">IFERROR(SUBSTITUTE(INDEX(TechType[[#All],[TechTypeID]],$A497),":","__"),"")</f>
        <v/>
      </c>
    </row>
    <row r="498" spans="1:2" hidden="1" x14ac:dyDescent="0.25">
      <c r="A498" s="1">
        <v>730</v>
      </c>
      <c r="B498" t="str" cm="1">
        <f t="array" ref="B498">IFERROR(SUBSTITUTE(INDEX(TechType[[#All],[TechTypeID]],$A498),":","__"),"")</f>
        <v/>
      </c>
    </row>
    <row r="499" spans="1:2" hidden="1" x14ac:dyDescent="0.25">
      <c r="A499" s="1">
        <v>731</v>
      </c>
      <c r="B499" t="str" cm="1">
        <f t="array" ref="B499">IFERROR(SUBSTITUTE(INDEX(TechType[[#All],[TechTypeID]],$A499),":","__"),"")</f>
        <v/>
      </c>
    </row>
    <row r="500" spans="1:2" hidden="1" x14ac:dyDescent="0.25">
      <c r="A500" s="1">
        <v>732</v>
      </c>
      <c r="B500" t="str" cm="1">
        <f t="array" ref="B500">IFERROR(SUBSTITUTE(INDEX(TechType[[#All],[TechTypeID]],$A500),":","__"),"")</f>
        <v/>
      </c>
    </row>
    <row r="501" spans="1:2" hidden="1" x14ac:dyDescent="0.25">
      <c r="A501" s="1">
        <v>733</v>
      </c>
      <c r="B501" t="str" cm="1">
        <f t="array" ref="B501">IFERROR(SUBSTITUTE(INDEX(TechType[[#All],[TechTypeID]],$A501),":","__"),"")</f>
        <v/>
      </c>
    </row>
    <row r="502" spans="1:2" hidden="1" x14ac:dyDescent="0.25">
      <c r="A502" s="1">
        <v>734</v>
      </c>
      <c r="B502" t="str" cm="1">
        <f t="array" ref="B502">IFERROR(SUBSTITUTE(INDEX(TechType[[#All],[TechTypeID]],$A502),":","__"),"")</f>
        <v/>
      </c>
    </row>
    <row r="503" spans="1:2" hidden="1" x14ac:dyDescent="0.25">
      <c r="A503" s="1">
        <v>735</v>
      </c>
      <c r="B503" t="str" cm="1">
        <f t="array" ref="B503">IFERROR(SUBSTITUTE(INDEX(TechType[[#All],[TechTypeID]],$A503),":","__"),"")</f>
        <v/>
      </c>
    </row>
    <row r="504" spans="1:2" hidden="1" x14ac:dyDescent="0.25">
      <c r="A504" s="1">
        <v>736</v>
      </c>
      <c r="B504" t="str" cm="1">
        <f t="array" ref="B504">IFERROR(SUBSTITUTE(INDEX(TechType[[#All],[TechTypeID]],$A504),":","__"),"")</f>
        <v/>
      </c>
    </row>
    <row r="505" spans="1:2" hidden="1" x14ac:dyDescent="0.25">
      <c r="A505" s="1">
        <v>737</v>
      </c>
      <c r="B505" t="str" cm="1">
        <f t="array" ref="B505">IFERROR(SUBSTITUTE(INDEX(TechType[[#All],[TechTypeID]],$A505),":","__"),"")</f>
        <v/>
      </c>
    </row>
    <row r="506" spans="1:2" hidden="1" x14ac:dyDescent="0.25">
      <c r="A506" s="1">
        <v>738</v>
      </c>
      <c r="B506" t="str" cm="1">
        <f t="array" ref="B506">IFERROR(SUBSTITUTE(INDEX(TechType[[#All],[TechTypeID]],$A506),":","__"),"")</f>
        <v/>
      </c>
    </row>
    <row r="507" spans="1:2" hidden="1" x14ac:dyDescent="0.25">
      <c r="A507" s="1">
        <v>739</v>
      </c>
      <c r="B507" t="str" cm="1">
        <f t="array" ref="B507">IFERROR(SUBSTITUTE(INDEX(TechType[[#All],[TechTypeID]],$A507),":","__"),"")</f>
        <v/>
      </c>
    </row>
    <row r="508" spans="1:2" hidden="1" x14ac:dyDescent="0.25">
      <c r="A508" s="1">
        <v>740</v>
      </c>
      <c r="B508" t="str" cm="1">
        <f t="array" ref="B508">IFERROR(SUBSTITUTE(INDEX(TechType[[#All],[TechTypeID]],$A508),":","__"),"")</f>
        <v/>
      </c>
    </row>
    <row r="509" spans="1:2" hidden="1" x14ac:dyDescent="0.25">
      <c r="A509" s="1">
        <v>741</v>
      </c>
      <c r="B509" t="str" cm="1">
        <f t="array" ref="B509">IFERROR(SUBSTITUTE(INDEX(TechType[[#All],[TechTypeID]],$A509),":","__"),"")</f>
        <v/>
      </c>
    </row>
    <row r="510" spans="1:2" hidden="1" x14ac:dyDescent="0.25">
      <c r="A510" s="1">
        <v>144</v>
      </c>
      <c r="B510" t="str" cm="1">
        <f t="array" ref="B510">IFERROR(SUBSTITUTE(INDEX(TechType[[#All],[TechTypeID]],$A510),":","__"),"")</f>
        <v>AirComp__Blower</v>
      </c>
    </row>
    <row r="511" spans="1:2" hidden="1" x14ac:dyDescent="0.25">
      <c r="A511" s="1">
        <v>145</v>
      </c>
      <c r="B511" t="str" cm="1">
        <f t="array" ref="B511">IFERROR(SUBSTITUTE(INDEX(TechType[[#All],[TechTypeID]],$A511),":","__"),"")</f>
        <v>AirComp__Centrif</v>
      </c>
    </row>
    <row r="512" spans="1:2" hidden="1" x14ac:dyDescent="0.25">
      <c r="A512" s="1">
        <v>38</v>
      </c>
      <c r="B512" t="str" cm="1">
        <f t="array" ref="B512">IFERROR(SUBSTITUTE(INDEX(TechType[[#All],[TechTypeID]],$A512),":","__"),"")</f>
        <v>AirComp__CycAirDryr</v>
      </c>
    </row>
    <row r="513" spans="1:2" hidden="1" x14ac:dyDescent="0.25">
      <c r="A513" s="1">
        <v>37</v>
      </c>
      <c r="B513" t="str" cm="1">
        <f t="array" ref="B513">IFERROR(SUBSTITUTE(INDEX(TechType[[#All],[TechTypeID]],$A513),":","__"),"")</f>
        <v>AirComp__NonCycAirDryr</v>
      </c>
    </row>
    <row r="514" spans="1:2" hidden="1" x14ac:dyDescent="0.25">
      <c r="A514" s="1">
        <v>147</v>
      </c>
      <c r="B514" t="str" cm="1">
        <f t="array" ref="B514">IFERROR(SUBSTITUTE(INDEX(TechType[[#All],[TechTypeID]],$A514),":","__"),"")</f>
        <v>AirComp__Recip</v>
      </c>
    </row>
    <row r="515" spans="1:2" hidden="1" x14ac:dyDescent="0.25">
      <c r="A515" s="1">
        <v>146</v>
      </c>
      <c r="B515" t="str" cm="1">
        <f t="array" ref="B515">IFERROR(SUBSTITUTE(INDEX(TechType[[#All],[TechTypeID]],$A515),":","__"),"")</f>
        <v>AirComp__Screw</v>
      </c>
    </row>
    <row r="516" spans="1:2" hidden="1" x14ac:dyDescent="0.25">
      <c r="A516" s="1">
        <v>35</v>
      </c>
      <c r="B516" t="str" cm="1">
        <f t="array" ref="B516">IFERROR(SUBSTITUTE(INDEX(TechType[[#All],[TechTypeID]],$A516),":","__"),"")</f>
        <v>AirComp__TimerCondDrn</v>
      </c>
    </row>
    <row r="517" spans="1:2" hidden="1" x14ac:dyDescent="0.25">
      <c r="A517" s="1">
        <v>36</v>
      </c>
      <c r="B517" t="str" cm="1">
        <f t="array" ref="B517">IFERROR(SUBSTITUTE(INDEX(TechType[[#All],[TechTypeID]],$A517),":","__"),"")</f>
        <v>AirComp__ZeroLossCondDrn</v>
      </c>
    </row>
    <row r="518" spans="1:2" hidden="1" x14ac:dyDescent="0.25">
      <c r="A518" s="1">
        <v>137</v>
      </c>
      <c r="B518" t="str" cm="1">
        <f t="array" ref="B518">IFERROR(SUBSTITUTE(INDEX(TechType[[#All],[TechTypeID]],$A518),":","__"),"")</f>
        <v>AnDigestor__Optimal</v>
      </c>
    </row>
    <row r="519" spans="1:2" hidden="1" x14ac:dyDescent="0.25">
      <c r="A519" s="1">
        <v>33</v>
      </c>
      <c r="B519" t="str" cm="1">
        <f t="array" ref="B519">IFERROR(SUBSTITUTE(INDEX(TechType[[#All],[TechTypeID]],$A519),":","__"),"")</f>
        <v>AuditInfoTest__ResEnAudit</v>
      </c>
    </row>
    <row r="520" spans="1:2" hidden="1" x14ac:dyDescent="0.25">
      <c r="A520" s="1">
        <v>153</v>
      </c>
      <c r="B520" t="str" cm="1">
        <f t="array" ref="B520">IFERROR(SUBSTITUTE(INDEX(TechType[[#All],[TechTypeID]],$A520),":","__"),"")</f>
        <v>BldgShell__AttBatIns</v>
      </c>
    </row>
    <row r="521" spans="1:2" hidden="1" x14ac:dyDescent="0.25">
      <c r="A521" s="1">
        <v>154</v>
      </c>
      <c r="B521" t="str" cm="1">
        <f t="array" ref="B521">IFERROR(SUBSTITUTE(INDEX(TechType[[#All],[TechTypeID]],$A521),":","__"),"")</f>
        <v>BldgShell__AttBlowIns</v>
      </c>
    </row>
    <row r="522" spans="1:2" hidden="1" x14ac:dyDescent="0.25">
      <c r="A522" s="1">
        <v>7</v>
      </c>
      <c r="B522" t="str" cm="1">
        <f t="array" ref="B522">IFERROR(SUBSTITUTE(INDEX(TechType[[#All],[TechTypeID]],$A522),":","__"),"")</f>
        <v>BldgShell__BuriedDuct</v>
      </c>
    </row>
    <row r="523" spans="1:2" hidden="1" x14ac:dyDescent="0.25">
      <c r="A523" s="1">
        <v>155</v>
      </c>
      <c r="B523" t="str" cm="1">
        <f t="array" ref="B523">IFERROR(SUBSTITUTE(INDEX(TechType[[#All],[TechTypeID]],$A523),":","__"),"")</f>
        <v>BldgShell__CoolRoof</v>
      </c>
    </row>
    <row r="524" spans="1:2" hidden="1" x14ac:dyDescent="0.25">
      <c r="A524" s="1">
        <v>148</v>
      </c>
      <c r="B524" t="str" cm="1">
        <f t="array" ref="B524">IFERROR(SUBSTITUTE(INDEX(TechType[[#All],[TechTypeID]],$A524),":","__"),"")</f>
        <v>BldgShell__FloorIns</v>
      </c>
    </row>
    <row r="525" spans="1:2" hidden="1" x14ac:dyDescent="0.25">
      <c r="A525" s="1">
        <v>152</v>
      </c>
      <c r="B525" t="str" cm="1">
        <f t="array" ref="B525">IFERROR(SUBSTITUTE(INDEX(TechType[[#All],[TechTypeID]],$A525),":","__"),"")</f>
        <v>BldgShell__RigidRoofIns</v>
      </c>
    </row>
    <row r="526" spans="1:2" hidden="1" x14ac:dyDescent="0.25">
      <c r="A526" s="1">
        <v>151</v>
      </c>
      <c r="B526" t="str" cm="1">
        <f t="array" ref="B526">IFERROR(SUBSTITUTE(INDEX(TechType[[#All],[TechTypeID]],$A526),":","__"),"")</f>
        <v>BldgShell__SprayRoofIns</v>
      </c>
    </row>
    <row r="527" spans="1:2" hidden="1" x14ac:dyDescent="0.25">
      <c r="A527" s="1">
        <v>67</v>
      </c>
      <c r="B527" t="str" cm="1">
        <f t="array" ref="B527">IFERROR(SUBSTITUTE(INDEX(TechType[[#All],[TechTypeID]],$A527),":","__"),"")</f>
        <v>BldgShell__ThermCurtain</v>
      </c>
    </row>
    <row r="528" spans="1:2" hidden="1" x14ac:dyDescent="0.25">
      <c r="A528" s="1">
        <v>95</v>
      </c>
      <c r="B528" t="str" cm="1">
        <f t="array" ref="B528">IFERROR(SUBSTITUTE(INDEX(TechType[[#All],[TechTypeID]],$A528),":","__"),"")</f>
        <v>BldgShell__WallBattIns</v>
      </c>
    </row>
    <row r="529" spans="1:2" hidden="1" x14ac:dyDescent="0.25">
      <c r="A529" s="1">
        <v>150</v>
      </c>
      <c r="B529" t="str" cm="1">
        <f t="array" ref="B529">IFERROR(SUBSTITUTE(INDEX(TechType[[#All],[TechTypeID]],$A529),":","__"),"")</f>
        <v>BldgShell__WallBlowIns</v>
      </c>
    </row>
    <row r="530" spans="1:2" hidden="1" x14ac:dyDescent="0.25">
      <c r="A530" s="1">
        <v>149</v>
      </c>
      <c r="B530" t="str" cm="1">
        <f t="array" ref="B530">IFERROR(SUBSTITUTE(INDEX(TechType[[#All],[TechTypeID]],$A530),":","__"),"")</f>
        <v>BldgShell__WallSprayIns</v>
      </c>
    </row>
    <row r="531" spans="1:2" hidden="1" x14ac:dyDescent="0.25">
      <c r="A531" s="1">
        <v>94</v>
      </c>
      <c r="B531" t="str" cm="1">
        <f t="array" ref="B531">IFERROR(SUBSTITUTE(INDEX(TechType[[#All],[TechTypeID]],$A531),":","__"),"")</f>
        <v>BldgShell__Weatherize</v>
      </c>
    </row>
    <row r="532" spans="1:2" hidden="1" x14ac:dyDescent="0.25">
      <c r="A532" s="1">
        <v>13</v>
      </c>
      <c r="B532" t="str" cm="1">
        <f t="array" ref="B532">IFERROR(SUBSTITUTE(INDEX(TechType[[#All],[TechTypeID]],$A532),":","__"),"")</f>
        <v>C&amp;S__UnCatC&amp;S</v>
      </c>
    </row>
    <row r="533" spans="1:2" hidden="1" x14ac:dyDescent="0.25">
      <c r="A533" s="1">
        <v>26</v>
      </c>
      <c r="B533" t="str" cm="1">
        <f t="array" ref="B533">IFERROR(SUBSTITUTE(INDEX(TechType[[#All],[TechTypeID]],$A533),":","__"),"")</f>
        <v>Chiller__AirCldRecipChlr</v>
      </c>
    </row>
    <row r="534" spans="1:2" hidden="1" x14ac:dyDescent="0.25">
      <c r="A534" s="1">
        <v>25</v>
      </c>
      <c r="B534" t="str" cm="1">
        <f t="array" ref="B534">IFERROR(SUBSTITUTE(INDEX(TechType[[#All],[TechTypeID]],$A534),":","__"),"")</f>
        <v>Chiller__AirCldScrewChlr</v>
      </c>
    </row>
    <row r="535" spans="1:2" hidden="1" x14ac:dyDescent="0.25">
      <c r="A535" s="1">
        <v>216</v>
      </c>
      <c r="B535" t="str" cm="1">
        <f t="array" ref="B535">IFERROR(SUBSTITUTE(INDEX(TechType[[#All],[TechTypeID]],$A535),":","__"),"")</f>
        <v>Chiller__CentChlr</v>
      </c>
    </row>
    <row r="536" spans="1:2" hidden="1" x14ac:dyDescent="0.25">
      <c r="A536" s="1">
        <v>207</v>
      </c>
      <c r="B536" t="str" cm="1">
        <f t="array" ref="B536">IFERROR(SUBSTITUTE(INDEX(TechType[[#All],[TechTypeID]],$A536),":","__"),"")</f>
        <v>Chiller__GasAbsorp</v>
      </c>
    </row>
    <row r="537" spans="1:2" hidden="1" x14ac:dyDescent="0.25">
      <c r="A537" s="1">
        <v>215</v>
      </c>
      <c r="B537" t="str" cm="1">
        <f t="array" ref="B537">IFERROR(SUBSTITUTE(INDEX(TechType[[#All],[TechTypeID]],$A537),":","__"),"")</f>
        <v>Chiller__NoFricCent</v>
      </c>
    </row>
    <row r="538" spans="1:2" hidden="1" x14ac:dyDescent="0.25">
      <c r="A538" s="1">
        <v>211</v>
      </c>
      <c r="B538" t="str" cm="1">
        <f t="array" ref="B538">IFERROR(SUBSTITUTE(INDEX(TechType[[#All],[TechTypeID]],$A538),":","__"),"")</f>
        <v>Chiller__NoFricComp</v>
      </c>
    </row>
    <row r="539" spans="1:2" hidden="1" x14ac:dyDescent="0.25">
      <c r="A539" s="1">
        <v>214</v>
      </c>
      <c r="B539" t="str" cm="1">
        <f t="array" ref="B539">IFERROR(SUBSTITUTE(INDEX(TechType[[#All],[TechTypeID]],$A539),":","__"),"")</f>
        <v>Chiller__Recip</v>
      </c>
    </row>
    <row r="540" spans="1:2" hidden="1" x14ac:dyDescent="0.25">
      <c r="A540" s="1">
        <v>210</v>
      </c>
      <c r="B540" t="str" cm="1">
        <f t="array" ref="B540">IFERROR(SUBSTITUTE(INDEX(TechType[[#All],[TechTypeID]],$A540),":","__"),"")</f>
        <v>Chiller__RecipComp</v>
      </c>
    </row>
    <row r="541" spans="1:2" hidden="1" x14ac:dyDescent="0.25">
      <c r="A541" s="1">
        <v>208</v>
      </c>
      <c r="B541" t="str" cm="1">
        <f t="array" ref="B541">IFERROR(SUBSTITUTE(INDEX(TechType[[#All],[TechTypeID]],$A541),":","__"),"")</f>
        <v>Chiller__RefWareCool</v>
      </c>
    </row>
    <row r="542" spans="1:2" hidden="1" x14ac:dyDescent="0.25">
      <c r="A542" s="1">
        <v>213</v>
      </c>
      <c r="B542" t="str" cm="1">
        <f t="array" ref="B542">IFERROR(SUBSTITUTE(INDEX(TechType[[#All],[TechTypeID]],$A542),":","__"),"")</f>
        <v>Chiller__Screw</v>
      </c>
    </row>
    <row r="543" spans="1:2" hidden="1" x14ac:dyDescent="0.25">
      <c r="A543" s="1">
        <v>212</v>
      </c>
      <c r="B543" t="str" cm="1">
        <f t="array" ref="B543">IFERROR(SUBSTITUTE(INDEX(TechType[[#All],[TechTypeID]],$A543),":","__"),"")</f>
        <v>Chiller__Scroll</v>
      </c>
    </row>
    <row r="544" spans="1:2" hidden="1" x14ac:dyDescent="0.25">
      <c r="A544" s="1">
        <v>209</v>
      </c>
      <c r="B544" t="str" cm="1">
        <f t="array" ref="B544">IFERROR(SUBSTITUTE(INDEX(TechType[[#All],[TechTypeID]],$A544),":","__"),"")</f>
        <v>Chiller__TankIns</v>
      </c>
    </row>
    <row r="545" spans="1:2" hidden="1" x14ac:dyDescent="0.25">
      <c r="A545" s="1">
        <v>24</v>
      </c>
      <c r="B545" t="str" cm="1">
        <f t="array" ref="B545">IFERROR(SUBSTITUTE(INDEX(TechType[[#All],[TechTypeID]],$A545),":","__"),"")</f>
        <v>Chiller__WtrCldCentChlr</v>
      </c>
    </row>
    <row r="546" spans="1:2" hidden="1" x14ac:dyDescent="0.25">
      <c r="A546" s="1">
        <v>22</v>
      </c>
      <c r="B546" t="str" cm="1">
        <f t="array" ref="B546">IFERROR(SUBSTITUTE(INDEX(TechType[[#All],[TechTypeID]],$A546),":","__"),"")</f>
        <v>Chiller__WtrCldReciipChlr</v>
      </c>
    </row>
    <row r="547" spans="1:2" hidden="1" x14ac:dyDescent="0.25">
      <c r="A547" s="1">
        <v>23</v>
      </c>
      <c r="B547" t="str" cm="1">
        <f t="array" ref="B547">IFERROR(SUBSTITUTE(INDEX(TechType[[#All],[TechTypeID]],$A547),":","__"),"")</f>
        <v>Chiller__WtrCldScrewChlr</v>
      </c>
    </row>
    <row r="548" spans="1:2" hidden="1" x14ac:dyDescent="0.25">
      <c r="A548" s="1">
        <v>108</v>
      </c>
      <c r="B548" t="str" cm="1">
        <f t="array" ref="B548">IFERROR(SUBSTITUTE(INDEX(TechType[[#All],[TechTypeID]],$A548),":","__"),"")</f>
        <v>Clean_equip__ClothesWash</v>
      </c>
    </row>
    <row r="549" spans="1:2" hidden="1" x14ac:dyDescent="0.25">
      <c r="A549" s="1">
        <v>107</v>
      </c>
      <c r="B549" t="str" cm="1">
        <f t="array" ref="B549">IFERROR(SUBSTITUTE(INDEX(TechType[[#All],[TechTypeID]],$A549),":","__"),"")</f>
        <v>Clean_equip__DishWash</v>
      </c>
    </row>
    <row r="550" spans="1:2" hidden="1" x14ac:dyDescent="0.25">
      <c r="A550" s="1">
        <v>113</v>
      </c>
      <c r="B550" t="str" cm="1">
        <f t="array" ref="B550">IFERROR(SUBSTITUTE(INDEX(TechType[[#All],[TechTypeID]],$A550),":","__"),"")</f>
        <v>Cook_equip__Broiler</v>
      </c>
    </row>
    <row r="551" spans="1:2" hidden="1" x14ac:dyDescent="0.25">
      <c r="A551" s="1">
        <v>18</v>
      </c>
      <c r="B551" t="str" cm="1">
        <f t="array" ref="B551">IFERROR(SUBSTITUTE(INDEX(TechType[[#All],[TechTypeID]],$A551),":","__"),"")</f>
        <v>Cook_equip__Cooking</v>
      </c>
    </row>
    <row r="552" spans="1:2" hidden="1" x14ac:dyDescent="0.25">
      <c r="A552" s="1">
        <v>119</v>
      </c>
      <c r="B552" t="str" cm="1">
        <f t="array" ref="B552">IFERROR(SUBSTITUTE(INDEX(TechType[[#All],[TechTypeID]],$A552),":","__"),"")</f>
        <v>Cook_equip__Fryer</v>
      </c>
    </row>
    <row r="553" spans="1:2" hidden="1" x14ac:dyDescent="0.25">
      <c r="A553" s="1">
        <v>116</v>
      </c>
      <c r="B553" t="str" cm="1">
        <f t="array" ref="B553">IFERROR(SUBSTITUTE(INDEX(TechType[[#All],[TechTypeID]],$A553),":","__"),"")</f>
        <v>Cook_equip__Griddle</v>
      </c>
    </row>
    <row r="554" spans="1:2" hidden="1" x14ac:dyDescent="0.25">
      <c r="A554" s="1">
        <v>115</v>
      </c>
      <c r="B554" t="str" cm="1">
        <f t="array" ref="B554">IFERROR(SUBSTITUTE(INDEX(TechType[[#All],[TechTypeID]],$A554),":","__"),"")</f>
        <v>Cook_equip__GrillTO</v>
      </c>
    </row>
    <row r="555" spans="1:2" hidden="1" x14ac:dyDescent="0.25">
      <c r="A555" s="1">
        <v>117</v>
      </c>
      <c r="B555" t="str" cm="1">
        <f t="array" ref="B555">IFERROR(SUBSTITUTE(INDEX(TechType[[#All],[TechTypeID]],$A555),":","__"),"")</f>
        <v>Cook_equip__OvenComb</v>
      </c>
    </row>
    <row r="556" spans="1:2" hidden="1" x14ac:dyDescent="0.25">
      <c r="A556" s="1">
        <v>118</v>
      </c>
      <c r="B556" t="str" cm="1">
        <f t="array" ref="B556">IFERROR(SUBSTITUTE(INDEX(TechType[[#All],[TechTypeID]],$A556),":","__"),"")</f>
        <v>Cook_equip__OvenConv</v>
      </c>
    </row>
    <row r="557" spans="1:2" hidden="1" x14ac:dyDescent="0.25">
      <c r="A557" s="1">
        <v>120</v>
      </c>
      <c r="B557" t="str" cm="1">
        <f t="array" ref="B557">IFERROR(SUBSTITUTE(INDEX(TechType[[#All],[TechTypeID]],$A557),":","__"),"")</f>
        <v>Cook_equip__Steamer</v>
      </c>
    </row>
    <row r="558" spans="1:2" hidden="1" x14ac:dyDescent="0.25">
      <c r="A558" s="1">
        <v>114</v>
      </c>
      <c r="B558" t="str" cm="1">
        <f t="array" ref="B558">IFERROR(SUBSTITUTE(INDEX(TechType[[#All],[TechTypeID]],$A558),":","__"),"")</f>
        <v>Cook_equip__SteamLine</v>
      </c>
    </row>
    <row r="559" spans="1:2" hidden="1" x14ac:dyDescent="0.25">
      <c r="A559" s="1">
        <v>88</v>
      </c>
      <c r="B559" t="str" cm="1">
        <f t="array" ref="B559">IFERROR(SUBSTITUTE(INDEX(TechType[[#All],[TechTypeID]],$A559),":","__"),"")</f>
        <v>Cook_equip__StockPot</v>
      </c>
    </row>
    <row r="560" spans="1:2" hidden="1" x14ac:dyDescent="0.25">
      <c r="A560" s="1">
        <v>232</v>
      </c>
      <c r="B560" t="str" cm="1">
        <f t="array" ref="B560">IFERROR(SUBSTITUTE(INDEX(TechType[[#All],[TechTypeID]],$A560),":","__"),"")</f>
        <v>dxAC_equip__pkgEER</v>
      </c>
    </row>
    <row r="561" spans="1:2" hidden="1" x14ac:dyDescent="0.25">
      <c r="A561" s="1">
        <v>233</v>
      </c>
      <c r="B561" t="str" cm="1">
        <f t="array" ref="B561">IFERROR(SUBSTITUTE(INDEX(TechType[[#All],[TechTypeID]],$A561),":","__"),"")</f>
        <v>dxAC_equip__pkgSEER</v>
      </c>
    </row>
    <row r="562" spans="1:2" hidden="1" x14ac:dyDescent="0.25">
      <c r="A562" s="1">
        <v>2</v>
      </c>
      <c r="B562" t="str" cm="1">
        <f t="array" ref="B562">IFERROR(SUBSTITUTE(INDEX(TechType[[#All],[TechTypeID]],$A562),":","__"),"")</f>
        <v>dxAC_equip__pkgSEER-BA</v>
      </c>
    </row>
    <row r="563" spans="1:2" hidden="1" x14ac:dyDescent="0.25">
      <c r="A563" s="1">
        <v>226</v>
      </c>
      <c r="B563" t="str" cm="1">
        <f t="array" ref="B563">IFERROR(SUBSTITUTE(INDEX(TechType[[#All],[TechTypeID]],$A563),":","__"),"")</f>
        <v>dxAC_equip__pkgTerm</v>
      </c>
    </row>
    <row r="564" spans="1:2" hidden="1" x14ac:dyDescent="0.25">
      <c r="A564" s="1">
        <v>228</v>
      </c>
      <c r="B564" t="str" cm="1">
        <f t="array" ref="B564">IFERROR(SUBSTITUTE(INDEX(TechType[[#All],[TechTypeID]],$A564),":","__"),"")</f>
        <v>dxAC_equip__Refrig</v>
      </c>
    </row>
    <row r="565" spans="1:2" x14ac:dyDescent="0.25">
      <c r="A565" s="1">
        <v>227</v>
      </c>
      <c r="B565" t="str" cm="1">
        <f t="array" ref="B565">IFERROR(SUBSTITUTE(INDEX(TechType[[#All],[TechTypeID]],$A565),":","__"),"")</f>
        <v>dxAC_equip__RoomAC</v>
      </c>
    </row>
    <row r="566" spans="1:2" hidden="1" x14ac:dyDescent="0.25">
      <c r="A566" s="1">
        <v>229</v>
      </c>
      <c r="B566" t="str" cm="1">
        <f t="array" ref="B566">IFERROR(SUBSTITUTE(INDEX(TechType[[#All],[TechTypeID]],$A566),":","__"),"")</f>
        <v>dxAC_equip__spltEER</v>
      </c>
    </row>
    <row r="567" spans="1:2" hidden="1" x14ac:dyDescent="0.25">
      <c r="A567" s="1">
        <v>230</v>
      </c>
      <c r="B567" t="str" cm="1">
        <f t="array" ref="B567">IFERROR(SUBSTITUTE(INDEX(TechType[[#All],[TechTypeID]],$A567),":","__"),"")</f>
        <v>dxAC_equip__spltSEER</v>
      </c>
    </row>
    <row r="568" spans="1:2" hidden="1" x14ac:dyDescent="0.25">
      <c r="A568" s="1">
        <v>5</v>
      </c>
      <c r="B568" t="str" cm="1">
        <f t="array" ref="B568">IFERROR(SUBSTITUTE(INDEX(TechType[[#All],[TechTypeID]],$A568),":","__"),"")</f>
        <v>dxAC_equip__spltSEER-BA</v>
      </c>
    </row>
    <row r="569" spans="1:2" hidden="1" x14ac:dyDescent="0.25">
      <c r="A569" s="1">
        <v>231</v>
      </c>
      <c r="B569" t="str" cm="1">
        <f t="array" ref="B569">IFERROR(SUBSTITUTE(INDEX(TechType[[#All],[TechTypeID]],$A569),":","__"),"")</f>
        <v>dxAC_equip__vertEER</v>
      </c>
    </row>
    <row r="570" spans="1:2" hidden="1" x14ac:dyDescent="0.25">
      <c r="A570" s="1">
        <v>224</v>
      </c>
      <c r="B570" t="str" cm="1">
        <f t="array" ref="B570">IFERROR(SUBSTITUTE(INDEX(TechType[[#All],[TechTypeID]],$A570),":","__"),"")</f>
        <v>dxHP_equip__pkgEER</v>
      </c>
    </row>
    <row r="571" spans="1:2" hidden="1" x14ac:dyDescent="0.25">
      <c r="A571" s="1">
        <v>225</v>
      </c>
      <c r="B571" t="str" cm="1">
        <f t="array" ref="B571">IFERROR(SUBSTITUTE(INDEX(TechType[[#All],[TechTypeID]],$A571),":","__"),"")</f>
        <v>dxHP_equip__pkgSEER</v>
      </c>
    </row>
    <row r="572" spans="1:2" hidden="1" x14ac:dyDescent="0.25">
      <c r="A572" s="1">
        <v>220</v>
      </c>
      <c r="B572" t="str" cm="1">
        <f t="array" ref="B572">IFERROR(SUBSTITUTE(INDEX(TechType[[#All],[TechTypeID]],$A572),":","__"),"")</f>
        <v>dxHP_equip__pkgTerm</v>
      </c>
    </row>
    <row r="573" spans="1:2" hidden="1" x14ac:dyDescent="0.25">
      <c r="A573" s="1">
        <v>222</v>
      </c>
      <c r="B573" t="str" cm="1">
        <f t="array" ref="B573">IFERROR(SUBSTITUTE(INDEX(TechType[[#All],[TechTypeID]],$A573),":","__"),"")</f>
        <v>dxHP_equip__spltEER</v>
      </c>
    </row>
    <row r="574" spans="1:2" hidden="1" x14ac:dyDescent="0.25">
      <c r="A574" s="1">
        <v>4</v>
      </c>
      <c r="B574" t="str" cm="1">
        <f t="array" ref="B574">IFERROR(SUBSTITUTE(INDEX(TechType[[#All],[TechTypeID]],$A574),":","__"),"")</f>
        <v>dxHP_equip__spltHP-SEER-BA</v>
      </c>
    </row>
    <row r="575" spans="1:2" hidden="1" x14ac:dyDescent="0.25">
      <c r="A575" s="1">
        <v>223</v>
      </c>
      <c r="B575" t="str" cm="1">
        <f t="array" ref="B575">IFERROR(SUBSTITUTE(INDEX(TechType[[#All],[TechTypeID]],$A575),":","__"),"")</f>
        <v>dxHP_equip__spltSEER</v>
      </c>
    </row>
    <row r="576" spans="1:2" hidden="1" x14ac:dyDescent="0.25">
      <c r="A576" s="1">
        <v>91</v>
      </c>
      <c r="B576" t="str" cm="1">
        <f t="array" ref="B576">IFERROR(SUBSTITUTE(INDEX(TechType[[#All],[TechTypeID]],$A576),":","__"),"")</f>
        <v>dxHP_equip__VarRefgHP</v>
      </c>
    </row>
    <row r="577" spans="1:2" hidden="1" x14ac:dyDescent="0.25">
      <c r="A577" s="1">
        <v>90</v>
      </c>
      <c r="B577" t="str" cm="1">
        <f t="array" ref="B577">IFERROR(SUBSTITUTE(INDEX(TechType[[#All],[TechTypeID]],$A577),":","__"),"")</f>
        <v>dxHP_equip__VarRefgHR</v>
      </c>
    </row>
    <row r="578" spans="1:2" hidden="1" x14ac:dyDescent="0.25">
      <c r="A578" s="1">
        <v>221</v>
      </c>
      <c r="B578" t="str" cm="1">
        <f t="array" ref="B578">IFERROR(SUBSTITUTE(INDEX(TechType[[#All],[TechTypeID]],$A578),":","__"),"")</f>
        <v>dxHP_equip__WSHP</v>
      </c>
    </row>
    <row r="579" spans="1:2" hidden="1" x14ac:dyDescent="0.25">
      <c r="A579" s="1">
        <v>97</v>
      </c>
      <c r="B579" t="str" cm="1">
        <f t="array" ref="B579">IFERROR(SUBSTITUTE(INDEX(TechType[[#All],[TechTypeID]],$A579),":","__"),"")</f>
        <v>Electronics__AllEquip</v>
      </c>
    </row>
    <row r="580" spans="1:2" hidden="1" x14ac:dyDescent="0.25">
      <c r="A580" s="1">
        <v>101</v>
      </c>
      <c r="B580" t="str" cm="1">
        <f t="array" ref="B580">IFERROR(SUBSTITUTE(INDEX(TechType[[#All],[TechTypeID]],$A580),":","__"),"")</f>
        <v>Electronics__DesktopComp</v>
      </c>
    </row>
    <row r="581" spans="1:2" hidden="1" x14ac:dyDescent="0.25">
      <c r="A581" s="1">
        <v>98</v>
      </c>
      <c r="B581" t="str" cm="1">
        <f t="array" ref="B581">IFERROR(SUBSTITUTE(INDEX(TechType[[#All],[TechTypeID]],$A581),":","__"),"")</f>
        <v>Electronics__IRsensor</v>
      </c>
    </row>
    <row r="582" spans="1:2" hidden="1" x14ac:dyDescent="0.25">
      <c r="A582" s="1">
        <v>103</v>
      </c>
      <c r="B582" t="str" cm="1">
        <f t="array" ref="B582">IFERROR(SUBSTITUTE(INDEX(TechType[[#All],[TechTypeID]],$A582),":","__"),"")</f>
        <v>Electronics__Monitor</v>
      </c>
    </row>
    <row r="583" spans="1:2" hidden="1" x14ac:dyDescent="0.25">
      <c r="A583" s="1">
        <v>66</v>
      </c>
      <c r="B583" t="str" cm="1">
        <f t="array" ref="B583">IFERROR(SUBSTITUTE(INDEX(TechType[[#All],[TechTypeID]],$A583),":","__"),"")</f>
        <v>Electronics__MoveSensor</v>
      </c>
    </row>
    <row r="584" spans="1:2" hidden="1" x14ac:dyDescent="0.25">
      <c r="A584" s="1">
        <v>99</v>
      </c>
      <c r="B584" t="str" cm="1">
        <f t="array" ref="B584">IFERROR(SUBSTITUTE(INDEX(TechType[[#All],[TechTypeID]],$A584),":","__"),"")</f>
        <v>Electronics__MoveSensor</v>
      </c>
    </row>
    <row r="585" spans="1:2" hidden="1" x14ac:dyDescent="0.25">
      <c r="A585" s="1">
        <v>104</v>
      </c>
      <c r="B585" t="str" cm="1">
        <f t="array" ref="B585">IFERROR(SUBSTITUTE(INDEX(TechType[[#All],[TechTypeID]],$A585),":","__"),"")</f>
        <v>Electronics__OccSensPlug</v>
      </c>
    </row>
    <row r="586" spans="1:2" hidden="1" x14ac:dyDescent="0.25">
      <c r="A586" s="1">
        <v>68</v>
      </c>
      <c r="B586" t="str" cm="1">
        <f t="array" ref="B586">IFERROR(SUBSTITUTE(INDEX(TechType[[#All],[TechTypeID]],$A586),":","__"),"")</f>
        <v>Electronics__Software</v>
      </c>
    </row>
    <row r="587" spans="1:2" hidden="1" x14ac:dyDescent="0.25">
      <c r="A587" s="1">
        <v>100</v>
      </c>
      <c r="B587" t="str" cm="1">
        <f t="array" ref="B587">IFERROR(SUBSTITUTE(INDEX(TechType[[#All],[TechTypeID]],$A587),":","__"),"")</f>
        <v>Electronics__Timer</v>
      </c>
    </row>
    <row r="588" spans="1:2" hidden="1" x14ac:dyDescent="0.25">
      <c r="A588" s="1">
        <v>102</v>
      </c>
      <c r="B588" t="str" cm="1">
        <f t="array" ref="B588">IFERROR(SUBSTITUTE(INDEX(TechType[[#All],[TechTypeID]],$A588),":","__"),"")</f>
        <v>Electronics__TV</v>
      </c>
    </row>
    <row r="589" spans="1:2" hidden="1" x14ac:dyDescent="0.25">
      <c r="A589" s="1">
        <v>218</v>
      </c>
      <c r="B589" t="str" cm="1">
        <f t="array" ref="B589">IFERROR(SUBSTITUTE(INDEX(TechType[[#All],[TechTypeID]],$A589),":","__"),"")</f>
        <v>EvapCool_eq__ComEvap</v>
      </c>
    </row>
    <row r="590" spans="1:2" hidden="1" x14ac:dyDescent="0.25">
      <c r="A590" s="1">
        <v>219</v>
      </c>
      <c r="B590" t="str" cm="1">
        <f t="array" ref="B590">IFERROR(SUBSTITUTE(INDEX(TechType[[#All],[TechTypeID]],$A590),":","__"),"")</f>
        <v>EvapCool_eq__ResEvap</v>
      </c>
    </row>
    <row r="591" spans="1:2" hidden="1" x14ac:dyDescent="0.25">
      <c r="A591" s="1">
        <v>136</v>
      </c>
      <c r="B591" t="str" cm="1">
        <f t="array" ref="B591">IFERROR(SUBSTITUTE(INDEX(TechType[[#All],[TechTypeID]],$A591),":","__"),"")</f>
        <v>FacPondAer__OxyDemCtrl</v>
      </c>
    </row>
    <row r="592" spans="1:2" hidden="1" x14ac:dyDescent="0.25">
      <c r="A592" s="1">
        <v>80</v>
      </c>
      <c r="B592" t="str" cm="1">
        <f t="array" ref="B592">IFERROR(SUBSTITUTE(INDEX(TechType[[#All],[TechTypeID]],$A592),":","__"),"")</f>
        <v>Fenest__IRFilm</v>
      </c>
    </row>
    <row r="593" spans="1:2" hidden="1" x14ac:dyDescent="0.25">
      <c r="A593" s="1">
        <v>157</v>
      </c>
      <c r="B593" t="str" cm="1">
        <f t="array" ref="B593">IFERROR(SUBSTITUTE(INDEX(TechType[[#All],[TechTypeID]],$A593),":","__"),"")</f>
        <v>Fenest__ManufSky</v>
      </c>
    </row>
    <row r="594" spans="1:2" hidden="1" x14ac:dyDescent="0.25">
      <c r="A594" s="1">
        <v>161</v>
      </c>
      <c r="B594" t="str" cm="1">
        <f t="array" ref="B594">IFERROR(SUBSTITUTE(INDEX(TechType[[#All],[TechTypeID]],$A594),":","__"),"")</f>
        <v>Fenest__ManufWin</v>
      </c>
    </row>
    <row r="595" spans="1:2" hidden="1" x14ac:dyDescent="0.25">
      <c r="A595" s="1">
        <v>156</v>
      </c>
      <c r="B595" t="str" cm="1">
        <f t="array" ref="B595">IFERROR(SUBSTITUTE(INDEX(TechType[[#All],[TechTypeID]],$A595),":","__"),"")</f>
        <v>Fenest__SiteBuiltSky</v>
      </c>
    </row>
    <row r="596" spans="1:2" hidden="1" x14ac:dyDescent="0.25">
      <c r="A596" s="1">
        <v>160</v>
      </c>
      <c r="B596" t="str" cm="1">
        <f t="array" ref="B596">IFERROR(SUBSTITUTE(INDEX(TechType[[#All],[TechTypeID]],$A596),":","__"),"")</f>
        <v>Fenest__SiteBuiltWin</v>
      </c>
    </row>
    <row r="597" spans="1:2" hidden="1" x14ac:dyDescent="0.25">
      <c r="A597" s="1">
        <v>92</v>
      </c>
      <c r="B597" t="str" cm="1">
        <f t="array" ref="B597">IFERROR(SUBSTITUTE(INDEX(TechType[[#All],[TechTypeID]],$A597),":","__"),"")</f>
        <v>Fenest__ThermCurtain</v>
      </c>
    </row>
    <row r="598" spans="1:2" hidden="1" x14ac:dyDescent="0.25">
      <c r="A598" s="1">
        <v>158</v>
      </c>
      <c r="B598" t="str" cm="1">
        <f t="array" ref="B598">IFERROR(SUBSTITUTE(INDEX(TechType[[#All],[TechTypeID]],$A598),":","__"),"")</f>
        <v>Fenest__WinFilm</v>
      </c>
    </row>
    <row r="599" spans="1:2" hidden="1" x14ac:dyDescent="0.25">
      <c r="A599" s="1">
        <v>159</v>
      </c>
      <c r="B599" t="str" cm="1">
        <f t="array" ref="B599">IFERROR(SUBSTITUTE(INDEX(TechType[[#All],[TechTypeID]],$A599),":","__"),"")</f>
        <v>Fenest__WinShade</v>
      </c>
    </row>
    <row r="600" spans="1:2" hidden="1" x14ac:dyDescent="0.25">
      <c r="A600" s="1">
        <v>32</v>
      </c>
      <c r="B600" t="str" cm="1">
        <f t="array" ref="B600">IFERROR(SUBSTITUTE(INDEX(TechType[[#All],[TechTypeID]],$A600),":","__"),"")</f>
        <v>FoodService__HandWrap</v>
      </c>
    </row>
    <row r="601" spans="1:2" hidden="1" x14ac:dyDescent="0.25">
      <c r="A601" s="1">
        <v>112</v>
      </c>
      <c r="B601" t="str" cm="1">
        <f t="array" ref="B601">IFERROR(SUBSTITUTE(INDEX(TechType[[#All],[TechTypeID]],$A601),":","__"),"")</f>
        <v>FoodService__HoldBin</v>
      </c>
    </row>
    <row r="602" spans="1:2" hidden="1" x14ac:dyDescent="0.25">
      <c r="A602" s="1">
        <v>110</v>
      </c>
      <c r="B602" t="str" cm="1">
        <f t="array" ref="B602">IFERROR(SUBSTITUTE(INDEX(TechType[[#All],[TechTypeID]],$A602),":","__"),"")</f>
        <v>FoodService__HoldCab</v>
      </c>
    </row>
    <row r="603" spans="1:2" hidden="1" x14ac:dyDescent="0.25">
      <c r="A603" s="1">
        <v>111</v>
      </c>
      <c r="B603" t="str" cm="1">
        <f t="array" ref="B603">IFERROR(SUBSTITUTE(INDEX(TechType[[#All],[TechTypeID]],$A603),":","__"),"")</f>
        <v>FoodService__StmHoldBin</v>
      </c>
    </row>
    <row r="604" spans="1:2" hidden="1" x14ac:dyDescent="0.25">
      <c r="A604" s="1">
        <v>82</v>
      </c>
      <c r="B604" t="str" cm="1">
        <f t="array" ref="B604">IFERROR(SUBSTITUTE(INDEX(TechType[[#All],[TechTypeID]],$A604),":","__"),"")</f>
        <v>HeatEx__PlateClr</v>
      </c>
    </row>
    <row r="605" spans="1:2" hidden="1" x14ac:dyDescent="0.25">
      <c r="A605" s="1">
        <v>186</v>
      </c>
      <c r="B605" t="str" cm="1">
        <f t="array" ref="B605">IFERROR(SUBSTITUTE(INDEX(TechType[[#All],[TechTypeID]],$A605),":","__"),"")</f>
        <v>HeatReject__TwrFanCtrl</v>
      </c>
    </row>
    <row r="606" spans="1:2" hidden="1" x14ac:dyDescent="0.25">
      <c r="A606" s="1">
        <v>185</v>
      </c>
      <c r="B606" t="str" cm="1">
        <f t="array" ref="B606">IFERROR(SUBSTITUTE(INDEX(TechType[[#All],[TechTypeID]],$A606),":","__"),"")</f>
        <v>HeatReject__TwrFanMtr</v>
      </c>
    </row>
    <row r="607" spans="1:2" hidden="1" x14ac:dyDescent="0.25">
      <c r="A607" s="1">
        <v>184</v>
      </c>
      <c r="B607" t="str" cm="1">
        <f t="array" ref="B607">IFERROR(SUBSTITUTE(INDEX(TechType[[#All],[TechTypeID]],$A607),":","__"),"")</f>
        <v>HeatReject__WSEcono</v>
      </c>
    </row>
    <row r="608" spans="1:2" hidden="1" x14ac:dyDescent="0.25">
      <c r="A608" s="1">
        <v>192</v>
      </c>
      <c r="B608" t="str" cm="1">
        <f t="array" ref="B608">IFERROR(SUBSTITUTE(INDEX(TechType[[#All],[TechTypeID]],$A608),":","__"),"")</f>
        <v>HV_AirDist__AirEcono</v>
      </c>
    </row>
    <row r="609" spans="1:2" hidden="1" x14ac:dyDescent="0.25">
      <c r="A609" s="1">
        <v>69</v>
      </c>
      <c r="B609" t="str" cm="1">
        <f t="array" ref="B609">IFERROR(SUBSTITUTE(INDEX(TechType[[#All],[TechTypeID]],$A609),":","__"),"")</f>
        <v>HV_AirDist__AxialFan</v>
      </c>
    </row>
    <row r="610" spans="1:2" hidden="1" x14ac:dyDescent="0.25">
      <c r="A610" s="1">
        <v>199</v>
      </c>
      <c r="B610" t="str" cm="1">
        <f t="array" ref="B610">IFERROR(SUBSTITUTE(INDEX(TechType[[#All],[TechTypeID]],$A610),":","__"),"")</f>
        <v>HV_AirDist__DuctInsC</v>
      </c>
    </row>
    <row r="611" spans="1:2" hidden="1" x14ac:dyDescent="0.25">
      <c r="A611" s="1">
        <v>200</v>
      </c>
      <c r="B611" t="str" cm="1">
        <f t="array" ref="B611">IFERROR(SUBSTITUTE(INDEX(TechType[[#All],[TechTypeID]],$A611),":","__"),"")</f>
        <v>HV_AirDist__DuctInsul</v>
      </c>
    </row>
    <row r="612" spans="1:2" hidden="1" x14ac:dyDescent="0.25">
      <c r="A612" s="1">
        <v>198</v>
      </c>
      <c r="B612" t="str" cm="1">
        <f t="array" ref="B612">IFERROR(SUBSTITUTE(INDEX(TechType[[#All],[TechTypeID]],$A612),":","__"),"")</f>
        <v>HV_AirDist__DuctLeak</v>
      </c>
    </row>
    <row r="613" spans="1:2" hidden="1" x14ac:dyDescent="0.25">
      <c r="A613" s="1">
        <v>197</v>
      </c>
      <c r="B613" t="str" cm="1">
        <f t="array" ref="B613">IFERROR(SUBSTITUTE(INDEX(TechType[[#All],[TechTypeID]],$A613),":","__"),"")</f>
        <v>HV_AirDist__DuctSysC</v>
      </c>
    </row>
    <row r="614" spans="1:2" hidden="1" x14ac:dyDescent="0.25">
      <c r="A614" s="1">
        <v>193</v>
      </c>
      <c r="B614" t="str" cm="1">
        <f t="array" ref="B614">IFERROR(SUBSTITUTE(INDEX(TechType[[#All],[TechTypeID]],$A614),":","__"),"")</f>
        <v>HV_AirDist__ExFanMtr</v>
      </c>
    </row>
    <row r="615" spans="1:2" hidden="1" x14ac:dyDescent="0.25">
      <c r="A615" s="1">
        <v>201</v>
      </c>
      <c r="B615" t="str" cm="1">
        <f t="array" ref="B615">IFERROR(SUBSTITUTE(INDEX(TechType[[#All],[TechTypeID]],$A615),":","__"),"")</f>
        <v>HV_AirDist__FlowCtrl</v>
      </c>
    </row>
    <row r="616" spans="1:2" hidden="1" x14ac:dyDescent="0.25">
      <c r="A616" s="1">
        <v>191</v>
      </c>
      <c r="B616" t="str" cm="1">
        <f t="array" ref="B616">IFERROR(SUBSTITUTE(INDEX(TechType[[#All],[TechTypeID]],$A616),":","__"),"")</f>
        <v>HV_AirDist__HeatRecov</v>
      </c>
    </row>
    <row r="617" spans="1:2" hidden="1" x14ac:dyDescent="0.25">
      <c r="A617" s="1">
        <v>195</v>
      </c>
      <c r="B617" t="str" cm="1">
        <f t="array" ref="B617">IFERROR(SUBSTITUTE(INDEX(TechType[[#All],[TechTypeID]],$A617),":","__"),"")</f>
        <v>HV_AirDist__RetFanMtr</v>
      </c>
    </row>
    <row r="618" spans="1:2" hidden="1" x14ac:dyDescent="0.25">
      <c r="A618" s="1">
        <v>196</v>
      </c>
      <c r="B618" t="str" cm="1">
        <f t="array" ref="B618">IFERROR(SUBSTITUTE(INDEX(TechType[[#All],[TechTypeID]],$A618),":","__"),"")</f>
        <v>HV_AirDist__SupFanMtr</v>
      </c>
    </row>
    <row r="619" spans="1:2" hidden="1" x14ac:dyDescent="0.25">
      <c r="A619" s="1">
        <v>6</v>
      </c>
      <c r="B619" t="str" cm="1">
        <f t="array" ref="B619">IFERROR(SUBSTITUTE(INDEX(TechType[[#All],[TechTypeID]],$A619),":","__"),"")</f>
        <v>HV_AirDist__SupFanMtr-BA</v>
      </c>
    </row>
    <row r="620" spans="1:2" hidden="1" x14ac:dyDescent="0.25">
      <c r="A620" s="1">
        <v>194</v>
      </c>
      <c r="B620" t="str" cm="1">
        <f t="array" ref="B620">IFERROR(SUBSTITUTE(INDEX(TechType[[#All],[TechTypeID]],$A620),":","__"),"")</f>
        <v>HV_AirDist__VentFanMtr</v>
      </c>
    </row>
    <row r="621" spans="1:2" hidden="1" x14ac:dyDescent="0.25">
      <c r="A621" s="1">
        <v>89</v>
      </c>
      <c r="B621" t="str" cm="1">
        <f t="array" ref="B621">IFERROR(SUBSTITUTE(INDEX(TechType[[#All],[TechTypeID]],$A621),":","__"),"")</f>
        <v>HV_Tech__CO2sens</v>
      </c>
    </row>
    <row r="622" spans="1:2" hidden="1" x14ac:dyDescent="0.25">
      <c r="A622" s="1">
        <v>189</v>
      </c>
      <c r="B622" t="str" cm="1">
        <f t="array" ref="B622">IFERROR(SUBSTITUTE(INDEX(TechType[[#All],[TechTypeID]],$A622),":","__"),"")</f>
        <v>HV_Tech__D5Tstat</v>
      </c>
    </row>
    <row r="623" spans="1:2" hidden="1" x14ac:dyDescent="0.25">
      <c r="A623" s="1">
        <v>70</v>
      </c>
      <c r="B623" t="str" cm="1">
        <f t="array" ref="B623">IFERROR(SUBSTITUTE(INDEX(TechType[[#All],[TechTypeID]],$A623),":","__"),"")</f>
        <v>HV_Tech__DCV</v>
      </c>
    </row>
    <row r="624" spans="1:2" hidden="1" x14ac:dyDescent="0.25">
      <c r="A624" s="1">
        <v>188</v>
      </c>
      <c r="B624" t="str" cm="1">
        <f t="array" ref="B624">IFERROR(SUBSTITUTE(INDEX(TechType[[#All],[TechTypeID]],$A624),":","__"),"")</f>
        <v>HV_Tech__EMS</v>
      </c>
    </row>
    <row r="625" spans="1:2" hidden="1" x14ac:dyDescent="0.25">
      <c r="A625" s="1">
        <v>71</v>
      </c>
      <c r="B625" t="str" cm="1">
        <f t="array" ref="B625">IFERROR(SUBSTITUTE(INDEX(TechType[[#All],[TechTypeID]],$A625),":","__"),"")</f>
        <v>HV_Tech__OccSens</v>
      </c>
    </row>
    <row r="626" spans="1:2" hidden="1" x14ac:dyDescent="0.25">
      <c r="A626" s="1">
        <v>73</v>
      </c>
      <c r="B626" t="str" cm="1">
        <f t="array" ref="B626">IFERROR(SUBSTITUTE(INDEX(TechType[[#All],[TechTypeID]],$A626),":","__"),"")</f>
        <v>HV_Tech__OxyDemCtrl</v>
      </c>
    </row>
    <row r="627" spans="1:2" hidden="1" x14ac:dyDescent="0.25">
      <c r="A627" s="1">
        <v>187</v>
      </c>
      <c r="B627" t="str" cm="1">
        <f t="array" ref="B627">IFERROR(SUBSTITUTE(INDEX(TechType[[#All],[TechTypeID]],$A627),":","__"),"")</f>
        <v>HV_Tech__Timer</v>
      </c>
    </row>
    <row r="628" spans="1:2" hidden="1" x14ac:dyDescent="0.25">
      <c r="A628" s="1">
        <v>72</v>
      </c>
      <c r="B628" t="str" cm="1">
        <f t="array" ref="B628">IFERROR(SUBSTITUTE(INDEX(TechType[[#All],[TechTypeID]],$A628),":","__"),"")</f>
        <v>HV_Tech__TimerRes</v>
      </c>
    </row>
    <row r="629" spans="1:2" hidden="1" x14ac:dyDescent="0.25">
      <c r="A629" s="1">
        <v>190</v>
      </c>
      <c r="B629" t="str" cm="1">
        <f t="array" ref="B629">IFERROR(SUBSTITUTE(INDEX(TechType[[#All],[TechTypeID]],$A629),":","__"),"")</f>
        <v>HV_Tech__TStat</v>
      </c>
    </row>
    <row r="630" spans="1:2" hidden="1" x14ac:dyDescent="0.25">
      <c r="A630" s="1">
        <v>93</v>
      </c>
      <c r="B630" t="str" cm="1">
        <f t="array" ref="B630">IFERROR(SUBSTITUTE(INDEX(TechType[[#All],[TechTypeID]],$A630),":","__"),"")</f>
        <v>HV_Tech__WHFan</v>
      </c>
    </row>
    <row r="631" spans="1:2" hidden="1" x14ac:dyDescent="0.25">
      <c r="A631" s="1">
        <v>96</v>
      </c>
      <c r="B631" t="str" cm="1">
        <f t="array" ref="B631">IFERROR(SUBSTITUTE(INDEX(TechType[[#All],[TechTypeID]],$A631),":","__"),"")</f>
        <v>Irrigation__IrrifSys</v>
      </c>
    </row>
    <row r="632" spans="1:2" hidden="1" x14ac:dyDescent="0.25">
      <c r="A632" s="1">
        <v>31</v>
      </c>
      <c r="B632" t="str" cm="1">
        <f t="array" ref="B632">IFERROR(SUBSTITUTE(INDEX(TechType[[#All],[TechTypeID]],$A632),":","__"),"")</f>
        <v>LiquidCirc__CircBlockHtr</v>
      </c>
    </row>
    <row r="633" spans="1:2" hidden="1" x14ac:dyDescent="0.25">
      <c r="A633" s="1">
        <v>74</v>
      </c>
      <c r="B633" t="str" cm="1">
        <f t="array" ref="B633">IFERROR(SUBSTITUTE(INDEX(TechType[[#All],[TechTypeID]],$A633),":","__"),"")</f>
        <v>LiquidCirc__CompHeatRecov</v>
      </c>
    </row>
    <row r="634" spans="1:2" hidden="1" x14ac:dyDescent="0.25">
      <c r="A634" s="1">
        <v>83</v>
      </c>
      <c r="B634" t="str" cm="1">
        <f t="array" ref="B634">IFERROR(SUBSTITUTE(INDEX(TechType[[#All],[TechTypeID]],$A634),":","__"),"")</f>
        <v>LiquidCirc__FlowCtrl</v>
      </c>
    </row>
    <row r="635" spans="1:2" hidden="1" x14ac:dyDescent="0.25">
      <c r="A635" s="1">
        <v>206</v>
      </c>
      <c r="B635" t="str" cm="1">
        <f t="array" ref="B635">IFERROR(SUBSTITUTE(INDEX(TechType[[#All],[TechTypeID]],$A635),":","__"),"")</f>
        <v>LiquidCirc__FlowTempCtrl</v>
      </c>
    </row>
    <row r="636" spans="1:2" hidden="1" x14ac:dyDescent="0.25">
      <c r="A636" s="1">
        <v>205</v>
      </c>
      <c r="B636" t="str" cm="1">
        <f t="array" ref="B636">IFERROR(SUBSTITUTE(INDEX(TechType[[#All],[TechTypeID]],$A636),":","__"),"")</f>
        <v>LiquidCirc__PipeIns</v>
      </c>
    </row>
    <row r="637" spans="1:2" hidden="1" x14ac:dyDescent="0.25">
      <c r="A637" s="1">
        <v>204</v>
      </c>
      <c r="B637" t="str" cm="1">
        <f t="array" ref="B637">IFERROR(SUBSTITUTE(INDEX(TechType[[#All],[TechTypeID]],$A637),":","__"),"")</f>
        <v>LiquidCirc__PumpMtr</v>
      </c>
    </row>
    <row r="638" spans="1:2" hidden="1" x14ac:dyDescent="0.25">
      <c r="A638" s="1">
        <v>203</v>
      </c>
      <c r="B638" t="str" cm="1">
        <f t="array" ref="B638">IFERROR(SUBSTITUTE(INDEX(TechType[[#All],[TechTypeID]],$A638),":","__"),"")</f>
        <v>LiquidCirc__TempReset</v>
      </c>
    </row>
    <row r="639" spans="1:2" hidden="1" x14ac:dyDescent="0.25">
      <c r="A639" s="1">
        <v>202</v>
      </c>
      <c r="B639" t="str" cm="1">
        <f t="array" ref="B639">IFERROR(SUBSTITUTE(INDEX(TechType[[#All],[TechTypeID]],$A639),":","__"),"")</f>
        <v>LiquidCirc__Timer</v>
      </c>
    </row>
    <row r="640" spans="1:2" hidden="1" x14ac:dyDescent="0.25">
      <c r="A640" s="1">
        <v>58</v>
      </c>
      <c r="B640" t="str" cm="1">
        <f t="array" ref="B640">IFERROR(SUBSTITUTE(INDEX(TechType[[#All],[TechTypeID]],$A640),":","__"),"")</f>
        <v>Ltg_Ballast__LF</v>
      </c>
    </row>
    <row r="641" spans="1:2" hidden="1" x14ac:dyDescent="0.25">
      <c r="A641" s="1">
        <v>132</v>
      </c>
      <c r="B641" t="str" cm="1">
        <f t="array" ref="B641">IFERROR(SUBSTITUTE(INDEX(TechType[[#All],[TechTypeID]],$A641),":","__"),"")</f>
        <v>Ltg_Controls__IRsensor</v>
      </c>
    </row>
    <row r="642" spans="1:2" hidden="1" x14ac:dyDescent="0.25">
      <c r="A642" s="1">
        <v>134</v>
      </c>
      <c r="B642" t="str" cm="1">
        <f t="array" ref="B642">IFERROR(SUBSTITUTE(INDEX(TechType[[#All],[TechTypeID]],$A642),":","__"),"")</f>
        <v>Ltg_Controls__LtSensor</v>
      </c>
    </row>
    <row r="643" spans="1:2" hidden="1" x14ac:dyDescent="0.25">
      <c r="A643" s="1">
        <v>81</v>
      </c>
      <c r="B643" t="str" cm="1">
        <f t="array" ref="B643">IFERROR(SUBSTITUTE(INDEX(TechType[[#All],[TechTypeID]],$A643),":","__"),"")</f>
        <v>Ltg_Controls__OccSensor</v>
      </c>
    </row>
    <row r="644" spans="1:2" hidden="1" x14ac:dyDescent="0.25">
      <c r="A644" s="1">
        <v>133</v>
      </c>
      <c r="B644" t="str" cm="1">
        <f t="array" ref="B644">IFERROR(SUBSTITUTE(INDEX(TechType[[#All],[TechTypeID]],$A644),":","__"),"")</f>
        <v>Ltg_Controls__Timer</v>
      </c>
    </row>
    <row r="645" spans="1:2" hidden="1" x14ac:dyDescent="0.25">
      <c r="A645" s="1">
        <v>51</v>
      </c>
      <c r="B645" t="str" cm="1">
        <f t="array" ref="B645">IFERROR(SUBSTITUTE(INDEX(TechType[[#All],[TechTypeID]],$A645),":","__"),"")</f>
        <v>Ltg_Fixture__CFL_</v>
      </c>
    </row>
    <row r="646" spans="1:2" hidden="1" x14ac:dyDescent="0.25">
      <c r="A646" s="1">
        <v>54</v>
      </c>
      <c r="B646" t="str" cm="1">
        <f t="array" ref="B646">IFERROR(SUBSTITUTE(INDEX(TechType[[#All],[TechTypeID]],$A646),":","__"),"")</f>
        <v>Ltg_Fixture__Exit</v>
      </c>
    </row>
    <row r="647" spans="1:2" hidden="1" x14ac:dyDescent="0.25">
      <c r="A647" s="1">
        <v>52</v>
      </c>
      <c r="B647" t="str" cm="1">
        <f t="array" ref="B647">IFERROR(SUBSTITUTE(INDEX(TechType[[#All],[TechTypeID]],$A647),":","__"),"")</f>
        <v>Ltg_Fixture__HID</v>
      </c>
    </row>
    <row r="648" spans="1:2" hidden="1" x14ac:dyDescent="0.25">
      <c r="A648" s="1">
        <v>44</v>
      </c>
      <c r="B648" t="str" cm="1">
        <f t="array" ref="B648">IFERROR(SUBSTITUTE(INDEX(TechType[[#All],[TechTypeID]],$A648),":","__"),"")</f>
        <v>Ltg_Fixture__Ind</v>
      </c>
    </row>
    <row r="649" spans="1:2" hidden="1" x14ac:dyDescent="0.25">
      <c r="A649" s="1">
        <v>53</v>
      </c>
      <c r="B649" t="str" cm="1">
        <f t="array" ref="B649">IFERROR(SUBSTITUTE(INDEX(TechType[[#All],[TechTypeID]],$A649),":","__"),"")</f>
        <v>Ltg_Fixture__LED</v>
      </c>
    </row>
    <row r="650" spans="1:2" hidden="1" x14ac:dyDescent="0.25">
      <c r="A650" s="1">
        <v>55</v>
      </c>
      <c r="B650" t="str" cm="1">
        <f t="array" ref="B650">IFERROR(SUBSTITUTE(INDEX(TechType[[#All],[TechTypeID]],$A650),":","__"),"")</f>
        <v>Ltg_Fixture__LinFluor</v>
      </c>
    </row>
    <row r="651" spans="1:2" hidden="1" x14ac:dyDescent="0.25">
      <c r="A651" s="1">
        <v>63</v>
      </c>
      <c r="B651" t="str" cm="1">
        <f t="array" ref="B651">IFERROR(SUBSTITUTE(INDEX(TechType[[#All],[TechTypeID]],$A651),":","__"),"")</f>
        <v>Ltg_Lamp__CFLint</v>
      </c>
    </row>
    <row r="652" spans="1:2" hidden="1" x14ac:dyDescent="0.25">
      <c r="A652" s="1">
        <v>62</v>
      </c>
      <c r="B652" t="str" cm="1">
        <f t="array" ref="B652">IFERROR(SUBSTITUTE(INDEX(TechType[[#All],[TechTypeID]],$A652),":","__"),"")</f>
        <v>Ltg_Lamp__CFLpin</v>
      </c>
    </row>
    <row r="653" spans="1:2" hidden="1" x14ac:dyDescent="0.25">
      <c r="A653" s="1">
        <v>61</v>
      </c>
      <c r="B653" t="str" cm="1">
        <f t="array" ref="B653">IFERROR(SUBSTITUTE(INDEX(TechType[[#All],[TechTypeID]],$A653),":","__"),"")</f>
        <v>Ltg_Lamp__Hal</v>
      </c>
    </row>
    <row r="654" spans="1:2" hidden="1" x14ac:dyDescent="0.25">
      <c r="A654" s="1">
        <v>64</v>
      </c>
      <c r="B654" t="str" cm="1">
        <f t="array" ref="B654">IFERROR(SUBSTITUTE(INDEX(TechType[[#All],[TechTypeID]],$A654),":","__"),"")</f>
        <v>Ltg_Lamp__Incan</v>
      </c>
    </row>
    <row r="655" spans="1:2" hidden="1" x14ac:dyDescent="0.25">
      <c r="A655" s="1">
        <v>60</v>
      </c>
      <c r="B655" t="str" cm="1">
        <f t="array" ref="B655">IFERROR(SUBSTITUTE(INDEX(TechType[[#All],[TechTypeID]],$A655),":","__"),"")</f>
        <v>Ltg_Lamp__LED</v>
      </c>
    </row>
    <row r="656" spans="1:2" hidden="1" x14ac:dyDescent="0.25">
      <c r="A656" s="1">
        <v>59</v>
      </c>
      <c r="B656" t="str" cm="1">
        <f t="array" ref="B656">IFERROR(SUBSTITUTE(INDEX(TechType[[#All],[TechTypeID]],$A656),":","__"),"")</f>
        <v>Ltg_Lamp__LF</v>
      </c>
    </row>
    <row r="657" spans="1:2" hidden="1" x14ac:dyDescent="0.25">
      <c r="A657" s="1">
        <v>46</v>
      </c>
      <c r="B657" t="str" cm="1">
        <f t="array" ref="B657">IFERROR(SUBSTITUTE(INDEX(TechType[[#All],[TechTypeID]],$A657),":","__"),"")</f>
        <v>Ltg_Lmp+Blst__CFL</v>
      </c>
    </row>
    <row r="658" spans="1:2" hidden="1" x14ac:dyDescent="0.25">
      <c r="A658" s="1">
        <v>56</v>
      </c>
      <c r="B658" t="str" cm="1">
        <f t="array" ref="B658">IFERROR(SUBSTITUTE(INDEX(TechType[[#All],[TechTypeID]],$A658),":","__"),"")</f>
        <v>Ltg_Lmp+Blst__HID</v>
      </c>
    </row>
    <row r="659" spans="1:2" hidden="1" x14ac:dyDescent="0.25">
      <c r="A659" s="1">
        <v>45</v>
      </c>
      <c r="B659" t="str" cm="1">
        <f t="array" ref="B659">IFERROR(SUBSTITUTE(INDEX(TechType[[#All],[TechTypeID]],$A659),":","__"),"")</f>
        <v>Ltg_Lmp+Blst__Ind</v>
      </c>
    </row>
    <row r="660" spans="1:2" hidden="1" x14ac:dyDescent="0.25">
      <c r="A660" s="1">
        <v>57</v>
      </c>
      <c r="B660" t="str" cm="1">
        <f t="array" ref="B660">IFERROR(SUBSTITUTE(INDEX(TechType[[#All],[TechTypeID]],$A660),":","__"),"")</f>
        <v>Ltg_Lmp+Blst__LF</v>
      </c>
    </row>
    <row r="661" spans="1:2" hidden="1" x14ac:dyDescent="0.25">
      <c r="A661" s="1">
        <v>48</v>
      </c>
      <c r="B661" t="str" cm="1">
        <f t="array" ref="B661">IFERROR(SUBSTITUTE(INDEX(TechType[[#All],[TechTypeID]],$A661),":","__"),"")</f>
        <v>Ltg_PlugIn__Fixture</v>
      </c>
    </row>
    <row r="662" spans="1:2" hidden="1" x14ac:dyDescent="0.25">
      <c r="A662" s="1">
        <v>50</v>
      </c>
      <c r="B662" t="str" cm="1">
        <f t="array" ref="B662">IFERROR(SUBSTITUTE(INDEX(TechType[[#All],[TechTypeID]],$A662),":","__"),"")</f>
        <v>Ltg_PlugIn__LtString</v>
      </c>
    </row>
    <row r="663" spans="1:2" hidden="1" x14ac:dyDescent="0.25">
      <c r="A663" s="1">
        <v>49</v>
      </c>
      <c r="B663" t="str" cm="1">
        <f t="array" ref="B663">IFERROR(SUBSTITUTE(INDEX(TechType[[#All],[TechTypeID]],$A663),":","__"),"")</f>
        <v>Ltg_PlugIn__NiteLight</v>
      </c>
    </row>
    <row r="664" spans="1:2" hidden="1" x14ac:dyDescent="0.25">
      <c r="A664" s="1">
        <v>47</v>
      </c>
      <c r="B664" t="str" cm="1">
        <f t="array" ref="B664">IFERROR(SUBSTITUTE(INDEX(TechType[[#All],[TechTypeID]],$A664),":","__"),"")</f>
        <v>Ltg_PlugIn__Signage</v>
      </c>
    </row>
    <row r="665" spans="1:2" hidden="1" x14ac:dyDescent="0.25">
      <c r="A665" s="1">
        <v>173</v>
      </c>
      <c r="B665" t="str" cm="1">
        <f t="array" ref="B665">IFERROR(SUBSTITUTE(INDEX(TechType[[#All],[TechTypeID]],$A665),":","__"),"")</f>
        <v>Motor__GenPurpose</v>
      </c>
    </row>
    <row r="666" spans="1:2" hidden="1" x14ac:dyDescent="0.25">
      <c r="A666" s="1">
        <v>176</v>
      </c>
      <c r="B666" t="str" cm="1">
        <f t="array" ref="B666">IFERROR(SUBSTITUTE(INDEX(TechType[[#All],[TechTypeID]],$A666),":","__"),"")</f>
        <v>Motor_gen__Agitation</v>
      </c>
    </row>
    <row r="667" spans="1:2" hidden="1" x14ac:dyDescent="0.25">
      <c r="A667" s="1">
        <v>175</v>
      </c>
      <c r="B667" t="str" cm="1">
        <f t="array" ref="B667">IFERROR(SUBSTITUTE(INDEX(TechType[[#All],[TechTypeID]],$A667),":","__"),"")</f>
        <v>Motor_gen__BlrDraftFan</v>
      </c>
    </row>
    <row r="668" spans="1:2" hidden="1" x14ac:dyDescent="0.25">
      <c r="A668" s="1">
        <v>182</v>
      </c>
      <c r="B668" t="str" cm="1">
        <f t="array" ref="B668">IFERROR(SUBSTITUTE(INDEX(TechType[[#All],[TechTypeID]],$A668),":","__"),"")</f>
        <v>Motor_gen__CondRetpmp</v>
      </c>
    </row>
    <row r="669" spans="1:2" hidden="1" x14ac:dyDescent="0.25">
      <c r="A669" s="1">
        <v>180</v>
      </c>
      <c r="B669" t="str" cm="1">
        <f t="array" ref="B669">IFERROR(SUBSTITUTE(INDEX(TechType[[#All],[TechTypeID]],$A669),":","__"),"")</f>
        <v>Motor_gen__ConveyDrv</v>
      </c>
    </row>
    <row r="670" spans="1:2" hidden="1" x14ac:dyDescent="0.25">
      <c r="A670" s="1">
        <v>179</v>
      </c>
      <c r="B670" t="str" cm="1">
        <f t="array" ref="B670">IFERROR(SUBSTITUTE(INDEX(TechType[[#All],[TechTypeID]],$A670),":","__"),"")</f>
        <v>Motor_gen__ElevDrv</v>
      </c>
    </row>
    <row r="671" spans="1:2" hidden="1" x14ac:dyDescent="0.25">
      <c r="A671" s="1">
        <v>174</v>
      </c>
      <c r="B671" t="str" cm="1">
        <f t="array" ref="B671">IFERROR(SUBSTITUTE(INDEX(TechType[[#All],[TechTypeID]],$A671),":","__"),"")</f>
        <v>Motor_gen__IrrigPmp</v>
      </c>
    </row>
    <row r="672" spans="1:2" hidden="1" x14ac:dyDescent="0.25">
      <c r="A672" s="1">
        <v>178</v>
      </c>
      <c r="B672" t="str" cm="1">
        <f t="array" ref="B672">IFERROR(SUBSTITUTE(INDEX(TechType[[#All],[TechTypeID]],$A672),":","__"),"")</f>
        <v>Motor_gen__ManMachDrv</v>
      </c>
    </row>
    <row r="673" spans="1:2" hidden="1" x14ac:dyDescent="0.25">
      <c r="A673" s="1">
        <v>177</v>
      </c>
      <c r="B673" t="str" cm="1">
        <f t="array" ref="B673">IFERROR(SUBSTITUTE(INDEX(TechType[[#All],[TechTypeID]],$A673),":","__"),"")</f>
        <v>Motor_gen__MatProcDrv</v>
      </c>
    </row>
    <row r="674" spans="1:2" hidden="1" x14ac:dyDescent="0.25">
      <c r="A674" s="1">
        <v>183</v>
      </c>
      <c r="B674" t="str" cm="1">
        <f t="array" ref="B674">IFERROR(SUBSTITUTE(INDEX(TechType[[#All],[TechTypeID]],$A674),":","__"),"")</f>
        <v>Motor_gen__MUWaterPmp</v>
      </c>
    </row>
    <row r="675" spans="1:2" hidden="1" x14ac:dyDescent="0.25">
      <c r="A675" s="1">
        <v>181</v>
      </c>
      <c r="B675" t="str" cm="1">
        <f t="array" ref="B675">IFERROR(SUBSTITUTE(INDEX(TechType[[#All],[TechTypeID]],$A675),":","__"),"")</f>
        <v>Motor_gen__StackExfan</v>
      </c>
    </row>
    <row r="676" spans="1:2" hidden="1" x14ac:dyDescent="0.25">
      <c r="A676" s="1">
        <v>172</v>
      </c>
      <c r="B676" t="str" cm="1">
        <f t="array" ref="B676">IFERROR(SUBSTITUTE(INDEX(TechType[[#All],[TechTypeID]],$A676),":","__"),"")</f>
        <v>Motor_Spd__ASD</v>
      </c>
    </row>
    <row r="677" spans="1:2" hidden="1" x14ac:dyDescent="0.25">
      <c r="A677" s="1">
        <v>14</v>
      </c>
      <c r="B677" t="str" cm="1">
        <f t="array" ref="B677">IFERROR(SUBSTITUTE(INDEX(TechType[[#All],[TechTypeID]],$A677),":","__"),"")</f>
        <v>NonSav__Bonus</v>
      </c>
    </row>
    <row r="678" spans="1:2" hidden="1" x14ac:dyDescent="0.25">
      <c r="A678" s="1">
        <v>16</v>
      </c>
      <c r="B678" t="str" cm="1">
        <f t="array" ref="B678">IFERROR(SUBSTITUTE(INDEX(TechType[[#All],[TechTypeID]],$A678),":","__"),"")</f>
        <v>NonSav__Correction</v>
      </c>
    </row>
    <row r="679" spans="1:2" hidden="1" x14ac:dyDescent="0.25">
      <c r="A679" s="1">
        <v>17</v>
      </c>
      <c r="B679" t="str" cm="1">
        <f t="array" ref="B679">IFERROR(SUBSTITUTE(INDEX(TechType[[#All],[TechTypeID]],$A679),":","__"),"")</f>
        <v>NonSav__NonSav</v>
      </c>
    </row>
    <row r="680" spans="1:2" hidden="1" x14ac:dyDescent="0.25">
      <c r="A680" s="1">
        <v>15</v>
      </c>
      <c r="B680" t="str" cm="1">
        <f t="array" ref="B680">IFERROR(SUBSTITUTE(INDEX(TechType[[#All],[TechTypeID]],$A680),":","__"),"")</f>
        <v>NonSav__Pilot</v>
      </c>
    </row>
    <row r="681" spans="1:2" hidden="1" x14ac:dyDescent="0.25">
      <c r="A681" s="1">
        <v>86</v>
      </c>
      <c r="B681" t="str" cm="1">
        <f t="array" ref="B681">IFERROR(SUBSTITUTE(INDEX(TechType[[#All],[TechTypeID]],$A681),":","__"),"")</f>
        <v>PoolSpa_eq__LqdPoolCvr</v>
      </c>
    </row>
    <row r="682" spans="1:2" hidden="1" x14ac:dyDescent="0.25">
      <c r="A682" s="1">
        <v>28</v>
      </c>
      <c r="B682" t="str" cm="1">
        <f t="array" ref="B682">IFERROR(SUBSTITUTE(INDEX(TechType[[#All],[TechTypeID]],$A682),":","__"),"")</f>
        <v>PoolSpa_eq__PoolCvr</v>
      </c>
    </row>
    <row r="683" spans="1:2" hidden="1" x14ac:dyDescent="0.25">
      <c r="A683" s="1">
        <v>27</v>
      </c>
      <c r="B683" t="str" cm="1">
        <f t="array" ref="B683">IFERROR(SUBSTITUTE(INDEX(TechType[[#All],[TechTypeID]],$A683),":","__"),"")</f>
        <v>PoolSpa_eq__PoolHeater</v>
      </c>
    </row>
    <row r="684" spans="1:2" hidden="1" x14ac:dyDescent="0.25">
      <c r="A684" s="1">
        <v>78</v>
      </c>
      <c r="B684" t="str" cm="1">
        <f t="array" ref="B684">IFERROR(SUBSTITUTE(INDEX(TechType[[#All],[TechTypeID]],$A684),":","__"),"")</f>
        <v>PoolSpa_eq__PoolPump</v>
      </c>
    </row>
    <row r="685" spans="1:2" hidden="1" x14ac:dyDescent="0.25">
      <c r="A685" s="1">
        <v>43</v>
      </c>
      <c r="B685" t="str" cm="1">
        <f t="array" ref="B685">IFERROR(SUBSTITUTE(INDEX(TechType[[#All],[TechTypeID]],$A685),":","__"),"")</f>
        <v>PumpSystem__CentBstr</v>
      </c>
    </row>
    <row r="686" spans="1:2" hidden="1" x14ac:dyDescent="0.25">
      <c r="A686" s="1">
        <v>143</v>
      </c>
      <c r="B686" t="str" cm="1">
        <f t="array" ref="B686">IFERROR(SUBSTITUTE(INDEX(TechType[[#All],[TechTypeID]],$A686),":","__"),"")</f>
        <v>PumpSystem__Centrif</v>
      </c>
    </row>
    <row r="687" spans="1:2" hidden="1" x14ac:dyDescent="0.25">
      <c r="A687" s="1">
        <v>141</v>
      </c>
      <c r="B687" t="str" cm="1">
        <f t="array" ref="B687">IFERROR(SUBSTITUTE(INDEX(TechType[[#All],[TechTypeID]],$A687),":","__"),"")</f>
        <v>PumpSystem__PosDisp</v>
      </c>
    </row>
    <row r="688" spans="1:2" hidden="1" x14ac:dyDescent="0.25">
      <c r="A688" s="1">
        <v>142</v>
      </c>
      <c r="B688" t="str" cm="1">
        <f t="array" ref="B688">IFERROR(SUBSTITUTE(INDEX(TechType[[#All],[TechTypeID]],$A688),":","__"),"")</f>
        <v>PumpSystem__ProgCapac</v>
      </c>
    </row>
    <row r="689" spans="1:2" hidden="1" x14ac:dyDescent="0.25">
      <c r="A689" s="1">
        <v>42</v>
      </c>
      <c r="B689" t="str" cm="1">
        <f t="array" ref="B689">IFERROR(SUBSTITUTE(INDEX(TechType[[#All],[TechTypeID]],$A689),":","__"),"")</f>
        <v>PumpSystem__SubBstr</v>
      </c>
    </row>
    <row r="690" spans="1:2" hidden="1" x14ac:dyDescent="0.25">
      <c r="A690" s="1">
        <v>41</v>
      </c>
      <c r="B690" t="str" cm="1">
        <f t="array" ref="B690">IFERROR(SUBSTITUTE(INDEX(TechType[[#All],[TechTypeID]],$A690),":","__"),"")</f>
        <v>PumpSystem__SubWell</v>
      </c>
    </row>
    <row r="691" spans="1:2" hidden="1" x14ac:dyDescent="0.25">
      <c r="A691" s="1">
        <v>40</v>
      </c>
      <c r="B691" t="str" cm="1">
        <f t="array" ref="B691">IFERROR(SUBSTITUTE(INDEX(TechType[[#All],[TechTypeID]],$A691),":","__"),"")</f>
        <v>PumpSystem__TurbBstr</v>
      </c>
    </row>
    <row r="692" spans="1:2" hidden="1" x14ac:dyDescent="0.25">
      <c r="A692" s="1">
        <v>39</v>
      </c>
      <c r="B692" t="str" cm="1">
        <f t="array" ref="B692">IFERROR(SUBSTITUTE(INDEX(TechType[[#All],[TechTypeID]],$A692),":","__"),"")</f>
        <v>PumpSystem__TurbWell</v>
      </c>
    </row>
    <row r="693" spans="1:2" hidden="1" x14ac:dyDescent="0.25">
      <c r="A693" s="1">
        <v>109</v>
      </c>
      <c r="B693" t="str" cm="1">
        <f t="array" ref="B693">IFERROR(SUBSTITUTE(INDEX(TechType[[#All],[TechTypeID]],$A693),":","__"),"")</f>
        <v>Ref_SelfCon__IceMach</v>
      </c>
    </row>
    <row r="694" spans="1:2" hidden="1" x14ac:dyDescent="0.25">
      <c r="A694" s="1">
        <v>75</v>
      </c>
      <c r="B694" t="str" cm="1">
        <f t="array" ref="B694">IFERROR(SUBSTITUTE(INDEX(TechType[[#All],[TechTypeID]],$A694),":","__"),"")</f>
        <v xml:space="preserve">Ref_Storage__AutoCloserCF_x000D_
</v>
      </c>
    </row>
    <row r="695" spans="1:2" hidden="1" x14ac:dyDescent="0.25">
      <c r="A695" s="1">
        <v>128</v>
      </c>
      <c r="B695" t="str" cm="1">
        <f t="array" ref="B695">IFERROR(SUBSTITUTE(INDEX(TechType[[#All],[TechTypeID]],$A695),":","__"),"")</f>
        <v>Ref_Storage__Freezer</v>
      </c>
    </row>
    <row r="696" spans="1:2" hidden="1" x14ac:dyDescent="0.25">
      <c r="A696" s="1">
        <v>79</v>
      </c>
      <c r="B696" t="str" cm="1">
        <f t="array" ref="B696">IFERROR(SUBSTITUTE(INDEX(TechType[[#All],[TechTypeID]],$A696),":","__"),"")</f>
        <v>Ref_Storage__Gasket</v>
      </c>
    </row>
    <row r="697" spans="1:2" hidden="1" x14ac:dyDescent="0.25">
      <c r="A697" s="1">
        <v>131</v>
      </c>
      <c r="B697" t="str" cm="1">
        <f t="array" ref="B697">IFERROR(SUBSTITUTE(INDEX(TechType[[#All],[TechTypeID]],$A697),":","__"),"")</f>
        <v>Ref_Storage__HorDisp</v>
      </c>
    </row>
    <row r="698" spans="1:2" hidden="1" x14ac:dyDescent="0.25">
      <c r="A698" s="1">
        <v>76</v>
      </c>
      <c r="B698" t="str" cm="1">
        <f t="array" ref="B698">IFERROR(SUBSTITUTE(INDEX(TechType[[#All],[TechTypeID]],$A698),":","__"),"")</f>
        <v xml:space="preserve">Ref_Storage__NightCover_x000D_
</v>
      </c>
    </row>
    <row r="699" spans="1:2" hidden="1" x14ac:dyDescent="0.25">
      <c r="A699" s="1">
        <v>121</v>
      </c>
      <c r="B699" t="str" cm="1">
        <f t="array" ref="B699">IFERROR(SUBSTITUTE(INDEX(TechType[[#All],[TechTypeID]],$A699),":","__"),"")</f>
        <v>Ref_Storage__ReachIn</v>
      </c>
    </row>
    <row r="700" spans="1:2" hidden="1" x14ac:dyDescent="0.25">
      <c r="A700" s="1">
        <v>65</v>
      </c>
      <c r="B700" t="str" cm="1">
        <f t="array" ref="B700">IFERROR(SUBSTITUTE(INDEX(TechType[[#All],[TechTypeID]],$A700),":","__"),"")</f>
        <v>Ref_Storage__RefControl</v>
      </c>
    </row>
    <row r="701" spans="1:2" hidden="1" x14ac:dyDescent="0.25">
      <c r="A701" s="1">
        <v>129</v>
      </c>
      <c r="B701" t="str" cm="1">
        <f t="array" ref="B701">IFERROR(SUBSTITUTE(INDEX(TechType[[#All],[TechTypeID]],$A701),":","__"),"")</f>
        <v>Ref_Storage__RefrigFrz</v>
      </c>
    </row>
    <row r="702" spans="1:2" hidden="1" x14ac:dyDescent="0.25">
      <c r="A702" s="1">
        <v>122</v>
      </c>
      <c r="B702" t="str" cm="1">
        <f t="array" ref="B702">IFERROR(SUBSTITUTE(INDEX(TechType[[#All],[TechTypeID]],$A702),":","__"),"")</f>
        <v>Ref_Storage__RefrigLtg</v>
      </c>
    </row>
    <row r="703" spans="1:2" hidden="1" x14ac:dyDescent="0.25">
      <c r="A703" s="1">
        <v>124</v>
      </c>
      <c r="B703" t="str" cm="1">
        <f t="array" ref="B703">IFERROR(SUBSTITUTE(INDEX(TechType[[#All],[TechTypeID]],$A703),":","__"),"")</f>
        <v>Ref_Storage__StripCurt</v>
      </c>
    </row>
    <row r="704" spans="1:2" hidden="1" x14ac:dyDescent="0.25">
      <c r="A704" s="1">
        <v>123</v>
      </c>
      <c r="B704" t="str" cm="1">
        <f t="array" ref="B704">IFERROR(SUBSTITUTE(INDEX(TechType[[#All],[TechTypeID]],$A704),":","__"),"")</f>
        <v>Ref_Storage__TempSensor</v>
      </c>
    </row>
    <row r="705" spans="1:2" hidden="1" x14ac:dyDescent="0.25">
      <c r="A705" s="1">
        <v>130</v>
      </c>
      <c r="B705" t="str" cm="1">
        <f t="array" ref="B705">IFERROR(SUBSTITUTE(INDEX(TechType[[#All],[TechTypeID]],$A705),":","__"),"")</f>
        <v>Ref_Storage__VertDisplay</v>
      </c>
    </row>
    <row r="706" spans="1:2" hidden="1" x14ac:dyDescent="0.25">
      <c r="A706" s="1">
        <v>77</v>
      </c>
      <c r="B706" t="str" cm="1">
        <f t="array" ref="B706">IFERROR(SUBSTITUTE(INDEX(TechType[[#All],[TechTypeID]],$A706),":","__"),"")</f>
        <v>Ref_Storage__VMController</v>
      </c>
    </row>
    <row r="707" spans="1:2" hidden="1" x14ac:dyDescent="0.25">
      <c r="A707" s="1">
        <v>126</v>
      </c>
      <c r="B707" t="str" cm="1">
        <f t="array" ref="B707">IFERROR(SUBSTITUTE(INDEX(TechType[[#All],[TechTypeID]],$A707),":","__"),"")</f>
        <v>Ref_Storage__WalkInCool</v>
      </c>
    </row>
    <row r="708" spans="1:2" hidden="1" x14ac:dyDescent="0.25">
      <c r="A708" s="1">
        <v>127</v>
      </c>
      <c r="B708" t="str" cm="1">
        <f t="array" ref="B708">IFERROR(SUBSTITUTE(INDEX(TechType[[#All],[TechTypeID]],$A708),":","__"),"")</f>
        <v>Ref_Storage__WalkInDoor</v>
      </c>
    </row>
    <row r="709" spans="1:2" hidden="1" x14ac:dyDescent="0.25">
      <c r="A709" s="1">
        <v>125</v>
      </c>
      <c r="B709" t="str" cm="1">
        <f t="array" ref="B709">IFERROR(SUBSTITUTE(INDEX(TechType[[#All],[TechTypeID]],$A709),":","__"),"")</f>
        <v>Ref_Storage__WalkInFrz</v>
      </c>
    </row>
    <row r="710" spans="1:2" hidden="1" x14ac:dyDescent="0.25">
      <c r="A710" s="1">
        <v>135</v>
      </c>
      <c r="B710" t="str" cm="1">
        <f t="array" ref="B710">IFERROR(SUBSTITUTE(INDEX(TechType[[#All],[TechTypeID]],$A710),":","__"),"")</f>
        <v>RodPumps__PumpCtrl</v>
      </c>
    </row>
    <row r="711" spans="1:2" hidden="1" x14ac:dyDescent="0.25">
      <c r="A711" s="1">
        <v>217</v>
      </c>
      <c r="B711" t="str" cm="1">
        <f t="array" ref="B711">IFERROR(SUBSTITUTE(INDEX(TechType[[#All],[TechTypeID]],$A711),":","__"),"")</f>
        <v>SpaceHtg_eq__GasFurnace</v>
      </c>
    </row>
    <row r="712" spans="1:2" hidden="1" x14ac:dyDescent="0.25">
      <c r="A712" s="1">
        <v>139</v>
      </c>
      <c r="B712" t="str" cm="1">
        <f t="array" ref="B712">IFERROR(SUBSTITUTE(INDEX(TechType[[#All],[TechTypeID]],$A712),":","__"),"")</f>
        <v>SteamCirc__PipeIns</v>
      </c>
    </row>
    <row r="713" spans="1:2" hidden="1" x14ac:dyDescent="0.25">
      <c r="A713" s="1">
        <v>140</v>
      </c>
      <c r="B713" t="str" cm="1">
        <f t="array" ref="B713">IFERROR(SUBSTITUTE(INDEX(TechType[[#All],[TechTypeID]],$A713),":","__"),"")</f>
        <v>SteamCirc__SteamTrap</v>
      </c>
    </row>
    <row r="714" spans="1:2" hidden="1" x14ac:dyDescent="0.25">
      <c r="A714" s="1">
        <v>163</v>
      </c>
      <c r="B714" t="str" cm="1">
        <f t="array" ref="B714">IFERROR(SUBSTITUTE(INDEX(TechType[[#All],[TechTypeID]],$A714),":","__"),"")</f>
        <v>SteamHtg_eq__Boiler_AF</v>
      </c>
    </row>
    <row r="715" spans="1:2" hidden="1" x14ac:dyDescent="0.25">
      <c r="A715" s="1">
        <v>162</v>
      </c>
      <c r="B715" t="str" cm="1">
        <f t="array" ref="B715">IFERROR(SUBSTITUTE(INDEX(TechType[[#All],[TechTypeID]],$A715),":","__"),"")</f>
        <v>SteamHtg_eq__Boiler_Et</v>
      </c>
    </row>
    <row r="716" spans="1:2" hidden="1" x14ac:dyDescent="0.25">
      <c r="A716" s="1">
        <v>138</v>
      </c>
      <c r="B716" t="str" cm="1">
        <f t="array" ref="B716">IFERROR(SUBSTITUTE(INDEX(TechType[[#All],[TechTypeID]],$A716),":","__"),"")</f>
        <v>VertTrans__ElevMotor</v>
      </c>
    </row>
    <row r="717" spans="1:2" hidden="1" x14ac:dyDescent="0.25">
      <c r="A717" s="1">
        <v>29</v>
      </c>
      <c r="B717" t="str" cm="1">
        <f t="array" ref="B717">IFERROR(SUBSTITUTE(INDEX(TechType[[#All],[TechTypeID]],$A717),":","__"),"")</f>
        <v>WaterFixt__DHWSavingsKit</v>
      </c>
    </row>
    <row r="718" spans="1:2" hidden="1" x14ac:dyDescent="0.25">
      <c r="A718" s="1">
        <v>11</v>
      </c>
      <c r="B718" t="str" cm="1">
        <f t="array" ref="B718">IFERROR(SUBSTITUTE(INDEX(TechType[[#All],[TechTypeID]],$A718),":","__"),"")</f>
        <v>WaterFixt__Faucet</v>
      </c>
    </row>
    <row r="719" spans="1:2" hidden="1" x14ac:dyDescent="0.25">
      <c r="A719" s="1">
        <v>105</v>
      </c>
      <c r="B719" t="str" cm="1">
        <f t="array" ref="B719">IFERROR(SUBSTITUTE(INDEX(TechType[[#All],[TechTypeID]],$A719),":","__"),"")</f>
        <v>WaterFixt__FaucetAer</v>
      </c>
    </row>
    <row r="720" spans="1:2" hidden="1" x14ac:dyDescent="0.25">
      <c r="A720" s="1">
        <v>87</v>
      </c>
      <c r="B720" t="str" cm="1">
        <f t="array" ref="B720">IFERROR(SUBSTITUTE(INDEX(TechType[[#All],[TechTypeID]],$A720),":","__"),"")</f>
        <v>WaterFixt__FlowRestrict</v>
      </c>
    </row>
    <row r="721" spans="1:2" hidden="1" x14ac:dyDescent="0.25">
      <c r="A721" s="1">
        <v>106</v>
      </c>
      <c r="B721" t="str" cm="1">
        <f t="array" ref="B721">IFERROR(SUBSTITUTE(INDEX(TechType[[#All],[TechTypeID]],$A721),":","__"),"")</f>
        <v>WaterFixt__ShowerHd</v>
      </c>
    </row>
    <row r="722" spans="1:2" hidden="1" x14ac:dyDescent="0.25">
      <c r="A722" s="1">
        <v>30</v>
      </c>
      <c r="B722" t="str" cm="1">
        <f t="array" ref="B722">IFERROR(SUBSTITUTE(INDEX(TechType[[#All],[TechTypeID]],$A722),":","__"),"")</f>
        <v>WaterFixt__ShowerHdFlowRes</v>
      </c>
    </row>
    <row r="723" spans="1:2" hidden="1" x14ac:dyDescent="0.25">
      <c r="A723" s="1">
        <v>171</v>
      </c>
      <c r="B723" t="str" cm="1">
        <f t="array" ref="B723">IFERROR(SUBSTITUTE(INDEX(TechType[[#All],[TechTypeID]],$A723),":","__"),"")</f>
        <v>WaterHtg_eq__Boiler_AF</v>
      </c>
    </row>
    <row r="724" spans="1:2" hidden="1" x14ac:dyDescent="0.25">
      <c r="A724" s="1">
        <v>3</v>
      </c>
      <c r="B724" t="str" cm="1">
        <f t="array" ref="B724">IFERROR(SUBSTITUTE(INDEX(TechType[[#All],[TechTypeID]],$A724),":","__"),"")</f>
        <v>WaterHtg_eq__Boiler_Et</v>
      </c>
    </row>
    <row r="725" spans="1:2" hidden="1" x14ac:dyDescent="0.25">
      <c r="A725" s="1">
        <v>170</v>
      </c>
      <c r="B725" t="str" cm="1">
        <f t="array" ref="B725">IFERROR(SUBSTITUTE(INDEX(TechType[[#All],[TechTypeID]],$A725),":","__"),"")</f>
        <v>WaterHtg_eq__Boiler_Et</v>
      </c>
    </row>
    <row r="726" spans="1:2" hidden="1" x14ac:dyDescent="0.25">
      <c r="A726" s="1">
        <v>9</v>
      </c>
      <c r="B726" t="str" cm="1">
        <f t="array" ref="B726">IFERROR(SUBSTITUTE(INDEX(TechType[[#All],[TechTypeID]],$A726),":","__"),"")</f>
        <v>WaterHtg_eq__Boiler_Et_Central</v>
      </c>
    </row>
    <row r="727" spans="1:2" hidden="1" x14ac:dyDescent="0.25">
      <c r="A727" s="1">
        <v>12</v>
      </c>
      <c r="B727" t="str" cm="1">
        <f t="array" ref="B727">IFERROR(SUBSTITUTE(INDEX(TechType[[#All],[TechTypeID]],$A727),":","__"),"")</f>
        <v>WaterHtg_eq__HP_COP</v>
      </c>
    </row>
    <row r="728" spans="1:2" hidden="1" x14ac:dyDescent="0.25">
      <c r="A728" s="1">
        <v>10</v>
      </c>
      <c r="B728" t="str" cm="1">
        <f t="array" ref="B728">IFERROR(SUBSTITUTE(INDEX(TechType[[#All],[TechTypeID]],$A728),":","__"),"")</f>
        <v>WaterHtg_eq__HP_COP_Central</v>
      </c>
    </row>
    <row r="729" spans="1:2" hidden="1" x14ac:dyDescent="0.25">
      <c r="A729" s="1">
        <v>165</v>
      </c>
      <c r="B729" t="str" cm="1">
        <f t="array" ref="B729">IFERROR(SUBSTITUTE(INDEX(TechType[[#All],[TechTypeID]],$A729),":","__"),"")</f>
        <v>WaterHtg_eq__HP_EF</v>
      </c>
    </row>
    <row r="730" spans="1:2" hidden="1" x14ac:dyDescent="0.25">
      <c r="A730" s="1">
        <v>19</v>
      </c>
      <c r="B730" t="str" cm="1">
        <f t="array" ref="B730">IFERROR(SUBSTITUTE(INDEX(TechType[[#All],[TechTypeID]],$A730),":","__"),"")</f>
        <v>WaterHtg_eq__HP_UEF</v>
      </c>
    </row>
    <row r="731" spans="1:2" hidden="1" x14ac:dyDescent="0.25">
      <c r="A731" s="1">
        <v>169</v>
      </c>
      <c r="B731" t="str" cm="1">
        <f t="array" ref="B731">IFERROR(SUBSTITUTE(INDEX(TechType[[#All],[TechTypeID]],$A731),":","__"),"")</f>
        <v>WaterHtg_eq__Instant_EF</v>
      </c>
    </row>
    <row r="732" spans="1:2" hidden="1" x14ac:dyDescent="0.25">
      <c r="A732" s="1">
        <v>168</v>
      </c>
      <c r="B732" t="str" cm="1">
        <f t="array" ref="B732">IFERROR(SUBSTITUTE(INDEX(TechType[[#All],[TechTypeID]],$A732),":","__"),"")</f>
        <v>WaterHtg_eq__Instant_Et</v>
      </c>
    </row>
    <row r="733" spans="1:2" hidden="1" x14ac:dyDescent="0.25">
      <c r="A733" s="1">
        <v>21</v>
      </c>
      <c r="B733" t="str" cm="1">
        <f t="array" ref="B733">IFERROR(SUBSTITUTE(INDEX(TechType[[#All],[TechTypeID]],$A733),":","__"),"")</f>
        <v>WaterHtg_eq__Instant_UEF</v>
      </c>
    </row>
    <row r="734" spans="1:2" hidden="1" x14ac:dyDescent="0.25">
      <c r="A734" s="1">
        <v>167</v>
      </c>
      <c r="B734" t="str" cm="1">
        <f t="array" ref="B734">IFERROR(SUBSTITUTE(INDEX(TechType[[#All],[TechTypeID]],$A734),":","__"),"")</f>
        <v>WaterHtg_eq__Stor_EF</v>
      </c>
    </row>
    <row r="735" spans="1:2" hidden="1" x14ac:dyDescent="0.25">
      <c r="A735" s="1">
        <v>166</v>
      </c>
      <c r="B735" t="str" cm="1">
        <f t="array" ref="B735">IFERROR(SUBSTITUTE(INDEX(TechType[[#All],[TechTypeID]],$A735),":","__"),"")</f>
        <v>WaterHtg_eq__Stor_Et</v>
      </c>
    </row>
    <row r="736" spans="1:2" hidden="1" x14ac:dyDescent="0.25">
      <c r="A736" s="1">
        <v>8</v>
      </c>
      <c r="B736" t="str" cm="1">
        <f t="array" ref="B736">IFERROR(SUBSTITUTE(INDEX(TechType[[#All],[TechTypeID]],$A736),":","__"),"")</f>
        <v>WaterHtg_eq__Stor_Et_Central</v>
      </c>
    </row>
    <row r="737" spans="1:2" hidden="1" x14ac:dyDescent="0.25">
      <c r="A737" s="1">
        <v>20</v>
      </c>
      <c r="B737" t="str" cm="1">
        <f t="array" ref="B737">IFERROR(SUBSTITUTE(INDEX(TechType[[#All],[TechTypeID]],$A737),":","__"),"")</f>
        <v>WaterHtg_eq__Stor_UEF</v>
      </c>
    </row>
    <row r="738" spans="1:2" hidden="1" x14ac:dyDescent="0.25">
      <c r="A738" s="1">
        <v>164</v>
      </c>
      <c r="B738" t="str" cm="1">
        <f t="array" ref="B738">IFERROR(SUBSTITUTE(INDEX(TechType[[#All],[TechTypeID]],$A738),":","__"),"")</f>
        <v>WaterHtg_eq__TankIns</v>
      </c>
    </row>
    <row r="739" spans="1:2" hidden="1" x14ac:dyDescent="0.25">
      <c r="A739" s="1">
        <v>84</v>
      </c>
      <c r="B739" t="str" cm="1">
        <f t="array" ref="B739">IFERROR(SUBSTITUTE(INDEX(TechType[[#All],[TechTypeID]],$A739),":","__"),"")</f>
        <v>WhlBldg__WBldgImpArea</v>
      </c>
    </row>
    <row r="740" spans="1:2" hidden="1" x14ac:dyDescent="0.25">
      <c r="A740" s="1">
        <v>85</v>
      </c>
      <c r="B740" t="str" cm="1">
        <f t="array" ref="B740">IFERROR(SUBSTITUTE(INDEX(TechType[[#All],[TechTypeID]],$A740),":","__"),"")</f>
        <v>WhlBldg__WBldgImpSite</v>
      </c>
    </row>
    <row r="741" spans="1:2" hidden="1" x14ac:dyDescent="0.2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703125" defaultRowHeight="11.25" x14ac:dyDescent="0.25"/>
  <cols>
    <col min="1" max="1" width="6.28515625" style="9" bestFit="1" customWidth="1"/>
    <col min="2" max="2" width="10.140625" style="9" bestFit="1" customWidth="1"/>
    <col min="3" max="3" width="22.85546875" style="6" bestFit="1" customWidth="1"/>
    <col min="4" max="4" width="12.42578125" style="9" bestFit="1" customWidth="1"/>
    <col min="5" max="5" width="8.85546875" style="9" bestFit="1" customWidth="1"/>
    <col min="6" max="6" width="11.85546875" style="6" bestFit="1" customWidth="1"/>
    <col min="7" max="7" width="6.42578125" style="9" bestFit="1" customWidth="1"/>
    <col min="8" max="8" width="34.5703125" style="6" bestFit="1" customWidth="1"/>
    <col min="9" max="9" width="9.85546875" style="9" bestFit="1" customWidth="1"/>
    <col min="10" max="10" width="9.42578125" style="9" bestFit="1" customWidth="1"/>
    <col min="11" max="11" width="20.140625" style="9" customWidth="1"/>
    <col min="12" max="12" width="8.28515625" style="10" bestFit="1" customWidth="1"/>
    <col min="13" max="13" width="8.85546875" style="10" bestFit="1" customWidth="1"/>
    <col min="14" max="14" width="12.5703125" style="10" bestFit="1" customWidth="1"/>
    <col min="15" max="15" width="12.140625" style="10" bestFit="1" customWidth="1"/>
    <col min="16" max="16" width="8.7109375" style="11" bestFit="1" customWidth="1"/>
    <col min="17" max="17" width="9.7109375" style="11" bestFit="1" customWidth="1"/>
    <col min="18" max="18" width="9.5703125" style="10" bestFit="1" customWidth="1"/>
    <col min="19" max="19" width="9.7109375" style="10" bestFit="1" customWidth="1"/>
    <col min="20" max="20" width="10.5703125" style="10" bestFit="1" customWidth="1"/>
    <col min="21" max="21" width="8.5703125" style="11" bestFit="1" customWidth="1"/>
    <col min="22" max="22" width="10.7109375" style="12" bestFit="1" customWidth="1"/>
    <col min="23" max="23" width="8.140625" style="11" bestFit="1" customWidth="1"/>
    <col min="24" max="24" width="44.28515625" style="12" bestFit="1" customWidth="1"/>
    <col min="25" max="25" width="14.28515625" style="10" bestFit="1" customWidth="1"/>
    <col min="26" max="26" width="18.7109375" style="12" bestFit="1" customWidth="1"/>
    <col min="27" max="16384" width="7.5703125" style="9"/>
  </cols>
  <sheetData>
    <row r="1" spans="1:26" s="6" customFormat="1" x14ac:dyDescent="0.25">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33.75" hidden="1" x14ac:dyDescent="0.25">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2.5" hidden="1" x14ac:dyDescent="0.25">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2.5" hidden="1" x14ac:dyDescent="0.25">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2.5" hidden="1" x14ac:dyDescent="0.25">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3.75" hidden="1" x14ac:dyDescent="0.25">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2.5" hidden="1" x14ac:dyDescent="0.25">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2.5" hidden="1" x14ac:dyDescent="0.25">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45" hidden="1" x14ac:dyDescent="0.25">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2.5" hidden="1" x14ac:dyDescent="0.25">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2.5" hidden="1" x14ac:dyDescent="0.25">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2.5" hidden="1" x14ac:dyDescent="0.25">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2.5" hidden="1" x14ac:dyDescent="0.25">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2.5" hidden="1" x14ac:dyDescent="0.25">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2.5" hidden="1" x14ac:dyDescent="0.25">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2.5" hidden="1" x14ac:dyDescent="0.25">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2.5" hidden="1" x14ac:dyDescent="0.25">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2.5" hidden="1" x14ac:dyDescent="0.25">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2.5" hidden="1" x14ac:dyDescent="0.25">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2.5" hidden="1" x14ac:dyDescent="0.25">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2.5" hidden="1" x14ac:dyDescent="0.25">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2.5" hidden="1" x14ac:dyDescent="0.25">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2.5" hidden="1" x14ac:dyDescent="0.25">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2.5" hidden="1" x14ac:dyDescent="0.25">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2.5" hidden="1" x14ac:dyDescent="0.25">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2.5" hidden="1" x14ac:dyDescent="0.25">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2.5" hidden="1" x14ac:dyDescent="0.25">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2.5" hidden="1" x14ac:dyDescent="0.25">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33.75" hidden="1" x14ac:dyDescent="0.25">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2.5" hidden="1" x14ac:dyDescent="0.25">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2.5" hidden="1" x14ac:dyDescent="0.25">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2.5" hidden="1" x14ac:dyDescent="0.25">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2.5" hidden="1" x14ac:dyDescent="0.25">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2.5" hidden="1" x14ac:dyDescent="0.25">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2.5" hidden="1" x14ac:dyDescent="0.25">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2.5" hidden="1" x14ac:dyDescent="0.25">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2.5" hidden="1" x14ac:dyDescent="0.25">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2.5" hidden="1" x14ac:dyDescent="0.25">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2.5" hidden="1" x14ac:dyDescent="0.25">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2.5" hidden="1" x14ac:dyDescent="0.25">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2.5" hidden="1" x14ac:dyDescent="0.25">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2.5" hidden="1" x14ac:dyDescent="0.25">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2.5" hidden="1" x14ac:dyDescent="0.25">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2.5" hidden="1" x14ac:dyDescent="0.25">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2.5" hidden="1" x14ac:dyDescent="0.25">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2.5" hidden="1" x14ac:dyDescent="0.25">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2.5" hidden="1" x14ac:dyDescent="0.25">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2.5" hidden="1" x14ac:dyDescent="0.25">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2.5" hidden="1" x14ac:dyDescent="0.25">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2.5" hidden="1" x14ac:dyDescent="0.25">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2.5" hidden="1" x14ac:dyDescent="0.25">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2.5" hidden="1" x14ac:dyDescent="0.25">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2.5" hidden="1" x14ac:dyDescent="0.25">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2.5" hidden="1" x14ac:dyDescent="0.25">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2.5" hidden="1" x14ac:dyDescent="0.25">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2.5" hidden="1" x14ac:dyDescent="0.25">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2.5" hidden="1" x14ac:dyDescent="0.25">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2.5" hidden="1" x14ac:dyDescent="0.25">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2.5" hidden="1" x14ac:dyDescent="0.25">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2.5" hidden="1" x14ac:dyDescent="0.25">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2.5" hidden="1" x14ac:dyDescent="0.25">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2.5" hidden="1" x14ac:dyDescent="0.25">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2.5" hidden="1" x14ac:dyDescent="0.25">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2.5" hidden="1" x14ac:dyDescent="0.25">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2.5" hidden="1" x14ac:dyDescent="0.25">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2.5" hidden="1" x14ac:dyDescent="0.25">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2.5" hidden="1" x14ac:dyDescent="0.25">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2.5" hidden="1" x14ac:dyDescent="0.25">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2.5" hidden="1" x14ac:dyDescent="0.25">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33.75" hidden="1" x14ac:dyDescent="0.25">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2.5" hidden="1" x14ac:dyDescent="0.25">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3.75" hidden="1" x14ac:dyDescent="0.25">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2.5" hidden="1" x14ac:dyDescent="0.25">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3.75" hidden="1" x14ac:dyDescent="0.25">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2.5" hidden="1" x14ac:dyDescent="0.25">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3.75" hidden="1" x14ac:dyDescent="0.25">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2.5" hidden="1" x14ac:dyDescent="0.25">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2.5" hidden="1" x14ac:dyDescent="0.25">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2.5" hidden="1" x14ac:dyDescent="0.25">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2.5" x14ac:dyDescent="0.25">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2.5" hidden="1" x14ac:dyDescent="0.25">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2.5" hidden="1" x14ac:dyDescent="0.25">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2.5" hidden="1" x14ac:dyDescent="0.25">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2.5" hidden="1" x14ac:dyDescent="0.25">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2.5" hidden="1" x14ac:dyDescent="0.25">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2.5" hidden="1" x14ac:dyDescent="0.25">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2.5" hidden="1" x14ac:dyDescent="0.25">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2.5" hidden="1" x14ac:dyDescent="0.25">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2.5" hidden="1" x14ac:dyDescent="0.25">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2.5" hidden="1" x14ac:dyDescent="0.25">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2.5" hidden="1" x14ac:dyDescent="0.25">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2.5" x14ac:dyDescent="0.25">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2.5" hidden="1" x14ac:dyDescent="0.25">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2.5" hidden="1" x14ac:dyDescent="0.25">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2.5" hidden="1" x14ac:dyDescent="0.25">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2.5" hidden="1" x14ac:dyDescent="0.25">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2.5" hidden="1" x14ac:dyDescent="0.25">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2.5" hidden="1" x14ac:dyDescent="0.25">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2.5" hidden="1" x14ac:dyDescent="0.25">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2.5" hidden="1" x14ac:dyDescent="0.25">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2.5" hidden="1" x14ac:dyDescent="0.25">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2.5" hidden="1" x14ac:dyDescent="0.25">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2.5" hidden="1" x14ac:dyDescent="0.25">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2.5" hidden="1" x14ac:dyDescent="0.25">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2.5" hidden="1" x14ac:dyDescent="0.25">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2.5" hidden="1" x14ac:dyDescent="0.25">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2.5" hidden="1" x14ac:dyDescent="0.25">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2.5" hidden="1" x14ac:dyDescent="0.25">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2.5" hidden="1" x14ac:dyDescent="0.25">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2.5" hidden="1" x14ac:dyDescent="0.25">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2.5" hidden="1" x14ac:dyDescent="0.25">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2.5" hidden="1" x14ac:dyDescent="0.25">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2.5" hidden="1" x14ac:dyDescent="0.25">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2.5" hidden="1" x14ac:dyDescent="0.25">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2.5" hidden="1" x14ac:dyDescent="0.25">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2.5" hidden="1" x14ac:dyDescent="0.25">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2.5" hidden="1" x14ac:dyDescent="0.25">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2.5" hidden="1" x14ac:dyDescent="0.25">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2.5" hidden="1" x14ac:dyDescent="0.25">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2.5" hidden="1" x14ac:dyDescent="0.25">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2.5" hidden="1" x14ac:dyDescent="0.25">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2.5" hidden="1" x14ac:dyDescent="0.25">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2.5" hidden="1" x14ac:dyDescent="0.25">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2.5" hidden="1" x14ac:dyDescent="0.25">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2.5" hidden="1" x14ac:dyDescent="0.25">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2.5" hidden="1" x14ac:dyDescent="0.25">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2.5" hidden="1" x14ac:dyDescent="0.25">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2.5" hidden="1" x14ac:dyDescent="0.25">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19.899999999999999" hidden="1" customHeight="1" x14ac:dyDescent="0.25">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2.5" hidden="1" x14ac:dyDescent="0.25">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2.5" hidden="1" x14ac:dyDescent="0.25">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2.5" hidden="1" x14ac:dyDescent="0.25">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2.5" hidden="1" x14ac:dyDescent="0.25">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2.5" hidden="1" x14ac:dyDescent="0.25">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2.5" hidden="1" x14ac:dyDescent="0.25">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2.5" hidden="1" x14ac:dyDescent="0.25">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33.75" hidden="1" x14ac:dyDescent="0.25">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2.5" hidden="1" x14ac:dyDescent="0.25">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2.5" hidden="1" x14ac:dyDescent="0.25">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2.5" hidden="1" x14ac:dyDescent="0.25">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2.5" hidden="1" x14ac:dyDescent="0.25">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2.5" hidden="1" x14ac:dyDescent="0.25">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2.5" hidden="1" x14ac:dyDescent="0.25">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2.5" hidden="1" x14ac:dyDescent="0.25">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2.5" hidden="1" x14ac:dyDescent="0.25">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2.5" hidden="1" x14ac:dyDescent="0.25">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2.5" hidden="1" x14ac:dyDescent="0.25">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2.5" hidden="1" x14ac:dyDescent="0.25">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2.5" hidden="1" x14ac:dyDescent="0.25">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2.5" hidden="1" x14ac:dyDescent="0.25">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2.5" hidden="1" x14ac:dyDescent="0.25">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2.5" hidden="1" x14ac:dyDescent="0.25">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2.5" hidden="1" x14ac:dyDescent="0.25">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2.5" hidden="1" x14ac:dyDescent="0.25">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2.5" hidden="1" x14ac:dyDescent="0.25">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2.5" x14ac:dyDescent="0.25">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2.5" x14ac:dyDescent="0.25">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2.5" x14ac:dyDescent="0.25">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2.5" x14ac:dyDescent="0.25">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2.5" x14ac:dyDescent="0.25">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2.5" x14ac:dyDescent="0.25">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2.5" hidden="1" x14ac:dyDescent="0.25">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2.5" hidden="1" x14ac:dyDescent="0.25">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2.5" hidden="1" x14ac:dyDescent="0.25">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2.5" hidden="1" x14ac:dyDescent="0.25">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2.5" hidden="1" x14ac:dyDescent="0.25">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2.5" hidden="1" x14ac:dyDescent="0.25">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2.5" hidden="1" x14ac:dyDescent="0.25">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2.5" hidden="1" x14ac:dyDescent="0.25">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2.5" hidden="1" x14ac:dyDescent="0.25">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2.5" hidden="1" x14ac:dyDescent="0.25">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2.5" hidden="1" x14ac:dyDescent="0.25">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2.5" hidden="1" x14ac:dyDescent="0.25">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2.5" hidden="1" x14ac:dyDescent="0.25">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2.5" hidden="1" x14ac:dyDescent="0.25">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2.5" hidden="1" x14ac:dyDescent="0.25">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2.5" hidden="1" x14ac:dyDescent="0.25">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2.5" hidden="1" x14ac:dyDescent="0.25">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2.5" hidden="1" x14ac:dyDescent="0.25">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2.5" hidden="1" x14ac:dyDescent="0.25">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2.5" hidden="1" x14ac:dyDescent="0.25">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2.5" hidden="1" x14ac:dyDescent="0.25">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2.5" hidden="1" x14ac:dyDescent="0.25">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2.5" hidden="1" x14ac:dyDescent="0.25">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2.5" hidden="1" x14ac:dyDescent="0.25">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2.5" hidden="1" x14ac:dyDescent="0.25">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2.5" hidden="1" x14ac:dyDescent="0.25">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2.5" hidden="1" x14ac:dyDescent="0.25">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2.5" hidden="1" x14ac:dyDescent="0.25">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2.5" hidden="1" x14ac:dyDescent="0.25">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2.5" hidden="1" x14ac:dyDescent="0.25">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2.5" hidden="1" x14ac:dyDescent="0.25">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2.5" hidden="1" x14ac:dyDescent="0.25">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2.5" hidden="1" x14ac:dyDescent="0.25">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2.5" hidden="1" x14ac:dyDescent="0.25">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2.5" hidden="1" x14ac:dyDescent="0.25">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2.5" hidden="1" x14ac:dyDescent="0.25">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2.5" hidden="1" x14ac:dyDescent="0.25">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2.5" hidden="1" x14ac:dyDescent="0.25">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2.5" hidden="1" x14ac:dyDescent="0.25">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2.5" hidden="1" x14ac:dyDescent="0.25">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2.5" hidden="1" x14ac:dyDescent="0.25">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2.5" hidden="1" x14ac:dyDescent="0.25">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2.5" hidden="1" x14ac:dyDescent="0.25">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2.5" hidden="1" x14ac:dyDescent="0.25">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3.75" hidden="1" x14ac:dyDescent="0.25">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2.5" hidden="1" x14ac:dyDescent="0.25">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2.5" hidden="1" x14ac:dyDescent="0.25">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2.5" hidden="1" x14ac:dyDescent="0.25">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2.5" hidden="1" x14ac:dyDescent="0.25">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2.5" hidden="1" x14ac:dyDescent="0.25">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2.5" hidden="1" x14ac:dyDescent="0.25">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2.5" hidden="1" x14ac:dyDescent="0.25">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2.5" hidden="1" x14ac:dyDescent="0.25">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2.5" hidden="1" x14ac:dyDescent="0.25">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2.5" hidden="1" x14ac:dyDescent="0.25">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2.5" hidden="1" x14ac:dyDescent="0.25">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2.5" hidden="1" x14ac:dyDescent="0.25">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2.5" hidden="1" x14ac:dyDescent="0.25">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2.5" hidden="1" x14ac:dyDescent="0.25">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2.5" hidden="1" x14ac:dyDescent="0.25">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2.5" hidden="1" x14ac:dyDescent="0.25">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2.5" hidden="1" x14ac:dyDescent="0.25">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2.5" hidden="1" x14ac:dyDescent="0.25">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2.5" hidden="1" x14ac:dyDescent="0.25">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2.5" hidden="1" x14ac:dyDescent="0.25">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2.5" hidden="1" x14ac:dyDescent="0.25">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2.5" hidden="1" x14ac:dyDescent="0.25">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2.5" hidden="1" x14ac:dyDescent="0.25">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2.5" hidden="1" x14ac:dyDescent="0.25">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2.5" hidden="1" x14ac:dyDescent="0.25">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2.5" hidden="1" x14ac:dyDescent="0.25">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2.5" hidden="1" x14ac:dyDescent="0.25">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5546875" defaultRowHeight="11.25" x14ac:dyDescent="0.25"/>
  <cols>
    <col min="1" max="1" width="8.42578125" style="13" bestFit="1" customWidth="1"/>
    <col min="2" max="2" width="43.5703125" style="13" bestFit="1" customWidth="1"/>
    <col min="3" max="3" width="12.7109375" style="13" bestFit="1" customWidth="1"/>
    <col min="4" max="4" width="19" style="13" bestFit="1" customWidth="1"/>
    <col min="5" max="5" width="43.5703125" style="13" bestFit="1" customWidth="1"/>
    <col min="6" max="6" width="8.85546875" style="13" bestFit="1" customWidth="1"/>
    <col min="7" max="7" width="12.28515625" style="13" bestFit="1" customWidth="1"/>
    <col min="8" max="8" width="10.42578125" style="16" bestFit="1" customWidth="1"/>
    <col min="9" max="9" width="36.7109375" style="13" bestFit="1" customWidth="1"/>
    <col min="10" max="10" width="20" style="13" bestFit="1" customWidth="1"/>
    <col min="11" max="11" width="10.42578125" style="16" bestFit="1" customWidth="1"/>
    <col min="12" max="12" width="43.5703125" style="13" bestFit="1" customWidth="1"/>
    <col min="13" max="13" width="20" style="13" bestFit="1" customWidth="1"/>
    <col min="14" max="14" width="11.140625" style="13" bestFit="1" customWidth="1"/>
    <col min="15" max="15" width="11.42578125" style="13" bestFit="1" customWidth="1"/>
    <col min="16" max="16" width="10.42578125" style="16" bestFit="1" customWidth="1"/>
    <col min="17" max="17" width="11.28515625" style="16" bestFit="1" customWidth="1"/>
    <col min="18" max="18" width="4.5703125" style="13" bestFit="1" customWidth="1"/>
    <col min="19" max="16384" width="8.85546875" style="13"/>
  </cols>
  <sheetData>
    <row r="1" spans="1:18" x14ac:dyDescent="0.25">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3.75" x14ac:dyDescent="0.25">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3.75" x14ac:dyDescent="0.25">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3.75" x14ac:dyDescent="0.25">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3.75" x14ac:dyDescent="0.25">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3.75" x14ac:dyDescent="0.25">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3.75" x14ac:dyDescent="0.25">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3.75" x14ac:dyDescent="0.25">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3.75" x14ac:dyDescent="0.25">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3.75" x14ac:dyDescent="0.25">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3.75" x14ac:dyDescent="0.25">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3.75" x14ac:dyDescent="0.25">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3.75" x14ac:dyDescent="0.25">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3.75" x14ac:dyDescent="0.25">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3.75" x14ac:dyDescent="0.25">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3.75" x14ac:dyDescent="0.25">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3.75" x14ac:dyDescent="0.25">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3.75" x14ac:dyDescent="0.25">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3.75" x14ac:dyDescent="0.25">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3.75" x14ac:dyDescent="0.25">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6.25" x14ac:dyDescent="0.25">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6.25" x14ac:dyDescent="0.25">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6.25" x14ac:dyDescent="0.25">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3.75" x14ac:dyDescent="0.25">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3.75" x14ac:dyDescent="0.25">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3.75" x14ac:dyDescent="0.25">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3.75" x14ac:dyDescent="0.25">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3.75" x14ac:dyDescent="0.25">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3.75" x14ac:dyDescent="0.25">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3.75" x14ac:dyDescent="0.25">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3.75" x14ac:dyDescent="0.25">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3.75" x14ac:dyDescent="0.25">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3.75" x14ac:dyDescent="0.25">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3.75" x14ac:dyDescent="0.25">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3.75" x14ac:dyDescent="0.25">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3.75" x14ac:dyDescent="0.25">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3.75" x14ac:dyDescent="0.25">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3.75" x14ac:dyDescent="0.25">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3.75" x14ac:dyDescent="0.25">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3.75" x14ac:dyDescent="0.25">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3.75" x14ac:dyDescent="0.25">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3.75" x14ac:dyDescent="0.25">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3.75" x14ac:dyDescent="0.25">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3.75" x14ac:dyDescent="0.25">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3.75" x14ac:dyDescent="0.25">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3.75" x14ac:dyDescent="0.25">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3.75" x14ac:dyDescent="0.25">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3.75" x14ac:dyDescent="0.25">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3.75" x14ac:dyDescent="0.25">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3.75" x14ac:dyDescent="0.25">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3.75" x14ac:dyDescent="0.25">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3.75" x14ac:dyDescent="0.25">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3.75" x14ac:dyDescent="0.25">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3.75" x14ac:dyDescent="0.25">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3.75" x14ac:dyDescent="0.25">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3.75" x14ac:dyDescent="0.25">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3.75" x14ac:dyDescent="0.25">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3.75" x14ac:dyDescent="0.25">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3.75" x14ac:dyDescent="0.25">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3.75" x14ac:dyDescent="0.25">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3.75" x14ac:dyDescent="0.25">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3.75" x14ac:dyDescent="0.25">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3.75" x14ac:dyDescent="0.25">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3.75" x14ac:dyDescent="0.25">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3.75" x14ac:dyDescent="0.25">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3.75" x14ac:dyDescent="0.25">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3.75" x14ac:dyDescent="0.25">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3.75" x14ac:dyDescent="0.25">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3.75" x14ac:dyDescent="0.25">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3.75" x14ac:dyDescent="0.25">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3.75" x14ac:dyDescent="0.25">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25">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25">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25">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25">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25">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25">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25">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25">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25">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25">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25">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25">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25">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25">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25">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25">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25">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25">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3.75" x14ac:dyDescent="0.25">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3.75" x14ac:dyDescent="0.25">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3.75" x14ac:dyDescent="0.25">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3.75" x14ac:dyDescent="0.25">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3.75" x14ac:dyDescent="0.25">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3.75" x14ac:dyDescent="0.25">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3.75" x14ac:dyDescent="0.25">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3.75" x14ac:dyDescent="0.25">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3.75" x14ac:dyDescent="0.25">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3.75" x14ac:dyDescent="0.25">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3.75" x14ac:dyDescent="0.25">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3.75" x14ac:dyDescent="0.25">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3.75" x14ac:dyDescent="0.25">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3.75" x14ac:dyDescent="0.25">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3.75" x14ac:dyDescent="0.25">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3.75" x14ac:dyDescent="0.25">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3.75" x14ac:dyDescent="0.25">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3.75" x14ac:dyDescent="0.25">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3.75" x14ac:dyDescent="0.25">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3.75" x14ac:dyDescent="0.25">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3.75" x14ac:dyDescent="0.25">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3.75" x14ac:dyDescent="0.25">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3.75" x14ac:dyDescent="0.25">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3.75" x14ac:dyDescent="0.25">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3.75" x14ac:dyDescent="0.25">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3.75" x14ac:dyDescent="0.25">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3.75" x14ac:dyDescent="0.25">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3.75" x14ac:dyDescent="0.25">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3.75" x14ac:dyDescent="0.25">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3.75" x14ac:dyDescent="0.25">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3.75" x14ac:dyDescent="0.25">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3.75" x14ac:dyDescent="0.25">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3.75" x14ac:dyDescent="0.25">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3.75" x14ac:dyDescent="0.25">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3.75" x14ac:dyDescent="0.25">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3.75" x14ac:dyDescent="0.25">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56.25" x14ac:dyDescent="0.25">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56.25" x14ac:dyDescent="0.25">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3.75" x14ac:dyDescent="0.25">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3.75" x14ac:dyDescent="0.25">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56.25" x14ac:dyDescent="0.25">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56.25" x14ac:dyDescent="0.25">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3.75" x14ac:dyDescent="0.25">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3.75" x14ac:dyDescent="0.25">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3.75" x14ac:dyDescent="0.25">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3.75" x14ac:dyDescent="0.25">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3.75" x14ac:dyDescent="0.25">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3.75" x14ac:dyDescent="0.25">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25">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25">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25">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25">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25">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25">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25">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25">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25">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25">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25">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25">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25">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25">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25">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25">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25">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25">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25">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25">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25">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25">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25">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25">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25">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25">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25">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25">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25">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25">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25">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25">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25">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25">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25">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25">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25">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25">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25">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25">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25">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25">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25">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25">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25">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25">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25">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25">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25">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25">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25">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25">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25">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25">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25">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25">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25">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25">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25">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25">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25">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25">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25">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25">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25">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25">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25">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25">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25">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25">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25">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25">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25">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25">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25">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25">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25">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25">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25">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25">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25">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25">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25">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25">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25">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25">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25">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25">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25">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25">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25">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25">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25">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25">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25">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25">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25">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25">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25">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25">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25">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25">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25">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25">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25">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25">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25">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25">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25">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25">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25">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25">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25">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25">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25">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3.75" x14ac:dyDescent="0.25">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25">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25">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25">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25">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25">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25">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3.75" x14ac:dyDescent="0.25">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3.75" x14ac:dyDescent="0.25">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3.75" x14ac:dyDescent="0.25">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3.75" x14ac:dyDescent="0.25">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3.75" x14ac:dyDescent="0.25">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25">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3.75" x14ac:dyDescent="0.25">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3.75" x14ac:dyDescent="0.25">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25">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25">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25">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25">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25">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25">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25">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25">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25">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3.75" x14ac:dyDescent="0.25">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3.75" x14ac:dyDescent="0.25">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3.75" x14ac:dyDescent="0.25">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3.75" x14ac:dyDescent="0.25">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3.75" x14ac:dyDescent="0.25">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3.75" x14ac:dyDescent="0.25">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3.75" x14ac:dyDescent="0.25">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3.75" x14ac:dyDescent="0.25">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3.75" x14ac:dyDescent="0.25">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3.75" x14ac:dyDescent="0.25">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3.75" x14ac:dyDescent="0.25">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3.75" x14ac:dyDescent="0.25">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3.75" x14ac:dyDescent="0.25">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3.75" x14ac:dyDescent="0.25">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3.75" x14ac:dyDescent="0.25">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3.75" x14ac:dyDescent="0.25">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3.75" x14ac:dyDescent="0.25">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3.75" x14ac:dyDescent="0.25">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3.75" x14ac:dyDescent="0.25">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3.75" x14ac:dyDescent="0.25">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3.75" x14ac:dyDescent="0.25">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3.75" x14ac:dyDescent="0.25">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3.75" x14ac:dyDescent="0.25">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3.75" x14ac:dyDescent="0.25">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3.75" x14ac:dyDescent="0.25">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3.75" x14ac:dyDescent="0.25">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78.75" x14ac:dyDescent="0.25">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78.75" x14ac:dyDescent="0.25">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56.25" x14ac:dyDescent="0.25">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56.25" x14ac:dyDescent="0.25">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90" x14ac:dyDescent="0.25">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56.25" x14ac:dyDescent="0.25">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25">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2.5" x14ac:dyDescent="0.25">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25">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25">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25">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25">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25">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25">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25">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25">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25">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25">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25">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25">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25">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25">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25">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25">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25">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25">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25">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25">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25">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25">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25">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25">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25">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25">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25">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25">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2.5" x14ac:dyDescent="0.25">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67.5" x14ac:dyDescent="0.25">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2.5" x14ac:dyDescent="0.25">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2.5" x14ac:dyDescent="0.25">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2.5" x14ac:dyDescent="0.25">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25">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2.5" x14ac:dyDescent="0.25">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2.5" x14ac:dyDescent="0.25">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2.5" x14ac:dyDescent="0.25">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45" x14ac:dyDescent="0.25">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56.25" x14ac:dyDescent="0.25">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5" x14ac:dyDescent="0.25">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5" x14ac:dyDescent="0.25">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5" x14ac:dyDescent="0.25">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56.25" x14ac:dyDescent="0.25">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2.5" x14ac:dyDescent="0.25">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2.5" x14ac:dyDescent="0.25">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2.5" x14ac:dyDescent="0.25">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2.5" x14ac:dyDescent="0.25">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3.75" x14ac:dyDescent="0.25">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3.75" x14ac:dyDescent="0.25">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3.75" x14ac:dyDescent="0.25">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3.75" x14ac:dyDescent="0.25">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3.75" x14ac:dyDescent="0.25">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3.75" x14ac:dyDescent="0.25">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78.75" x14ac:dyDescent="0.25">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78.75" x14ac:dyDescent="0.25">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3.75" x14ac:dyDescent="0.25">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3.75" x14ac:dyDescent="0.25">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3.75" x14ac:dyDescent="0.25">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3.75" x14ac:dyDescent="0.25">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3.75" x14ac:dyDescent="0.25">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3.75" x14ac:dyDescent="0.25">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3.75" x14ac:dyDescent="0.25">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3.75" x14ac:dyDescent="0.25">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3.75" x14ac:dyDescent="0.25">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3.75" x14ac:dyDescent="0.25">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3.75" x14ac:dyDescent="0.25">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78.75" x14ac:dyDescent="0.25">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3.75" x14ac:dyDescent="0.25">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3.75" x14ac:dyDescent="0.25">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3.75" x14ac:dyDescent="0.25">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3.75" x14ac:dyDescent="0.25">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3.75" x14ac:dyDescent="0.25">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3.75" x14ac:dyDescent="0.25">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3.75" x14ac:dyDescent="0.25">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3.75" x14ac:dyDescent="0.25">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3.75" x14ac:dyDescent="0.25">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3.75" x14ac:dyDescent="0.25">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3.75" x14ac:dyDescent="0.25">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56.25" x14ac:dyDescent="0.25">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56.25" x14ac:dyDescent="0.25">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45" x14ac:dyDescent="0.25">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3.75" x14ac:dyDescent="0.25">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3.75" x14ac:dyDescent="0.25">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3.75" x14ac:dyDescent="0.25">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3.75" x14ac:dyDescent="0.25">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3.75" x14ac:dyDescent="0.25">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3.75" x14ac:dyDescent="0.25">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3.75" x14ac:dyDescent="0.25">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3.75" x14ac:dyDescent="0.25">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3.75" x14ac:dyDescent="0.25">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3.75" x14ac:dyDescent="0.25">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3.75" x14ac:dyDescent="0.25">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25">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25">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25">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25">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25">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25">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25">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25">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25">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25">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25">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25">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25">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25">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25">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25">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25">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25">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25">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25">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25">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25">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25">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25">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25">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25">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25">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25">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25">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25">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25">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25">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25">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25">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25">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25">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25">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25">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25">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25">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25">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25">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25">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25">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25">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25">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25">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25">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25">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25">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25">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25">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25">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25">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25">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25">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25">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25">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25">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25">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25">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25">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25">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2.5" x14ac:dyDescent="0.25">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2.5" x14ac:dyDescent="0.25">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2.5" x14ac:dyDescent="0.25">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2.5" x14ac:dyDescent="0.25">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2.5" x14ac:dyDescent="0.25">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2.5" x14ac:dyDescent="0.25">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2.5" x14ac:dyDescent="0.25">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ht="22.5" x14ac:dyDescent="0.25">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25">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ht="22.5" x14ac:dyDescent="0.25">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ht="22.5" x14ac:dyDescent="0.25">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ht="22.5" x14ac:dyDescent="0.25">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ht="22.5" x14ac:dyDescent="0.25">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ht="22.5" x14ac:dyDescent="0.25">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ht="22.5" x14ac:dyDescent="0.25">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25">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ht="22.5" x14ac:dyDescent="0.25">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ht="22.5" x14ac:dyDescent="0.25">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ht="22.5" x14ac:dyDescent="0.25">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2.5" x14ac:dyDescent="0.25">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2.5" x14ac:dyDescent="0.25">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2.5" x14ac:dyDescent="0.25">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2.5" x14ac:dyDescent="0.25">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2.5" x14ac:dyDescent="0.25">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2.5" x14ac:dyDescent="0.25">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2.5" x14ac:dyDescent="0.25">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25">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25">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25">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25">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25">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25">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25">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25">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25">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25">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25">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25">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25">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25">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25">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25">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25">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25">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25">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25">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25">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25">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25">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25">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25">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25">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25">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25">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25">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25">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25">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25">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25">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25">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25">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25">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3.75" x14ac:dyDescent="0.25">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3.75" x14ac:dyDescent="0.25">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3.75" x14ac:dyDescent="0.25">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33.75" x14ac:dyDescent="0.25">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33.75" x14ac:dyDescent="0.25">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33.75" x14ac:dyDescent="0.25">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33.75" x14ac:dyDescent="0.25">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33.75" x14ac:dyDescent="0.25">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33.75" x14ac:dyDescent="0.25">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33.75" x14ac:dyDescent="0.25">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33.75" x14ac:dyDescent="0.25">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33.75" x14ac:dyDescent="0.25">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33.75" x14ac:dyDescent="0.25">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33.75" x14ac:dyDescent="0.25">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33.75" x14ac:dyDescent="0.25">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33.75" x14ac:dyDescent="0.25">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33.75" x14ac:dyDescent="0.25">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33.75" x14ac:dyDescent="0.25">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33.75" x14ac:dyDescent="0.25">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33.75" x14ac:dyDescent="0.25">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33.75" x14ac:dyDescent="0.25">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33.75" x14ac:dyDescent="0.25">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33.75" x14ac:dyDescent="0.25">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33.75" x14ac:dyDescent="0.25">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33.75" x14ac:dyDescent="0.25">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33.75" x14ac:dyDescent="0.25">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33.75" x14ac:dyDescent="0.25">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33.75" x14ac:dyDescent="0.25">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33.75" x14ac:dyDescent="0.25">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33.75" x14ac:dyDescent="0.25">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33.75" x14ac:dyDescent="0.25">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33.75" x14ac:dyDescent="0.25">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33.75" x14ac:dyDescent="0.25">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2.5" x14ac:dyDescent="0.25">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2.5" x14ac:dyDescent="0.25">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2.5" x14ac:dyDescent="0.25">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2.5" x14ac:dyDescent="0.25">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2.5" x14ac:dyDescent="0.25">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2.5" x14ac:dyDescent="0.25">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2.5" x14ac:dyDescent="0.25">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2.5" x14ac:dyDescent="0.25">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2.5" x14ac:dyDescent="0.25">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2.5" x14ac:dyDescent="0.25">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2.5" x14ac:dyDescent="0.25">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2.5" x14ac:dyDescent="0.25">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2.5" x14ac:dyDescent="0.25">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2.5" x14ac:dyDescent="0.25">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2.5" x14ac:dyDescent="0.25">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2.5" x14ac:dyDescent="0.25">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2.5" x14ac:dyDescent="0.25">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2.5" x14ac:dyDescent="0.25">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2.5" x14ac:dyDescent="0.25">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2.5" x14ac:dyDescent="0.25">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2.5" x14ac:dyDescent="0.25">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2.5" x14ac:dyDescent="0.25">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2.5" x14ac:dyDescent="0.25">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2.5" x14ac:dyDescent="0.25">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2.5" x14ac:dyDescent="0.25">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2.5" x14ac:dyDescent="0.25">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2.5" x14ac:dyDescent="0.25">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2.5" x14ac:dyDescent="0.25">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2.5" x14ac:dyDescent="0.25">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2.5" x14ac:dyDescent="0.25">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2.5" x14ac:dyDescent="0.25">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25">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25">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25">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25">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25">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25">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25">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25">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25">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25">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25">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25">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25">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25">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25">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25">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25">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25">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25">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25">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25">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25">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25">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25">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25">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25">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25">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25">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25">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25">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25">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25">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25">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25">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25">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25">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25">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25">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25">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25">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25">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25">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25">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25">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25">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25">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25">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25">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25">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25">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25">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25">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25">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25">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25">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25">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25">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25">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25">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25">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2.5" x14ac:dyDescent="0.25">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25">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25">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25">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25">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25">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25">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25">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25">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25">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25">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25">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25">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25">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25">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25">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25">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25">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25">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25">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25">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25">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25">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25">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25">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25">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25">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25">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25">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25">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33.75" x14ac:dyDescent="0.25">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33.75" x14ac:dyDescent="0.25">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33.75" x14ac:dyDescent="0.25">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33.75" x14ac:dyDescent="0.25">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33.75" x14ac:dyDescent="0.25">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33.75" x14ac:dyDescent="0.25">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33.75" x14ac:dyDescent="0.25">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33.75" x14ac:dyDescent="0.25">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25">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25">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25">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25">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25">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25">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2.5" x14ac:dyDescent="0.25">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25">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2.5" x14ac:dyDescent="0.25">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25">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2.5" x14ac:dyDescent="0.25">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2.5" x14ac:dyDescent="0.25">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2.5" x14ac:dyDescent="0.25">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2.5" x14ac:dyDescent="0.25">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25">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2.5" x14ac:dyDescent="0.25">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3.75" x14ac:dyDescent="0.25">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2.5" x14ac:dyDescent="0.25">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2.5" x14ac:dyDescent="0.25">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2.5" x14ac:dyDescent="0.25">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25">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2.5" x14ac:dyDescent="0.25">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25">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2.5" x14ac:dyDescent="0.25">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2.5" x14ac:dyDescent="0.25">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2.5" x14ac:dyDescent="0.25">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2.5" x14ac:dyDescent="0.25">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2.5" x14ac:dyDescent="0.25">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2.5" x14ac:dyDescent="0.25">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2.5" x14ac:dyDescent="0.25">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2.5" x14ac:dyDescent="0.25">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2.5" x14ac:dyDescent="0.25">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2.5" x14ac:dyDescent="0.25">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25">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2.5" x14ac:dyDescent="0.25">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2.5" x14ac:dyDescent="0.25">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25">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25">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25">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25">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3.75" x14ac:dyDescent="0.25">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3.75" x14ac:dyDescent="0.25">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2.5" x14ac:dyDescent="0.25">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25">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2.5" x14ac:dyDescent="0.25">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2.5" x14ac:dyDescent="0.25">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2.5" x14ac:dyDescent="0.25">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2.5" x14ac:dyDescent="0.25">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2.5" x14ac:dyDescent="0.25">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3.75" x14ac:dyDescent="0.25">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25">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25">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25">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25">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25">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25">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25">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2.5" x14ac:dyDescent="0.25">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33.75" x14ac:dyDescent="0.25">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33.75" x14ac:dyDescent="0.25">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33.75" x14ac:dyDescent="0.25">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33.75" x14ac:dyDescent="0.25">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33.75" x14ac:dyDescent="0.25">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33.75" x14ac:dyDescent="0.25">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33.75" x14ac:dyDescent="0.25">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33.75" x14ac:dyDescent="0.25">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33.75" x14ac:dyDescent="0.25">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2.5" x14ac:dyDescent="0.25">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2.5" x14ac:dyDescent="0.25">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2.5" x14ac:dyDescent="0.25">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2.5" x14ac:dyDescent="0.25">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2.5" x14ac:dyDescent="0.25">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2.5" x14ac:dyDescent="0.25">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2.5" x14ac:dyDescent="0.25">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2.5" x14ac:dyDescent="0.25">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2.5" x14ac:dyDescent="0.25">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25">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2.5" x14ac:dyDescent="0.25">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25">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2.5" x14ac:dyDescent="0.25">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25">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2.5" x14ac:dyDescent="0.25">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2.5" x14ac:dyDescent="0.25">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25">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2.5" x14ac:dyDescent="0.25">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25">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2.5" x14ac:dyDescent="0.25">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2.5" x14ac:dyDescent="0.25">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25">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2.5" x14ac:dyDescent="0.25">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25">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2.5" x14ac:dyDescent="0.25">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25">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2.5" x14ac:dyDescent="0.25">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25">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2.5" x14ac:dyDescent="0.25">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25">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25">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25">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2.5" x14ac:dyDescent="0.25">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2.5" x14ac:dyDescent="0.25">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25">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25">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2.5" x14ac:dyDescent="0.25">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2.5" x14ac:dyDescent="0.25">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25">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2.5" x14ac:dyDescent="0.25">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25">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2.5" x14ac:dyDescent="0.25">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2.5" x14ac:dyDescent="0.25">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2.5" x14ac:dyDescent="0.25">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2.5" x14ac:dyDescent="0.25">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2.5" x14ac:dyDescent="0.25">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2.5" x14ac:dyDescent="0.25">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2.5" x14ac:dyDescent="0.25">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2.5" x14ac:dyDescent="0.25">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33.75" x14ac:dyDescent="0.25">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2.5" x14ac:dyDescent="0.25">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25">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25">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25">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25">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25">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25">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2.5" x14ac:dyDescent="0.25">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2.5" x14ac:dyDescent="0.25">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2.5" x14ac:dyDescent="0.25">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2.5" x14ac:dyDescent="0.25">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2.5" x14ac:dyDescent="0.25">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2.5" x14ac:dyDescent="0.25">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2.5" x14ac:dyDescent="0.25">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2.5" x14ac:dyDescent="0.25">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2.5" x14ac:dyDescent="0.25">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2.5" x14ac:dyDescent="0.25">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2.5" x14ac:dyDescent="0.25">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2.5" x14ac:dyDescent="0.25">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2.5" x14ac:dyDescent="0.25">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2.5" x14ac:dyDescent="0.25">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2.5" x14ac:dyDescent="0.25">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25">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25">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25">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2.5" x14ac:dyDescent="0.25">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3.75" x14ac:dyDescent="0.25">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2.5" x14ac:dyDescent="0.25">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2.5" x14ac:dyDescent="0.25">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2.5" x14ac:dyDescent="0.25">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25">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25">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25">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25">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25">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25">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2.5" x14ac:dyDescent="0.25">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3.75" x14ac:dyDescent="0.25">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2.5" x14ac:dyDescent="0.25">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2.5" x14ac:dyDescent="0.25">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3.75" x14ac:dyDescent="0.25">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2.5" x14ac:dyDescent="0.25">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25">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25">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25">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25">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25">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25">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25">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25">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25">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25">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25">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25">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25">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25">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33.75" x14ac:dyDescent="0.25">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33.75" x14ac:dyDescent="0.25">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33.75" x14ac:dyDescent="0.25">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25">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25">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25">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25">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25">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25">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33.75" x14ac:dyDescent="0.25">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33.75" x14ac:dyDescent="0.25">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33.75" x14ac:dyDescent="0.25">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33.75" x14ac:dyDescent="0.25">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33.75" x14ac:dyDescent="0.25">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33.75" x14ac:dyDescent="0.25">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33.75" x14ac:dyDescent="0.25">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33.75" x14ac:dyDescent="0.25">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33.75" x14ac:dyDescent="0.25">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25">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25">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25">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33.75" x14ac:dyDescent="0.25">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33.75" x14ac:dyDescent="0.25">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25">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25">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25">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25">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2.5" x14ac:dyDescent="0.25">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2.5" x14ac:dyDescent="0.25">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2.5" x14ac:dyDescent="0.25">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22.5" x14ac:dyDescent="0.25">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2.5" x14ac:dyDescent="0.25">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22.5" x14ac:dyDescent="0.25">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2.5" x14ac:dyDescent="0.25">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2.5" x14ac:dyDescent="0.25">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2.5" x14ac:dyDescent="0.25">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2.5" x14ac:dyDescent="0.25">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2.5" x14ac:dyDescent="0.25">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2.5" x14ac:dyDescent="0.25">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2.5" x14ac:dyDescent="0.25">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2.5" x14ac:dyDescent="0.25">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2.5" x14ac:dyDescent="0.25">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2.5" x14ac:dyDescent="0.25">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2.5" x14ac:dyDescent="0.25">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33.75" x14ac:dyDescent="0.25">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2.5" x14ac:dyDescent="0.25">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33.75" x14ac:dyDescent="0.25">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2.5" x14ac:dyDescent="0.25">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2.5" x14ac:dyDescent="0.25">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2.5" x14ac:dyDescent="0.25">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33.75" x14ac:dyDescent="0.25">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2.5" x14ac:dyDescent="0.25">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22.5" x14ac:dyDescent="0.25">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33.75" x14ac:dyDescent="0.25">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33.75" x14ac:dyDescent="0.25">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33.75" x14ac:dyDescent="0.25">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33.75" x14ac:dyDescent="0.25">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33.75" x14ac:dyDescent="0.25">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33.75" x14ac:dyDescent="0.25">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33.75" x14ac:dyDescent="0.25">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33.75" x14ac:dyDescent="0.25">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33.75" x14ac:dyDescent="0.25">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33.75" x14ac:dyDescent="0.25">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33.75" x14ac:dyDescent="0.25">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33.75" x14ac:dyDescent="0.25">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33.75" x14ac:dyDescent="0.25">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33.75" x14ac:dyDescent="0.25">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33.75" x14ac:dyDescent="0.25">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3.75" x14ac:dyDescent="0.25">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33.75" x14ac:dyDescent="0.25">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33.75" x14ac:dyDescent="0.25">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33.75" x14ac:dyDescent="0.25">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33.75" x14ac:dyDescent="0.25">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33.75" x14ac:dyDescent="0.25">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3.75" x14ac:dyDescent="0.25">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3.75" x14ac:dyDescent="0.25">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3.75" x14ac:dyDescent="0.25">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33.75" x14ac:dyDescent="0.25">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33.75" x14ac:dyDescent="0.25">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33.75" x14ac:dyDescent="0.25">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33.75" x14ac:dyDescent="0.25">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33.75" x14ac:dyDescent="0.25">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33.75" x14ac:dyDescent="0.25">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3.75" x14ac:dyDescent="0.25">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3.75" x14ac:dyDescent="0.25">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3.75" x14ac:dyDescent="0.25">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3.75" x14ac:dyDescent="0.25">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3.75" x14ac:dyDescent="0.25">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3.75" x14ac:dyDescent="0.25">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3.75" x14ac:dyDescent="0.25">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3.75" x14ac:dyDescent="0.25">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3.75" x14ac:dyDescent="0.25">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3.75" x14ac:dyDescent="0.25">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33.75" x14ac:dyDescent="0.25">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33.75" x14ac:dyDescent="0.25">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33.75" x14ac:dyDescent="0.25">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33.75" x14ac:dyDescent="0.25">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33.75" x14ac:dyDescent="0.25">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33.75" x14ac:dyDescent="0.25">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33.75" x14ac:dyDescent="0.25">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33.75" x14ac:dyDescent="0.25">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33.75" x14ac:dyDescent="0.25">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33.75" x14ac:dyDescent="0.25">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33.75" x14ac:dyDescent="0.25">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3.75" x14ac:dyDescent="0.25">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3.75" x14ac:dyDescent="0.25">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3.75" x14ac:dyDescent="0.25">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3.75" x14ac:dyDescent="0.25">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3.75" x14ac:dyDescent="0.25">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3.75" x14ac:dyDescent="0.25">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3.75" x14ac:dyDescent="0.25">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3.75" x14ac:dyDescent="0.25">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3.75" x14ac:dyDescent="0.25">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3.75" x14ac:dyDescent="0.25">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3.75" x14ac:dyDescent="0.25">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3.75" x14ac:dyDescent="0.25">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3.75" x14ac:dyDescent="0.25">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3.75" x14ac:dyDescent="0.25">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3.75" x14ac:dyDescent="0.25">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3.75" x14ac:dyDescent="0.25">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3.75" x14ac:dyDescent="0.25">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3.75" x14ac:dyDescent="0.25">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33.75" x14ac:dyDescent="0.25">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33.75" x14ac:dyDescent="0.25">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33.75" x14ac:dyDescent="0.25">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33.75" x14ac:dyDescent="0.25">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33.75" x14ac:dyDescent="0.25">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33.75" x14ac:dyDescent="0.25">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33.75" x14ac:dyDescent="0.25">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33.75" x14ac:dyDescent="0.25">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33.75" x14ac:dyDescent="0.25">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33.75" x14ac:dyDescent="0.25">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33.75" x14ac:dyDescent="0.25">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33.75" x14ac:dyDescent="0.25">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33.75" x14ac:dyDescent="0.25">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33.75" x14ac:dyDescent="0.25">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33.75" x14ac:dyDescent="0.25">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22.5" x14ac:dyDescent="0.25">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22.5" x14ac:dyDescent="0.25">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22.5" x14ac:dyDescent="0.25">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2.5" x14ac:dyDescent="0.25">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2.5" x14ac:dyDescent="0.25">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2.5" x14ac:dyDescent="0.25">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3.75" x14ac:dyDescent="0.25">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3.75" x14ac:dyDescent="0.25">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3.75" x14ac:dyDescent="0.25">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3.75" x14ac:dyDescent="0.25">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3.75" x14ac:dyDescent="0.25">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3.75" x14ac:dyDescent="0.25">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3.75" x14ac:dyDescent="0.25">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3.75" x14ac:dyDescent="0.25">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3.75" x14ac:dyDescent="0.25">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3.75" x14ac:dyDescent="0.25">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3.75" x14ac:dyDescent="0.25">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3.75" x14ac:dyDescent="0.25">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3.75" x14ac:dyDescent="0.25">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3.75" x14ac:dyDescent="0.25">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3.75" x14ac:dyDescent="0.25">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3.75" x14ac:dyDescent="0.25">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3.75" x14ac:dyDescent="0.25">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3.75" x14ac:dyDescent="0.25">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45" x14ac:dyDescent="0.25">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3.75" x14ac:dyDescent="0.25">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3.75" x14ac:dyDescent="0.25">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33.75" x14ac:dyDescent="0.25">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3.75" x14ac:dyDescent="0.25">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3.75" x14ac:dyDescent="0.25">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3.75" x14ac:dyDescent="0.25">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3.75" x14ac:dyDescent="0.25">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3.75" x14ac:dyDescent="0.25">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45" x14ac:dyDescent="0.25">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33.75" x14ac:dyDescent="0.25">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33.75" x14ac:dyDescent="0.25">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3.75" x14ac:dyDescent="0.25">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3.75" x14ac:dyDescent="0.25">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3.75" x14ac:dyDescent="0.25">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33.75" x14ac:dyDescent="0.25">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33.75" x14ac:dyDescent="0.25">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33.75" x14ac:dyDescent="0.25">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33.75" x14ac:dyDescent="0.25">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33.75" x14ac:dyDescent="0.25">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33.75" x14ac:dyDescent="0.25">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33.75" x14ac:dyDescent="0.25">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33.75" x14ac:dyDescent="0.25">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33.75" x14ac:dyDescent="0.25">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33.75" x14ac:dyDescent="0.25">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33.75" x14ac:dyDescent="0.25">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2.5" x14ac:dyDescent="0.25">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25">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33.75" x14ac:dyDescent="0.25">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3.75" x14ac:dyDescent="0.25">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3.75" x14ac:dyDescent="0.25">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3.75" x14ac:dyDescent="0.25">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3.75" x14ac:dyDescent="0.25">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3.75" x14ac:dyDescent="0.25">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3.75" x14ac:dyDescent="0.25">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3.75" x14ac:dyDescent="0.25">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3.75" x14ac:dyDescent="0.25">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3.75" x14ac:dyDescent="0.25">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3.75" x14ac:dyDescent="0.25">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3.75" x14ac:dyDescent="0.25">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3.75" x14ac:dyDescent="0.25">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3.75" x14ac:dyDescent="0.25">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3.75" x14ac:dyDescent="0.25">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3.75" x14ac:dyDescent="0.25">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3.75" x14ac:dyDescent="0.25">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3.75" x14ac:dyDescent="0.25">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3.75" x14ac:dyDescent="0.25">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3.75" x14ac:dyDescent="0.25">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3.75" x14ac:dyDescent="0.25">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3.75" x14ac:dyDescent="0.25">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3.75" x14ac:dyDescent="0.25">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3.75" x14ac:dyDescent="0.25">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3.75" x14ac:dyDescent="0.25">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3.75" x14ac:dyDescent="0.25">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3.75" x14ac:dyDescent="0.25">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3.75" x14ac:dyDescent="0.25">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3.75" x14ac:dyDescent="0.25">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3.75" x14ac:dyDescent="0.25">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3.75" x14ac:dyDescent="0.25">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3.75" x14ac:dyDescent="0.25">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3.75" x14ac:dyDescent="0.25">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33.75" x14ac:dyDescent="0.25">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2.5" x14ac:dyDescent="0.25">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2.5" x14ac:dyDescent="0.25">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2.5" x14ac:dyDescent="0.25">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2.5" x14ac:dyDescent="0.25">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25">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2.5" x14ac:dyDescent="0.25">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25">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2.5" x14ac:dyDescent="0.25">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25">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2.5" x14ac:dyDescent="0.25">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2.5" x14ac:dyDescent="0.25">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25">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25">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2.5" x14ac:dyDescent="0.25">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25">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25">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25">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25">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25">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25">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2.5" x14ac:dyDescent="0.25">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2.5" x14ac:dyDescent="0.25">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2.5" x14ac:dyDescent="0.25">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2.5" x14ac:dyDescent="0.25">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2.5" x14ac:dyDescent="0.25">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2.5" x14ac:dyDescent="0.25">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2.5" x14ac:dyDescent="0.25">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2.5" x14ac:dyDescent="0.25">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2.5" x14ac:dyDescent="0.25">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2.5" x14ac:dyDescent="0.25">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2.5" x14ac:dyDescent="0.25">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25">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ht="22.5" x14ac:dyDescent="0.25">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2.5" x14ac:dyDescent="0.25">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2.5" x14ac:dyDescent="0.25">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2.5" x14ac:dyDescent="0.25">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2.5" x14ac:dyDescent="0.25">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2.5" x14ac:dyDescent="0.25">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2.5" x14ac:dyDescent="0.25">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25">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2.5" x14ac:dyDescent="0.25">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2.5" x14ac:dyDescent="0.25">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2.5" x14ac:dyDescent="0.25">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2.5" x14ac:dyDescent="0.25">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2.5" x14ac:dyDescent="0.25">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2.5" x14ac:dyDescent="0.25">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2.5" x14ac:dyDescent="0.25">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2.5" x14ac:dyDescent="0.25">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25">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25">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2.5" x14ac:dyDescent="0.25">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22.5" x14ac:dyDescent="0.25">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22.5" x14ac:dyDescent="0.25">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22.5" x14ac:dyDescent="0.25">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2.5" x14ac:dyDescent="0.25">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2.5" x14ac:dyDescent="0.25">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2.5" x14ac:dyDescent="0.25">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25">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2.5" x14ac:dyDescent="0.25">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2.5" x14ac:dyDescent="0.25">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ht="22.5" x14ac:dyDescent="0.25">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2.5" x14ac:dyDescent="0.25">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2.5" x14ac:dyDescent="0.25">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2.5" x14ac:dyDescent="0.25">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2.5" x14ac:dyDescent="0.25">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2.5" x14ac:dyDescent="0.25">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2.5" x14ac:dyDescent="0.25">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2.5" x14ac:dyDescent="0.25">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2.5" x14ac:dyDescent="0.25">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2.5" x14ac:dyDescent="0.25">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2.5" x14ac:dyDescent="0.25">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25">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2.5" x14ac:dyDescent="0.25">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2.5" x14ac:dyDescent="0.25">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2.5" x14ac:dyDescent="0.25">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2.5" x14ac:dyDescent="0.25">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2.5" x14ac:dyDescent="0.25">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2.5" x14ac:dyDescent="0.25">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ht="22.5" x14ac:dyDescent="0.25">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2.5" x14ac:dyDescent="0.25">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25">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25">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25">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25">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2.5" x14ac:dyDescent="0.25">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25">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25">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25">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25">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25">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25">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25">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25">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25">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25">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25">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25">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25">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25">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25">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25">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25">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25">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25">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25">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25">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25">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25">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25">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25">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25">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25">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25">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25">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25">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25">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25">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25">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25">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25">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25">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25">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25">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25">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25">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2.5" x14ac:dyDescent="0.25">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2.5" x14ac:dyDescent="0.25">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2.5" x14ac:dyDescent="0.25">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2.5" x14ac:dyDescent="0.25">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25">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25">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25">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25">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25">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2.5" x14ac:dyDescent="0.25">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25">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2.5" x14ac:dyDescent="0.25">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25">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2.5" x14ac:dyDescent="0.25">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2.5" x14ac:dyDescent="0.25">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2.5" x14ac:dyDescent="0.25">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2.5" x14ac:dyDescent="0.25">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2.5" x14ac:dyDescent="0.25">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2.5" x14ac:dyDescent="0.25">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2.5" x14ac:dyDescent="0.25">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2.5" x14ac:dyDescent="0.25">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2.5" x14ac:dyDescent="0.25">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2.5" x14ac:dyDescent="0.25">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2.5" x14ac:dyDescent="0.25">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2.5" x14ac:dyDescent="0.25">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2.5" x14ac:dyDescent="0.25">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2.5" x14ac:dyDescent="0.25">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2.5" x14ac:dyDescent="0.25">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2.5" x14ac:dyDescent="0.25">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25">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2.5" x14ac:dyDescent="0.25">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2.5" x14ac:dyDescent="0.25">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2.5" x14ac:dyDescent="0.25">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2.5" x14ac:dyDescent="0.25">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2.5" x14ac:dyDescent="0.25">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2.5" x14ac:dyDescent="0.25">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2.5" x14ac:dyDescent="0.25">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2.5" x14ac:dyDescent="0.25">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2.5" x14ac:dyDescent="0.25">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2.5" x14ac:dyDescent="0.25">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2.5" x14ac:dyDescent="0.25">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25">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25">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25">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25">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25">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25">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25">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25">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25">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25">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25">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25">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25">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25">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25">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25">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2.5" x14ac:dyDescent="0.25">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2.5" x14ac:dyDescent="0.25">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2.5" x14ac:dyDescent="0.25">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2.5" x14ac:dyDescent="0.25">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25">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2.5" x14ac:dyDescent="0.25">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2.5" x14ac:dyDescent="0.25">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2.5" x14ac:dyDescent="0.25">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2.5" x14ac:dyDescent="0.25">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2.5" x14ac:dyDescent="0.25">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2.5" x14ac:dyDescent="0.25">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2.5" x14ac:dyDescent="0.25">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2.5" x14ac:dyDescent="0.25">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2.5" x14ac:dyDescent="0.25">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2.5" x14ac:dyDescent="0.25">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2.5" x14ac:dyDescent="0.25">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2.5" x14ac:dyDescent="0.25">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25">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25">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25">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25">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25">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25">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25">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25">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25">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25">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25">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25">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25">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25">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25">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25">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25">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25">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25">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25">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25">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25">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25">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25">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25">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25">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25">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25">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25">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25">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25">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25">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25">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25">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25">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25">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25">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25">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25">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25">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25">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25">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25">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25">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25">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25">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25">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25">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25">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25">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25">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25">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25">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25">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25">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25">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25">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25">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25">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25">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25">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25">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25">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25">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25">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25">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x14ac:dyDescent="0.25">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25">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25">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x14ac:dyDescent="0.25">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25">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25">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25">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25">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2.5" x14ac:dyDescent="0.25">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2.5" x14ac:dyDescent="0.25">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25">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25">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25">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ht="22.5" x14ac:dyDescent="0.25">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25">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ht="22.5" x14ac:dyDescent="0.25">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25">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ht="22.5" x14ac:dyDescent="0.25">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ht="22.5" x14ac:dyDescent="0.25">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ht="22.5" x14ac:dyDescent="0.25">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25">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25">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25">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25">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ht="22.5" x14ac:dyDescent="0.25">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25">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25">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ht="22.5" x14ac:dyDescent="0.25">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25">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25">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ht="22.5" x14ac:dyDescent="0.25">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25">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25">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25">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25">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25">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25">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25">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25">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25">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25">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25">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25">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25">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25">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25">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25">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ht="22.5" x14ac:dyDescent="0.25">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ht="22.5" x14ac:dyDescent="0.25">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25">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ht="22.5" x14ac:dyDescent="0.25">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ht="22.5" x14ac:dyDescent="0.25">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x14ac:dyDescent="0.25">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25">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25">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25">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25">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25">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25">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25">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x14ac:dyDescent="0.25">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25">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25">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25">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x14ac:dyDescent="0.25">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ht="22.5" x14ac:dyDescent="0.25">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25">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2.5" x14ac:dyDescent="0.25">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2.5" x14ac:dyDescent="0.25">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25">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25">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25">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25">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25">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25">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25">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25">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25">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25">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25">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25">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25">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25">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25">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25">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25">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25">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25">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25">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25">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25">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25">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25">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25">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25">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25">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25">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25">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25">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25">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25">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25">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25">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25">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25">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25">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25">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25">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25">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25">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25">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25">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25">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25">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25">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25">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25">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25">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25">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25">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25">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25">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25">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25">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25">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25">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25">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25">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25">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25">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25">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25">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25">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25">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25">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25">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25">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25">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25">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25">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25">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25">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25">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25">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25">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25">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25">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25">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25">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25">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25">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25">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25">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25">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25">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25">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25">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25">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25">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25">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25">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25">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25">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25">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25">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25">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25">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25">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25">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25">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25">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25">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25">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25">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25">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25">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25">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25">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25">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25">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25">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25">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25">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25">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25">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25">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25">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25">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25">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25">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25">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25">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25">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25">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25">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25">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25">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25">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25">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25">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25">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25">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25">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25">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25">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25">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25">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25">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25">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25">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25">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25">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25">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25">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25">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25">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25">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25">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25">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25">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25">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25">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25">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25">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25">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25">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25">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25">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25">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25">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25">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25">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25">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25">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25">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25">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25">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25">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25">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25">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25">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25">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25">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25">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25">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25">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25">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25">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25">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25">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25">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25">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25">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25">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25">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25">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25">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25">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25">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25">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25">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25">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25">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25">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25">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25">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25">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25">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25">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25">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25">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25">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25">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ht="22.5" x14ac:dyDescent="0.25">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25">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25">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25">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25">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25">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25">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25">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25">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25">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25">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25">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25">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25">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25">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25">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25">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25">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25">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25">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25">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25">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25">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25">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25">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25">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25">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25">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25">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25">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25">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25">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25">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25">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25">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25">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25">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25">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25">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25">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25">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25">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25">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25">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25">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25">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25">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25">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25">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25">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25">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25">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25">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25">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25">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25">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25">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25">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25">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25">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25">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25">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25">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25">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25">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2.5" x14ac:dyDescent="0.25">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2.5" x14ac:dyDescent="0.25">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3.75" x14ac:dyDescent="0.25">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2.5" x14ac:dyDescent="0.25">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33.75" x14ac:dyDescent="0.25">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33.75" x14ac:dyDescent="0.25">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33.75" x14ac:dyDescent="0.25">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25">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25">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25">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25">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2.5" x14ac:dyDescent="0.25">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2.5" x14ac:dyDescent="0.25">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x14ac:dyDescent="0.25">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2.5" x14ac:dyDescent="0.25">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25">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25">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2.5" x14ac:dyDescent="0.25">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25">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ht="22.5" x14ac:dyDescent="0.25">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25">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ht="22.5" x14ac:dyDescent="0.25">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ht="22.5" x14ac:dyDescent="0.25">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ht="22.5" x14ac:dyDescent="0.25">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ht="22.5" x14ac:dyDescent="0.25">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ht="22.5" x14ac:dyDescent="0.25">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ht="22.5" x14ac:dyDescent="0.25">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ht="22.5" x14ac:dyDescent="0.25">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ht="22.5" x14ac:dyDescent="0.25">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ht="22.5" x14ac:dyDescent="0.25">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ht="22.5" x14ac:dyDescent="0.25">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ht="22.5" x14ac:dyDescent="0.25">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ht="22.5" x14ac:dyDescent="0.25">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ht="22.5" x14ac:dyDescent="0.25">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ht="22.5" x14ac:dyDescent="0.25">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ht="22.5" x14ac:dyDescent="0.25">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ht="22.5" x14ac:dyDescent="0.25">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ht="22.5" x14ac:dyDescent="0.25">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ht="22.5" x14ac:dyDescent="0.25">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ht="22.5" x14ac:dyDescent="0.25">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ht="22.5" x14ac:dyDescent="0.25">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ht="22.5" x14ac:dyDescent="0.25">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ht="22.5" x14ac:dyDescent="0.25">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ht="22.5" x14ac:dyDescent="0.25">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ht="22.5" x14ac:dyDescent="0.25">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ht="22.5" x14ac:dyDescent="0.25">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ht="22.5" x14ac:dyDescent="0.25">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ht="22.5" x14ac:dyDescent="0.25">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ht="22.5" x14ac:dyDescent="0.25">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ht="22.5" x14ac:dyDescent="0.25">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ht="22.5" x14ac:dyDescent="0.25">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ht="22.5" x14ac:dyDescent="0.25">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ht="22.5" x14ac:dyDescent="0.25">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ht="22.5" x14ac:dyDescent="0.25">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ht="22.5" x14ac:dyDescent="0.25">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ht="22.5" x14ac:dyDescent="0.25">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ht="22.5" x14ac:dyDescent="0.25">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2.5" x14ac:dyDescent="0.25">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x14ac:dyDescent="0.25">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x14ac:dyDescent="0.25">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x14ac:dyDescent="0.25">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x14ac:dyDescent="0.25">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x14ac:dyDescent="0.25">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2.5" x14ac:dyDescent="0.25">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2.5" x14ac:dyDescent="0.25">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2.5" x14ac:dyDescent="0.25">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2.5" x14ac:dyDescent="0.25">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2.5" x14ac:dyDescent="0.25">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2.5" x14ac:dyDescent="0.25">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2.5" x14ac:dyDescent="0.25">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2.5" x14ac:dyDescent="0.25">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2.5" x14ac:dyDescent="0.25">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2.5" x14ac:dyDescent="0.25">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2.5" x14ac:dyDescent="0.25">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25">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25">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25">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25">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ht="22.5" x14ac:dyDescent="0.25">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ht="22.5" x14ac:dyDescent="0.25">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ht="22.5" x14ac:dyDescent="0.25">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ht="22.5" x14ac:dyDescent="0.25">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ht="22.5" x14ac:dyDescent="0.25">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ht="22.5" x14ac:dyDescent="0.25">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ht="22.5" x14ac:dyDescent="0.25">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ht="22.5" x14ac:dyDescent="0.25">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ht="22.5" x14ac:dyDescent="0.25">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ht="22.5" x14ac:dyDescent="0.25">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ht="22.5" x14ac:dyDescent="0.25">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25">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25">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25">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25">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25">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25">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25">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25">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25">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25">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25">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25">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25">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25">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25">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25">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25">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25">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25">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25">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25">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ht="22.5" x14ac:dyDescent="0.25">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ht="22.5" x14ac:dyDescent="0.25">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ht="22.5" x14ac:dyDescent="0.25">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ht="22.5" x14ac:dyDescent="0.25">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ht="22.5" x14ac:dyDescent="0.25">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ht="22.5" x14ac:dyDescent="0.25">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ht="22.5" x14ac:dyDescent="0.25">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ht="22.5" x14ac:dyDescent="0.25">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ht="22.5" x14ac:dyDescent="0.25">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ht="22.5" x14ac:dyDescent="0.25">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ht="22.5" x14ac:dyDescent="0.25">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ht="22.5" x14ac:dyDescent="0.25">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ht="22.5" x14ac:dyDescent="0.25">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ht="22.5" x14ac:dyDescent="0.25">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ht="22.5" x14ac:dyDescent="0.25">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ht="22.5" x14ac:dyDescent="0.25">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ht="22.5" x14ac:dyDescent="0.25">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ht="22.5" x14ac:dyDescent="0.25">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ht="22.5" x14ac:dyDescent="0.25">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ht="22.5" x14ac:dyDescent="0.25">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ht="22.5" x14ac:dyDescent="0.25">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ht="22.5" x14ac:dyDescent="0.25">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ht="22.5" x14ac:dyDescent="0.25">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ht="22.5" x14ac:dyDescent="0.25">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ht="22.5" x14ac:dyDescent="0.25">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ht="22.5" x14ac:dyDescent="0.25">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ht="22.5" x14ac:dyDescent="0.25">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ht="22.5" x14ac:dyDescent="0.25">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25">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25">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25">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25">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25">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25">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25">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25">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25">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25">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25">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25">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25">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25">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25">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25">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25">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25">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25">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25">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25">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25">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25">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25">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25">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25">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25">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25">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25">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25">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25">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25">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25">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25">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25">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25">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25">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25">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25">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25">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25">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25">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25">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25">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25">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25">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25">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25">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25">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25">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25">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25">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25">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25">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25">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25">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25">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25">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25">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25">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25">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25">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25">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25">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25">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25">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25">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25">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25">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25">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25">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25">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25">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25">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25">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25">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25">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25">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25">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25">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25">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25">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25">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25">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25">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25">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25">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25">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25">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25">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25">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25">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25">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25">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25">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25">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25">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25">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25">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25">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25">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25">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25">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25">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25">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25">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25">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25">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25">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25">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25">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25">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25">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25">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25">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25">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25">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25">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25">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25">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25">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25">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25">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25">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25">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25">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25">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25">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25">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25">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25">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25">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25">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25">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25">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25">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25">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25">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25">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25">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25">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25">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25">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25">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25">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25">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2.5" x14ac:dyDescent="0.25">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25">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2.5" x14ac:dyDescent="0.25">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2.5" x14ac:dyDescent="0.25">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25">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2.5" x14ac:dyDescent="0.25">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25">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25">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25">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25">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25">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25">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25">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25">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25">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25">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25">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25">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25">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25">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25">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25">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25">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25">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25">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2.5" x14ac:dyDescent="0.25">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2.5" x14ac:dyDescent="0.25">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25">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25">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25">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25">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25">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25">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25">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25">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25">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25">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25">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25">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25">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25">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25">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25">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25">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25">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25">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25">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25">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25">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25">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25">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25">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25">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25">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25">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25">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25">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25">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25">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25">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25">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25">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25">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25">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25">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25">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25">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25">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25">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25">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25">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25">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25">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25">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25">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25">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25">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25">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25">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25">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25">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25">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25">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25">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25">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25">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25">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25">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25">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25">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25">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25">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25">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25">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25">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25">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25">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25">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25">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25">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25">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25">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25">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25">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25">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25">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25">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25">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25">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25">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25">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25">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25">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25">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25">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25">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25">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25">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25">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25">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25">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25">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25">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25">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2.5" x14ac:dyDescent="0.25">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25">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2.5" x14ac:dyDescent="0.25">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25">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25">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25">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2.5" x14ac:dyDescent="0.25">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25">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25">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25">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25">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25">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25">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25">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25">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25">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25">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25">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25">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25">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25">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25">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25">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25">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25">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25">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ht="22.5" x14ac:dyDescent="0.25">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ht="22.5" x14ac:dyDescent="0.25">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ht="22.5" x14ac:dyDescent="0.25">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ht="22.5" x14ac:dyDescent="0.25">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ht="22.5" x14ac:dyDescent="0.25">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ht="22.5" x14ac:dyDescent="0.25">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ht="22.5" x14ac:dyDescent="0.25">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ht="22.5" x14ac:dyDescent="0.25">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ht="22.5" x14ac:dyDescent="0.25">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ht="22.5" x14ac:dyDescent="0.25">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ht="22.5" x14ac:dyDescent="0.25">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ht="22.5" x14ac:dyDescent="0.25">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ht="22.5" x14ac:dyDescent="0.25">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2.5" x14ac:dyDescent="0.25">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ht="22.5" x14ac:dyDescent="0.25">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25">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ht="22.5" x14ac:dyDescent="0.25">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ht="22.5" x14ac:dyDescent="0.25">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ht="22.5" x14ac:dyDescent="0.25">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ht="22.5" x14ac:dyDescent="0.25">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2.5" x14ac:dyDescent="0.25">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25">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ht="22.5" x14ac:dyDescent="0.25">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ht="22.5" x14ac:dyDescent="0.25">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ht="22.5" x14ac:dyDescent="0.25">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ht="22.5" x14ac:dyDescent="0.25">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ht="22.5" x14ac:dyDescent="0.25">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ht="22.5" x14ac:dyDescent="0.25">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2.5" x14ac:dyDescent="0.25">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2.5" x14ac:dyDescent="0.25">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2.5" x14ac:dyDescent="0.25">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ht="22.5" x14ac:dyDescent="0.25">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ht="22.5" x14ac:dyDescent="0.25">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2.5" x14ac:dyDescent="0.25">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ht="22.5" x14ac:dyDescent="0.25">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ht="22.5" x14ac:dyDescent="0.25">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2.5" x14ac:dyDescent="0.25">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ht="22.5" x14ac:dyDescent="0.25">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ht="22.5" x14ac:dyDescent="0.25">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ht="22.5" x14ac:dyDescent="0.25">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ht="22.5" x14ac:dyDescent="0.25">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2.5" x14ac:dyDescent="0.25">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ht="22.5" x14ac:dyDescent="0.25">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ht="22.5" x14ac:dyDescent="0.25">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ht="22.5" x14ac:dyDescent="0.25">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ht="22.5" x14ac:dyDescent="0.25">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ht="22.5" x14ac:dyDescent="0.25">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ht="22.5" x14ac:dyDescent="0.25">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ht="22.5" x14ac:dyDescent="0.25">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ht="22.5" x14ac:dyDescent="0.25">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ht="22.5" x14ac:dyDescent="0.25">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2.5" x14ac:dyDescent="0.25">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2.5" x14ac:dyDescent="0.25">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25">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ht="22.5" x14ac:dyDescent="0.25">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ht="22.5" x14ac:dyDescent="0.25">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ht="22.5" x14ac:dyDescent="0.25">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ht="22.5" x14ac:dyDescent="0.25">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25">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25">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2.5" x14ac:dyDescent="0.25">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2.5" x14ac:dyDescent="0.25">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2.5" x14ac:dyDescent="0.25">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2.5" x14ac:dyDescent="0.25">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2.5" x14ac:dyDescent="0.25">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2.5" x14ac:dyDescent="0.25">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2.5" x14ac:dyDescent="0.25">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2.5" x14ac:dyDescent="0.25">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2.5" x14ac:dyDescent="0.25">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25">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2.5" x14ac:dyDescent="0.25">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2.5" x14ac:dyDescent="0.25">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2.5" x14ac:dyDescent="0.25">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2.5" x14ac:dyDescent="0.25">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25">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2.5" x14ac:dyDescent="0.25">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2.5" x14ac:dyDescent="0.25">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2.5" x14ac:dyDescent="0.25">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2.5" x14ac:dyDescent="0.25">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2.5" x14ac:dyDescent="0.25">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2.5" x14ac:dyDescent="0.25">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2.5" x14ac:dyDescent="0.25">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2.5" x14ac:dyDescent="0.25">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2.5" x14ac:dyDescent="0.25">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2.5" x14ac:dyDescent="0.25">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2.5" x14ac:dyDescent="0.25">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2.5" x14ac:dyDescent="0.25">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2.5" x14ac:dyDescent="0.25">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2.5" x14ac:dyDescent="0.25">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2.5" x14ac:dyDescent="0.25">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2.5" x14ac:dyDescent="0.25">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25">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2.5" x14ac:dyDescent="0.25">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2.5" x14ac:dyDescent="0.25">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2.5" x14ac:dyDescent="0.25">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2.5" x14ac:dyDescent="0.25">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2.5" x14ac:dyDescent="0.25">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25">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25">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25">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25">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2.5" x14ac:dyDescent="0.25">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25">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25">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2.5" x14ac:dyDescent="0.25">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ht="22.5" x14ac:dyDescent="0.25">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2.5" x14ac:dyDescent="0.25">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2.5" x14ac:dyDescent="0.25">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2.5" x14ac:dyDescent="0.25">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25">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25">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25">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25">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25">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25">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ht="22.5" x14ac:dyDescent="0.25">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2.5" x14ac:dyDescent="0.25">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ht="22.5" x14ac:dyDescent="0.25">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ht="22.5" x14ac:dyDescent="0.25">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ht="22.5" x14ac:dyDescent="0.25">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2.5" x14ac:dyDescent="0.25">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2.5" x14ac:dyDescent="0.25">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ht="22.5" x14ac:dyDescent="0.25">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ht="22.5" x14ac:dyDescent="0.25">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ht="22.5" x14ac:dyDescent="0.25">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25">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25">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2.5" x14ac:dyDescent="0.25">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ht="22.5" x14ac:dyDescent="0.25">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ht="22.5" x14ac:dyDescent="0.25">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ht="22.5" x14ac:dyDescent="0.25">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25">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2.5" x14ac:dyDescent="0.25">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2.5" x14ac:dyDescent="0.25">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2.5" x14ac:dyDescent="0.25">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2.5" x14ac:dyDescent="0.25">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2.5" x14ac:dyDescent="0.25">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2.5" x14ac:dyDescent="0.25">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2.5" x14ac:dyDescent="0.25">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2.5" x14ac:dyDescent="0.25">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2.5" x14ac:dyDescent="0.25">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2.5" x14ac:dyDescent="0.25">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2.5" x14ac:dyDescent="0.25">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ht="22.5" x14ac:dyDescent="0.25">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ht="22.5" x14ac:dyDescent="0.25">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ht="22.5" x14ac:dyDescent="0.25">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2.5" x14ac:dyDescent="0.25">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2.5" x14ac:dyDescent="0.25">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2.5" x14ac:dyDescent="0.25">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2.5" x14ac:dyDescent="0.25">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ht="22.5" x14ac:dyDescent="0.25">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ht="22.5" x14ac:dyDescent="0.25">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ht="22.5" x14ac:dyDescent="0.25">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2.5" x14ac:dyDescent="0.25">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2.5" x14ac:dyDescent="0.25">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2.5" x14ac:dyDescent="0.25">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2.5" x14ac:dyDescent="0.25">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2.5" x14ac:dyDescent="0.25">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ht="22.5" x14ac:dyDescent="0.25">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ht="22.5" x14ac:dyDescent="0.25">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ht="22.5" x14ac:dyDescent="0.25">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2.5" x14ac:dyDescent="0.25">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ht="22.5" x14ac:dyDescent="0.25">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ht="22.5" x14ac:dyDescent="0.25">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ht="22.5" x14ac:dyDescent="0.25">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2.5" x14ac:dyDescent="0.25">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2.5" x14ac:dyDescent="0.25">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2.5" x14ac:dyDescent="0.25">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2.5" x14ac:dyDescent="0.25">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2.5" x14ac:dyDescent="0.25">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2.5" x14ac:dyDescent="0.25">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2.5" x14ac:dyDescent="0.25">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2.5" x14ac:dyDescent="0.25">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2.5" x14ac:dyDescent="0.25">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2.5" x14ac:dyDescent="0.25">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25">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2.5" x14ac:dyDescent="0.25">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2.5" x14ac:dyDescent="0.25">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2.5" x14ac:dyDescent="0.25">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2.5" x14ac:dyDescent="0.25">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2.5" x14ac:dyDescent="0.25">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2.5" x14ac:dyDescent="0.25">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2.5" x14ac:dyDescent="0.25">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2.5" x14ac:dyDescent="0.25">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2.5" x14ac:dyDescent="0.25">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2.5" x14ac:dyDescent="0.25">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2.5" x14ac:dyDescent="0.25">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2.5" x14ac:dyDescent="0.25">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2.5" x14ac:dyDescent="0.25">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2.5" x14ac:dyDescent="0.25">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2.5" x14ac:dyDescent="0.25">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2.5" x14ac:dyDescent="0.25">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2.5" x14ac:dyDescent="0.25">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2.5" x14ac:dyDescent="0.25">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2.5" x14ac:dyDescent="0.25">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2.5" x14ac:dyDescent="0.25">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2.5" x14ac:dyDescent="0.25">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2.5" x14ac:dyDescent="0.25">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25">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25">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2.5" x14ac:dyDescent="0.25">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2.5" x14ac:dyDescent="0.25">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2.5" x14ac:dyDescent="0.25">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2.5" x14ac:dyDescent="0.25">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2.5" x14ac:dyDescent="0.25">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2.5" x14ac:dyDescent="0.25">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2.5" x14ac:dyDescent="0.25">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2.5" x14ac:dyDescent="0.25">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2.5" x14ac:dyDescent="0.25">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2.5" x14ac:dyDescent="0.25">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2.5" x14ac:dyDescent="0.25">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2.5" x14ac:dyDescent="0.25">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2.5" x14ac:dyDescent="0.25">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2.5" x14ac:dyDescent="0.25">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2.5" x14ac:dyDescent="0.25">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2.5" x14ac:dyDescent="0.25">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2.5" x14ac:dyDescent="0.25">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2.5" x14ac:dyDescent="0.25">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2.5" x14ac:dyDescent="0.25">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2.5" x14ac:dyDescent="0.25">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2.5" x14ac:dyDescent="0.25">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2.5" x14ac:dyDescent="0.25">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2.5" x14ac:dyDescent="0.25">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2.5" x14ac:dyDescent="0.25">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2.5" x14ac:dyDescent="0.25">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ht="22.5" x14ac:dyDescent="0.25">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2.5" x14ac:dyDescent="0.25">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2.5" x14ac:dyDescent="0.25">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25">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25">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2.5" x14ac:dyDescent="0.25">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ht="22.5" x14ac:dyDescent="0.25">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ht="22.5" x14ac:dyDescent="0.25">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ht="22.5" x14ac:dyDescent="0.25">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ht="22.5" x14ac:dyDescent="0.25">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ht="22.5" x14ac:dyDescent="0.25">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ht="22.5" x14ac:dyDescent="0.25">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25">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ht="22.5" x14ac:dyDescent="0.25">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ht="22.5" x14ac:dyDescent="0.25">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ht="22.5" x14ac:dyDescent="0.25">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ht="22.5" x14ac:dyDescent="0.25">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ht="22.5" x14ac:dyDescent="0.25">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ht="22.5" x14ac:dyDescent="0.25">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ht="22.5" x14ac:dyDescent="0.25">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ht="22.5" x14ac:dyDescent="0.25">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ht="22.5" x14ac:dyDescent="0.25">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2.5" x14ac:dyDescent="0.25">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ht="22.5" x14ac:dyDescent="0.25">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ht="22.5" x14ac:dyDescent="0.25">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ht="22.5" x14ac:dyDescent="0.25">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ht="22.5" x14ac:dyDescent="0.25">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ht="22.5" x14ac:dyDescent="0.25">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ht="22.5" x14ac:dyDescent="0.25">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ht="22.5" x14ac:dyDescent="0.25">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2.5" x14ac:dyDescent="0.25">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x14ac:dyDescent="0.25">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x14ac:dyDescent="0.25">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x14ac:dyDescent="0.25">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ht="22.5" x14ac:dyDescent="0.25">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2.5" x14ac:dyDescent="0.25">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ht="22.5" x14ac:dyDescent="0.25">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2.5" x14ac:dyDescent="0.25">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2.5" x14ac:dyDescent="0.25">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2.5" x14ac:dyDescent="0.25">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ht="22.5" x14ac:dyDescent="0.25">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ht="22.5" x14ac:dyDescent="0.25">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ht="22.5" x14ac:dyDescent="0.25">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2.5" x14ac:dyDescent="0.25">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ht="22.5" x14ac:dyDescent="0.25">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25">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2.5" x14ac:dyDescent="0.25">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ht="22.5" x14ac:dyDescent="0.25">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3.75" x14ac:dyDescent="0.25">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3.75" x14ac:dyDescent="0.25">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45" x14ac:dyDescent="0.25">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45" x14ac:dyDescent="0.25">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45" x14ac:dyDescent="0.25">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45" x14ac:dyDescent="0.25">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45" x14ac:dyDescent="0.25">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45" x14ac:dyDescent="0.25">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45" x14ac:dyDescent="0.25">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45" x14ac:dyDescent="0.25">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45" x14ac:dyDescent="0.25">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45" x14ac:dyDescent="0.25">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45" x14ac:dyDescent="0.25">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45" x14ac:dyDescent="0.25">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45" x14ac:dyDescent="0.25">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3.75" x14ac:dyDescent="0.25">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3.75" x14ac:dyDescent="0.25">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45" x14ac:dyDescent="0.25">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5" x14ac:dyDescent="0.25">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45" x14ac:dyDescent="0.25">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45" x14ac:dyDescent="0.25">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45" x14ac:dyDescent="0.25">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45" x14ac:dyDescent="0.25">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45" x14ac:dyDescent="0.25">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5" x14ac:dyDescent="0.25">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3.75" x14ac:dyDescent="0.25">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3.75" x14ac:dyDescent="0.25">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3.75" x14ac:dyDescent="0.25">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45" x14ac:dyDescent="0.25">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45" x14ac:dyDescent="0.25">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45" x14ac:dyDescent="0.25">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5" x14ac:dyDescent="0.25">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45" x14ac:dyDescent="0.25">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45" x14ac:dyDescent="0.25">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45" x14ac:dyDescent="0.25">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45" x14ac:dyDescent="0.25">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45" x14ac:dyDescent="0.25">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45" x14ac:dyDescent="0.25">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45" x14ac:dyDescent="0.25">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45" x14ac:dyDescent="0.25">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45" x14ac:dyDescent="0.25">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45" x14ac:dyDescent="0.25">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45" x14ac:dyDescent="0.25">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45" x14ac:dyDescent="0.25">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45" x14ac:dyDescent="0.25">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45" x14ac:dyDescent="0.25">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3.75" x14ac:dyDescent="0.25">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3.75" x14ac:dyDescent="0.25">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3.75" x14ac:dyDescent="0.25">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3.75" x14ac:dyDescent="0.25">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3.75" x14ac:dyDescent="0.25">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3.75" x14ac:dyDescent="0.25">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3.75" x14ac:dyDescent="0.25">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45" x14ac:dyDescent="0.25">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3.75" x14ac:dyDescent="0.25">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3.75" x14ac:dyDescent="0.25">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3.75" x14ac:dyDescent="0.25">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3.75" x14ac:dyDescent="0.25">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3.75" x14ac:dyDescent="0.25">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45" x14ac:dyDescent="0.25">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45" x14ac:dyDescent="0.25">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45" x14ac:dyDescent="0.25">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5" x14ac:dyDescent="0.25">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5" x14ac:dyDescent="0.25">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5" x14ac:dyDescent="0.25">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3.75" x14ac:dyDescent="0.25">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3.75" x14ac:dyDescent="0.25">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3.75" x14ac:dyDescent="0.25">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3.75" x14ac:dyDescent="0.25">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3.75" x14ac:dyDescent="0.25">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45" x14ac:dyDescent="0.25">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45" x14ac:dyDescent="0.25">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45" x14ac:dyDescent="0.25">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45" x14ac:dyDescent="0.25">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45" x14ac:dyDescent="0.25">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45" x14ac:dyDescent="0.25">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45" x14ac:dyDescent="0.25">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45" x14ac:dyDescent="0.25">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45" x14ac:dyDescent="0.25">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45" x14ac:dyDescent="0.25">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3.75" x14ac:dyDescent="0.25">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3.75" x14ac:dyDescent="0.25">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45" x14ac:dyDescent="0.25">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45" x14ac:dyDescent="0.25">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3.75" x14ac:dyDescent="0.25">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3.75" x14ac:dyDescent="0.25">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45" x14ac:dyDescent="0.25">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45" x14ac:dyDescent="0.25">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45" x14ac:dyDescent="0.25">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45" x14ac:dyDescent="0.25">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45" x14ac:dyDescent="0.25">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45" x14ac:dyDescent="0.25">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3.75" x14ac:dyDescent="0.25">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3.75" x14ac:dyDescent="0.25">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3.75" x14ac:dyDescent="0.25">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3.75" x14ac:dyDescent="0.25">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3.75" x14ac:dyDescent="0.25">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45" x14ac:dyDescent="0.25">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45" x14ac:dyDescent="0.25">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45" x14ac:dyDescent="0.25">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45" x14ac:dyDescent="0.25">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45" x14ac:dyDescent="0.25">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45" x14ac:dyDescent="0.25">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45" x14ac:dyDescent="0.25">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45" x14ac:dyDescent="0.25">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45" x14ac:dyDescent="0.25">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45" x14ac:dyDescent="0.25">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45" x14ac:dyDescent="0.25">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45" x14ac:dyDescent="0.25">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45" x14ac:dyDescent="0.25">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45" x14ac:dyDescent="0.25">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45" x14ac:dyDescent="0.25">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45" x14ac:dyDescent="0.25">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45" x14ac:dyDescent="0.25">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45" x14ac:dyDescent="0.25">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3.75" x14ac:dyDescent="0.25">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3.75" x14ac:dyDescent="0.25">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3.75" x14ac:dyDescent="0.25">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3.75" x14ac:dyDescent="0.25">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45" x14ac:dyDescent="0.25">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5" x14ac:dyDescent="0.25">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5" x14ac:dyDescent="0.25">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45" x14ac:dyDescent="0.25">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45" x14ac:dyDescent="0.25">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45" x14ac:dyDescent="0.25">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45" x14ac:dyDescent="0.25">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45" x14ac:dyDescent="0.25">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3.75" x14ac:dyDescent="0.25">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3.75" x14ac:dyDescent="0.25">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45" x14ac:dyDescent="0.25">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45" x14ac:dyDescent="0.25">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45" x14ac:dyDescent="0.25">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3.75" x14ac:dyDescent="0.25">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3.75" x14ac:dyDescent="0.25">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3.75" x14ac:dyDescent="0.25">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45" x14ac:dyDescent="0.25">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45" x14ac:dyDescent="0.25">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45" x14ac:dyDescent="0.25">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45" x14ac:dyDescent="0.25">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45" x14ac:dyDescent="0.25">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45" x14ac:dyDescent="0.25">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45" x14ac:dyDescent="0.25">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45" x14ac:dyDescent="0.25">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45" x14ac:dyDescent="0.25">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3.75" x14ac:dyDescent="0.25">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3.75" x14ac:dyDescent="0.25">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3.75" x14ac:dyDescent="0.25">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3.75" x14ac:dyDescent="0.25">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3.75" x14ac:dyDescent="0.25">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3.75" x14ac:dyDescent="0.25">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3.75" x14ac:dyDescent="0.25">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3.75" x14ac:dyDescent="0.25">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3.75" x14ac:dyDescent="0.25">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3.75" x14ac:dyDescent="0.25">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3.75" x14ac:dyDescent="0.25">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3.75" x14ac:dyDescent="0.25">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3.75" x14ac:dyDescent="0.25">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3.75" x14ac:dyDescent="0.25">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3.75" x14ac:dyDescent="0.25">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3.75" x14ac:dyDescent="0.25">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3.75" x14ac:dyDescent="0.25">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3.75" x14ac:dyDescent="0.25">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3.75" x14ac:dyDescent="0.25">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3.75" x14ac:dyDescent="0.25">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3.75" x14ac:dyDescent="0.25">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3.75" x14ac:dyDescent="0.25">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3.75" x14ac:dyDescent="0.25">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3.75" x14ac:dyDescent="0.25">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3.75" x14ac:dyDescent="0.25">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3.75" x14ac:dyDescent="0.25">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3.75" x14ac:dyDescent="0.25">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3.75" x14ac:dyDescent="0.25">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3.75" x14ac:dyDescent="0.25">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3.75" x14ac:dyDescent="0.25">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3.75" x14ac:dyDescent="0.25">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3.75" x14ac:dyDescent="0.25">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3.75" x14ac:dyDescent="0.25">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3.75" x14ac:dyDescent="0.25">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3.75" x14ac:dyDescent="0.25">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3.75" x14ac:dyDescent="0.25">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3.75" x14ac:dyDescent="0.25">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3.75" x14ac:dyDescent="0.25">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3.75" x14ac:dyDescent="0.25">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3.75" x14ac:dyDescent="0.25">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3.75" x14ac:dyDescent="0.25">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3.75" x14ac:dyDescent="0.25">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3.75" x14ac:dyDescent="0.25">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3.75" x14ac:dyDescent="0.25">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3.75" x14ac:dyDescent="0.25">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3.75" x14ac:dyDescent="0.25">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3.75" x14ac:dyDescent="0.25">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3.75" x14ac:dyDescent="0.25">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3.75" x14ac:dyDescent="0.25">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3.75" x14ac:dyDescent="0.25">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3.75" x14ac:dyDescent="0.25">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3.75" x14ac:dyDescent="0.25">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3.75" x14ac:dyDescent="0.25">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3.75" x14ac:dyDescent="0.25">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3.75" x14ac:dyDescent="0.25">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3.75" x14ac:dyDescent="0.25">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3.75" x14ac:dyDescent="0.25">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3.75" x14ac:dyDescent="0.25">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3.75" x14ac:dyDescent="0.25">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3.75" x14ac:dyDescent="0.25">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3.75" x14ac:dyDescent="0.25">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3.75" x14ac:dyDescent="0.25">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3.75" x14ac:dyDescent="0.25">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3.75" x14ac:dyDescent="0.25">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3.75" x14ac:dyDescent="0.25">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3.75" x14ac:dyDescent="0.25">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3.75" x14ac:dyDescent="0.25">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3.75" x14ac:dyDescent="0.25">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3.75" x14ac:dyDescent="0.25">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3.75" x14ac:dyDescent="0.25">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3.75" x14ac:dyDescent="0.25">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3.75" x14ac:dyDescent="0.25">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3.75" x14ac:dyDescent="0.25">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3.75" x14ac:dyDescent="0.25">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3.75" x14ac:dyDescent="0.25">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3.75" x14ac:dyDescent="0.25">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3.75" x14ac:dyDescent="0.25">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3.75" x14ac:dyDescent="0.25">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45" x14ac:dyDescent="0.25">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45" x14ac:dyDescent="0.25">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3.75" x14ac:dyDescent="0.25">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3.75" x14ac:dyDescent="0.25">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3.75" x14ac:dyDescent="0.25">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3.75" x14ac:dyDescent="0.25">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3.75" x14ac:dyDescent="0.25">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3.75" x14ac:dyDescent="0.25">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3.75" x14ac:dyDescent="0.25">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3.75" x14ac:dyDescent="0.25">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3.75" x14ac:dyDescent="0.25">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3.75" x14ac:dyDescent="0.25">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45" x14ac:dyDescent="0.25">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3.75" x14ac:dyDescent="0.25">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3.75" x14ac:dyDescent="0.25">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3.75" x14ac:dyDescent="0.25">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3.75" x14ac:dyDescent="0.25">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3.75" x14ac:dyDescent="0.25">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3.75" x14ac:dyDescent="0.25">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3.75" x14ac:dyDescent="0.25">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3.75" x14ac:dyDescent="0.25">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3.75" x14ac:dyDescent="0.25">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3.75" x14ac:dyDescent="0.25">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3.75" x14ac:dyDescent="0.25">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3.75" x14ac:dyDescent="0.25">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3.75" x14ac:dyDescent="0.25">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3.75" x14ac:dyDescent="0.25">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3.75" x14ac:dyDescent="0.25">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3.75" x14ac:dyDescent="0.25">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3.75" x14ac:dyDescent="0.25">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3.75" x14ac:dyDescent="0.25">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3.75" x14ac:dyDescent="0.25">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3.75" x14ac:dyDescent="0.25">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3.75" x14ac:dyDescent="0.25">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3.75" x14ac:dyDescent="0.25">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3.75" x14ac:dyDescent="0.25">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3.75" x14ac:dyDescent="0.25">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3.75" x14ac:dyDescent="0.25">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3.75" x14ac:dyDescent="0.25">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45" x14ac:dyDescent="0.25">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3.75" x14ac:dyDescent="0.25">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3.75" x14ac:dyDescent="0.25">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3.75" x14ac:dyDescent="0.25">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3.75" x14ac:dyDescent="0.25">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3.75" x14ac:dyDescent="0.25">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3.75" x14ac:dyDescent="0.25">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3.75" x14ac:dyDescent="0.25">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3.75" x14ac:dyDescent="0.25">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3.75" x14ac:dyDescent="0.25">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3.75" x14ac:dyDescent="0.25">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3.75" x14ac:dyDescent="0.25">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3.75" x14ac:dyDescent="0.25">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3.75" x14ac:dyDescent="0.25">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3.75" x14ac:dyDescent="0.25">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3.75" x14ac:dyDescent="0.25">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3.75" x14ac:dyDescent="0.25">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3.75" x14ac:dyDescent="0.25">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3.75" x14ac:dyDescent="0.25">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3.75" x14ac:dyDescent="0.25">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3.75" x14ac:dyDescent="0.25">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3.75" x14ac:dyDescent="0.25">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3.75" x14ac:dyDescent="0.25">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3.75" x14ac:dyDescent="0.25">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3.75" x14ac:dyDescent="0.25">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3.75" x14ac:dyDescent="0.25">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3.75" x14ac:dyDescent="0.25">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3.75" x14ac:dyDescent="0.25">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3.75" x14ac:dyDescent="0.25">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3.75" x14ac:dyDescent="0.25">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3.75" x14ac:dyDescent="0.25">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3.75" x14ac:dyDescent="0.25">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3.75" x14ac:dyDescent="0.25">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3.75" x14ac:dyDescent="0.25">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3.75" x14ac:dyDescent="0.25">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3.75" x14ac:dyDescent="0.25">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3.75" x14ac:dyDescent="0.25">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3.75" x14ac:dyDescent="0.25">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3.75" x14ac:dyDescent="0.25">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3.75" x14ac:dyDescent="0.25">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3.75" x14ac:dyDescent="0.25">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3.75" x14ac:dyDescent="0.25">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3.75" x14ac:dyDescent="0.25">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3.75" x14ac:dyDescent="0.25">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3.75" x14ac:dyDescent="0.25">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3.75" x14ac:dyDescent="0.25">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3.75" x14ac:dyDescent="0.25">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3.75" x14ac:dyDescent="0.25">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3.75" x14ac:dyDescent="0.25">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3.75" x14ac:dyDescent="0.25">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3.75" x14ac:dyDescent="0.25">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3.75" x14ac:dyDescent="0.25">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3.75" x14ac:dyDescent="0.25">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3.75" x14ac:dyDescent="0.25">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3.75" x14ac:dyDescent="0.25">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3.75" x14ac:dyDescent="0.25">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3.75" x14ac:dyDescent="0.25">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3.75" x14ac:dyDescent="0.25">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3.75" x14ac:dyDescent="0.25">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3.75" x14ac:dyDescent="0.25">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3.75" x14ac:dyDescent="0.25">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3.75" x14ac:dyDescent="0.25">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3.75" x14ac:dyDescent="0.25">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3.75" x14ac:dyDescent="0.25">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3.75" x14ac:dyDescent="0.25">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3.75" x14ac:dyDescent="0.25">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3.75" x14ac:dyDescent="0.25">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3.75" x14ac:dyDescent="0.25">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3.75" x14ac:dyDescent="0.25">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3.75" x14ac:dyDescent="0.25">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3.75" x14ac:dyDescent="0.25">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3.75" x14ac:dyDescent="0.25">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3.75" x14ac:dyDescent="0.25">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3.75" x14ac:dyDescent="0.25">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3.75" x14ac:dyDescent="0.25">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3.75" x14ac:dyDescent="0.25">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3.75" x14ac:dyDescent="0.25">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3.75" x14ac:dyDescent="0.25">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3.75" x14ac:dyDescent="0.25">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3.75" x14ac:dyDescent="0.25">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3.75" x14ac:dyDescent="0.25">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3.75" x14ac:dyDescent="0.25">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3.75" x14ac:dyDescent="0.25">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3.75" x14ac:dyDescent="0.25">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3.75" x14ac:dyDescent="0.25">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3.75" x14ac:dyDescent="0.25">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3.75" x14ac:dyDescent="0.25">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3.75" x14ac:dyDescent="0.25">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3.75" x14ac:dyDescent="0.25">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3.75" x14ac:dyDescent="0.25">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3.75" x14ac:dyDescent="0.25">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3.75" x14ac:dyDescent="0.25">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3.75" x14ac:dyDescent="0.25">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45" x14ac:dyDescent="0.25">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3.75" x14ac:dyDescent="0.25">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3.75" x14ac:dyDescent="0.25">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3.75" x14ac:dyDescent="0.25">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3.75" x14ac:dyDescent="0.25">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3.75" x14ac:dyDescent="0.25">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3.75" x14ac:dyDescent="0.25">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3.75" x14ac:dyDescent="0.25">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3.75" x14ac:dyDescent="0.25">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3.75" x14ac:dyDescent="0.25">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45" x14ac:dyDescent="0.25">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3.75" x14ac:dyDescent="0.25">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3.75" x14ac:dyDescent="0.25">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3.75" x14ac:dyDescent="0.25">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3.75" x14ac:dyDescent="0.25">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3.75" x14ac:dyDescent="0.25">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3.75" x14ac:dyDescent="0.25">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3.75" x14ac:dyDescent="0.25">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3.75" x14ac:dyDescent="0.25">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3.75" x14ac:dyDescent="0.25">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3.75" x14ac:dyDescent="0.25">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45" x14ac:dyDescent="0.25">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3.75" x14ac:dyDescent="0.25">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3.75" x14ac:dyDescent="0.25">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3.75" x14ac:dyDescent="0.25">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3.75" x14ac:dyDescent="0.25">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3.75" x14ac:dyDescent="0.25">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3.75" x14ac:dyDescent="0.25">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3.75" x14ac:dyDescent="0.25">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3.75" x14ac:dyDescent="0.25">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3.75" x14ac:dyDescent="0.25">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3.75" x14ac:dyDescent="0.25">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3.75" x14ac:dyDescent="0.25">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3.75" x14ac:dyDescent="0.25">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3.75" x14ac:dyDescent="0.25">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3.75" x14ac:dyDescent="0.25">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3.75" x14ac:dyDescent="0.25">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5" x14ac:dyDescent="0.25">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3.75" x14ac:dyDescent="0.25">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3.75" x14ac:dyDescent="0.25">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3.75" x14ac:dyDescent="0.25">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3.75" x14ac:dyDescent="0.25">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3.75" x14ac:dyDescent="0.25">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3.75" x14ac:dyDescent="0.25">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3.75" x14ac:dyDescent="0.25">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3.75" x14ac:dyDescent="0.25">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3.75" x14ac:dyDescent="0.25">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3.75" x14ac:dyDescent="0.25">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3.75" x14ac:dyDescent="0.25">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3.75" x14ac:dyDescent="0.25">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3.75" x14ac:dyDescent="0.25">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3.75" x14ac:dyDescent="0.25">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3.75" x14ac:dyDescent="0.25">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3.75" x14ac:dyDescent="0.25">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3.75" x14ac:dyDescent="0.25">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3.75" x14ac:dyDescent="0.25">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3.75" x14ac:dyDescent="0.25">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3.75" x14ac:dyDescent="0.25">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3.75" x14ac:dyDescent="0.25">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3.75" x14ac:dyDescent="0.25">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3.75" x14ac:dyDescent="0.25">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3.75" x14ac:dyDescent="0.25">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3.75" x14ac:dyDescent="0.25">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3.75" x14ac:dyDescent="0.25">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3.75" x14ac:dyDescent="0.25">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3.75" x14ac:dyDescent="0.25">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3.75" x14ac:dyDescent="0.25">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3.75" x14ac:dyDescent="0.25">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3.75" x14ac:dyDescent="0.25">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3.75" x14ac:dyDescent="0.25">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3.75" x14ac:dyDescent="0.25">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3.75" x14ac:dyDescent="0.25">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3.75" x14ac:dyDescent="0.25">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3.75" x14ac:dyDescent="0.25">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3.75" x14ac:dyDescent="0.25">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3.75" x14ac:dyDescent="0.25">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3.75" x14ac:dyDescent="0.25">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3.75" x14ac:dyDescent="0.25">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3.75" x14ac:dyDescent="0.25">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3.75" x14ac:dyDescent="0.25">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3.75" x14ac:dyDescent="0.25">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3.75" x14ac:dyDescent="0.25">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3.75" x14ac:dyDescent="0.25">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3.75" x14ac:dyDescent="0.25">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3.75" x14ac:dyDescent="0.25">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3.75" x14ac:dyDescent="0.25">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3.75" x14ac:dyDescent="0.25">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3.75" x14ac:dyDescent="0.25">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3.75" x14ac:dyDescent="0.25">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3.75" x14ac:dyDescent="0.25">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3.75" x14ac:dyDescent="0.25">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3.75" x14ac:dyDescent="0.25">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3.75" x14ac:dyDescent="0.25">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3.75" x14ac:dyDescent="0.25">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3.75" x14ac:dyDescent="0.25">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3.75" x14ac:dyDescent="0.25">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3.75" x14ac:dyDescent="0.25">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3.75" x14ac:dyDescent="0.25">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3.75" x14ac:dyDescent="0.25">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3.75" x14ac:dyDescent="0.25">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3.75" x14ac:dyDescent="0.25">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3.75" x14ac:dyDescent="0.25">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3.75" x14ac:dyDescent="0.25">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3.75" x14ac:dyDescent="0.25">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3.75" x14ac:dyDescent="0.25">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3.75" x14ac:dyDescent="0.25">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3.75" x14ac:dyDescent="0.25">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3.75" x14ac:dyDescent="0.25">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3.75" x14ac:dyDescent="0.25">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3.75" x14ac:dyDescent="0.25">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3.75" x14ac:dyDescent="0.25">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3.75" x14ac:dyDescent="0.25">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3.75" x14ac:dyDescent="0.25">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3.75" x14ac:dyDescent="0.25">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3.75" x14ac:dyDescent="0.25">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3.75" x14ac:dyDescent="0.25">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3.75" x14ac:dyDescent="0.25">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3.75" x14ac:dyDescent="0.25">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3.75" x14ac:dyDescent="0.25">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3.75" x14ac:dyDescent="0.25">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3.75" x14ac:dyDescent="0.25">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3.75" x14ac:dyDescent="0.25">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3.75" x14ac:dyDescent="0.25">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45" x14ac:dyDescent="0.25">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3.75" x14ac:dyDescent="0.25">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45" x14ac:dyDescent="0.25">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45" x14ac:dyDescent="0.25">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45" x14ac:dyDescent="0.25">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3.75" x14ac:dyDescent="0.25">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3.75" x14ac:dyDescent="0.25">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3.75" x14ac:dyDescent="0.25">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3.75" x14ac:dyDescent="0.25">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3.75" x14ac:dyDescent="0.25">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3.75" x14ac:dyDescent="0.25">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3.75" x14ac:dyDescent="0.25">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3.75" x14ac:dyDescent="0.25">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3.75" x14ac:dyDescent="0.25">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3.75" x14ac:dyDescent="0.25">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3.75" x14ac:dyDescent="0.25">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3.75" x14ac:dyDescent="0.25">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3.75" x14ac:dyDescent="0.25">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3.75" x14ac:dyDescent="0.25">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3.75" x14ac:dyDescent="0.25">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3.75" x14ac:dyDescent="0.25">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45" x14ac:dyDescent="0.25">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3.75" x14ac:dyDescent="0.25">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3.75" x14ac:dyDescent="0.25">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3.75" x14ac:dyDescent="0.25">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3.75" x14ac:dyDescent="0.25">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3.75" x14ac:dyDescent="0.25">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3.75" x14ac:dyDescent="0.25">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3.75" x14ac:dyDescent="0.25">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3.75" x14ac:dyDescent="0.25">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3.75" x14ac:dyDescent="0.25">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3.75" x14ac:dyDescent="0.25">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3.75" x14ac:dyDescent="0.25">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3.75" x14ac:dyDescent="0.25">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3.75" x14ac:dyDescent="0.25">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3.75" x14ac:dyDescent="0.25">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3.75" x14ac:dyDescent="0.25">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3.75" x14ac:dyDescent="0.25">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3.75" x14ac:dyDescent="0.25">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3.75" x14ac:dyDescent="0.25">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3.75" x14ac:dyDescent="0.25">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3.75" x14ac:dyDescent="0.25">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3.75" x14ac:dyDescent="0.25">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3.75" x14ac:dyDescent="0.25">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3.75" x14ac:dyDescent="0.25">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3.75" x14ac:dyDescent="0.25">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3.75" x14ac:dyDescent="0.25">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3.75" x14ac:dyDescent="0.25">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3.75" x14ac:dyDescent="0.25">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3.75" x14ac:dyDescent="0.25">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3.75" x14ac:dyDescent="0.25">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3.75" x14ac:dyDescent="0.25">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3.75" x14ac:dyDescent="0.25">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3.75" x14ac:dyDescent="0.25">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3.75" x14ac:dyDescent="0.25">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3.75" x14ac:dyDescent="0.25">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3.75" x14ac:dyDescent="0.25">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3.75" x14ac:dyDescent="0.25">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3.75" x14ac:dyDescent="0.25">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3.75" x14ac:dyDescent="0.25">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3.75" x14ac:dyDescent="0.25">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3.75" x14ac:dyDescent="0.25">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3.75" x14ac:dyDescent="0.25">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3.75" x14ac:dyDescent="0.25">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3.75" x14ac:dyDescent="0.25">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3.75" x14ac:dyDescent="0.25">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3.75" x14ac:dyDescent="0.25">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3.75" x14ac:dyDescent="0.25">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3.75" x14ac:dyDescent="0.25">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3.75" x14ac:dyDescent="0.25">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3.75" x14ac:dyDescent="0.25">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3.75" x14ac:dyDescent="0.25">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3.75" x14ac:dyDescent="0.25">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3.75" x14ac:dyDescent="0.25">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3.75" x14ac:dyDescent="0.25">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3.75" x14ac:dyDescent="0.25">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3.75" x14ac:dyDescent="0.25">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3.75" x14ac:dyDescent="0.25">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3.75" x14ac:dyDescent="0.25">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3.75" x14ac:dyDescent="0.25">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3.75" x14ac:dyDescent="0.25">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45" x14ac:dyDescent="0.25">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3.75" x14ac:dyDescent="0.25">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3.75" x14ac:dyDescent="0.25">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3.75" x14ac:dyDescent="0.25">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3.75" x14ac:dyDescent="0.25">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3.75" x14ac:dyDescent="0.25">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3.75" x14ac:dyDescent="0.25">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3.75" x14ac:dyDescent="0.25">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45" x14ac:dyDescent="0.25">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3.75" x14ac:dyDescent="0.25">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3.75" x14ac:dyDescent="0.25">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3.75" x14ac:dyDescent="0.25">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3.75" x14ac:dyDescent="0.25">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3.75" x14ac:dyDescent="0.25">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3.75" x14ac:dyDescent="0.25">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3.75" x14ac:dyDescent="0.25">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3.75" x14ac:dyDescent="0.25">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3.75" x14ac:dyDescent="0.25">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3.75" x14ac:dyDescent="0.25">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3.75" x14ac:dyDescent="0.25">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3.75" x14ac:dyDescent="0.25">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3.75" x14ac:dyDescent="0.25">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3.75" x14ac:dyDescent="0.25">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3.75" x14ac:dyDescent="0.25">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3.75" x14ac:dyDescent="0.25">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3.75" x14ac:dyDescent="0.25">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3.75" x14ac:dyDescent="0.25">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3.75" x14ac:dyDescent="0.25">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3.75" x14ac:dyDescent="0.25">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3.75" x14ac:dyDescent="0.25">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3.75" x14ac:dyDescent="0.25">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3.75" x14ac:dyDescent="0.25">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3.75" x14ac:dyDescent="0.25">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3.75" x14ac:dyDescent="0.25">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3.75" x14ac:dyDescent="0.25">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3.75" x14ac:dyDescent="0.25">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3.75" x14ac:dyDescent="0.25">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3.75" x14ac:dyDescent="0.25">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3.75" x14ac:dyDescent="0.25">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3.75" x14ac:dyDescent="0.25">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3.75" x14ac:dyDescent="0.25">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3.75" x14ac:dyDescent="0.25">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3.75" x14ac:dyDescent="0.25">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3.75" x14ac:dyDescent="0.25">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3.75" x14ac:dyDescent="0.25">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3.75" x14ac:dyDescent="0.25">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3.75" x14ac:dyDescent="0.25">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3.75" x14ac:dyDescent="0.25">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3.75" x14ac:dyDescent="0.25">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3.75" x14ac:dyDescent="0.25">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3.75" x14ac:dyDescent="0.25">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3.75" x14ac:dyDescent="0.25">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3.75" x14ac:dyDescent="0.25">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3.75" x14ac:dyDescent="0.25">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3.75" x14ac:dyDescent="0.25">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3.75" x14ac:dyDescent="0.25">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3.75" x14ac:dyDescent="0.25">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3.75" x14ac:dyDescent="0.25">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3.75" x14ac:dyDescent="0.25">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3.75" x14ac:dyDescent="0.25">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3.75" x14ac:dyDescent="0.25">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3.75" x14ac:dyDescent="0.25">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3.75" x14ac:dyDescent="0.25">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3.75" x14ac:dyDescent="0.25">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3.75" x14ac:dyDescent="0.25">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3.75" x14ac:dyDescent="0.25">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3.75" x14ac:dyDescent="0.25">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3.75" x14ac:dyDescent="0.25">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3.75" x14ac:dyDescent="0.25">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3.75" x14ac:dyDescent="0.25">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3.75" x14ac:dyDescent="0.25">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3.75" x14ac:dyDescent="0.25">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3.75" x14ac:dyDescent="0.25">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3.75" x14ac:dyDescent="0.25">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3.75" x14ac:dyDescent="0.25">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3.75" x14ac:dyDescent="0.25">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3.75" x14ac:dyDescent="0.25">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3.75" x14ac:dyDescent="0.25">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3.75" x14ac:dyDescent="0.25">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3.75" x14ac:dyDescent="0.25">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3.75" x14ac:dyDescent="0.25">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3.75" x14ac:dyDescent="0.25">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45" x14ac:dyDescent="0.25">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3.75" x14ac:dyDescent="0.25">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3.75" x14ac:dyDescent="0.25">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45" x14ac:dyDescent="0.25">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3.75" x14ac:dyDescent="0.25">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3.75" x14ac:dyDescent="0.25">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45" x14ac:dyDescent="0.25">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3.75" x14ac:dyDescent="0.25">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3.75" x14ac:dyDescent="0.25">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3.75" x14ac:dyDescent="0.25">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3.75" x14ac:dyDescent="0.25">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3.75" x14ac:dyDescent="0.25">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3.75" x14ac:dyDescent="0.25">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45" x14ac:dyDescent="0.25">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45" x14ac:dyDescent="0.25">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45" x14ac:dyDescent="0.25">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3.75" x14ac:dyDescent="0.25">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3.75" x14ac:dyDescent="0.25">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3.75" x14ac:dyDescent="0.25">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3.75" x14ac:dyDescent="0.25">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45" x14ac:dyDescent="0.25">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45" x14ac:dyDescent="0.25">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45" x14ac:dyDescent="0.25">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45" x14ac:dyDescent="0.25">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45" x14ac:dyDescent="0.25">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5" x14ac:dyDescent="0.25">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5" x14ac:dyDescent="0.25">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3.75" x14ac:dyDescent="0.25">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3.75" x14ac:dyDescent="0.25">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3.75" x14ac:dyDescent="0.25">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3.75" x14ac:dyDescent="0.25">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45" x14ac:dyDescent="0.25">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45" x14ac:dyDescent="0.25">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45" x14ac:dyDescent="0.25">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45" x14ac:dyDescent="0.25">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45" x14ac:dyDescent="0.25">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45" x14ac:dyDescent="0.25">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45" x14ac:dyDescent="0.25">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45" x14ac:dyDescent="0.25">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5" x14ac:dyDescent="0.25">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3.75" x14ac:dyDescent="0.25">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3.75" x14ac:dyDescent="0.25">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3.75" x14ac:dyDescent="0.25">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3.75" x14ac:dyDescent="0.25">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3.75" x14ac:dyDescent="0.25">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3.75" x14ac:dyDescent="0.25">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3.75" x14ac:dyDescent="0.25">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3.75" x14ac:dyDescent="0.25">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3.75" x14ac:dyDescent="0.25">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3.75" x14ac:dyDescent="0.25">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3.75" x14ac:dyDescent="0.25">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3.75" x14ac:dyDescent="0.25">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3.75" x14ac:dyDescent="0.25">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3.75" x14ac:dyDescent="0.25">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3.75" x14ac:dyDescent="0.25">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3.75" x14ac:dyDescent="0.25">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3.75" x14ac:dyDescent="0.25">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3.75" x14ac:dyDescent="0.25">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3.75" x14ac:dyDescent="0.25">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3.75" x14ac:dyDescent="0.25">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3.75" x14ac:dyDescent="0.25">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3.75" x14ac:dyDescent="0.25">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3.75" x14ac:dyDescent="0.25">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3.75" x14ac:dyDescent="0.25">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3.75" x14ac:dyDescent="0.25">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3.75" x14ac:dyDescent="0.25">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3.75" x14ac:dyDescent="0.25">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3.75" x14ac:dyDescent="0.25">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3.75" x14ac:dyDescent="0.25">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3.75" x14ac:dyDescent="0.25">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3.75" x14ac:dyDescent="0.25">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3.75" x14ac:dyDescent="0.25">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3.75" x14ac:dyDescent="0.25">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3.75" x14ac:dyDescent="0.25">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3.75" x14ac:dyDescent="0.25">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3.75" x14ac:dyDescent="0.25">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3.75" x14ac:dyDescent="0.25">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3.75" x14ac:dyDescent="0.25">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3.75" x14ac:dyDescent="0.25">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3.75" x14ac:dyDescent="0.25">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3.75" x14ac:dyDescent="0.25">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3.75" x14ac:dyDescent="0.25">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3.75" x14ac:dyDescent="0.25">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3.75" x14ac:dyDescent="0.25">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3.75" x14ac:dyDescent="0.25">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3.75" x14ac:dyDescent="0.25">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3.75" x14ac:dyDescent="0.25">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3.75" x14ac:dyDescent="0.25">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3.75" x14ac:dyDescent="0.25">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3.75" x14ac:dyDescent="0.25">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3.75" x14ac:dyDescent="0.25">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5" x14ac:dyDescent="0.25">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3.75" x14ac:dyDescent="0.25">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3.75" x14ac:dyDescent="0.25">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3.75" x14ac:dyDescent="0.25">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2.5" x14ac:dyDescent="0.25">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5" x14ac:dyDescent="0.25">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56.25" x14ac:dyDescent="0.25">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56.25" x14ac:dyDescent="0.25">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5" x14ac:dyDescent="0.25">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56.25" x14ac:dyDescent="0.25">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5" x14ac:dyDescent="0.25">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56.25" x14ac:dyDescent="0.25">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5" x14ac:dyDescent="0.25">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5" x14ac:dyDescent="0.25">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56.25" x14ac:dyDescent="0.25">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5" x14ac:dyDescent="0.25">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56.25" x14ac:dyDescent="0.25">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5" x14ac:dyDescent="0.25">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56.25" x14ac:dyDescent="0.25">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5" x14ac:dyDescent="0.25">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56.25" x14ac:dyDescent="0.25">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5" x14ac:dyDescent="0.25">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56.25" x14ac:dyDescent="0.25">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5" x14ac:dyDescent="0.25">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56.25" x14ac:dyDescent="0.25">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5" x14ac:dyDescent="0.25">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56.25" x14ac:dyDescent="0.25">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56.25" x14ac:dyDescent="0.25">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56.25" x14ac:dyDescent="0.25">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45" x14ac:dyDescent="0.25">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56.25" x14ac:dyDescent="0.25">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3.75" x14ac:dyDescent="0.25">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45" x14ac:dyDescent="0.25">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45" x14ac:dyDescent="0.25">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45" x14ac:dyDescent="0.25">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3.75" x14ac:dyDescent="0.25">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3.75" x14ac:dyDescent="0.25">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3.75" x14ac:dyDescent="0.25">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56.25" x14ac:dyDescent="0.25">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56.25" x14ac:dyDescent="0.25">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5" x14ac:dyDescent="0.25">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56.25" x14ac:dyDescent="0.25">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56.25" x14ac:dyDescent="0.25">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56.25" x14ac:dyDescent="0.25">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45" x14ac:dyDescent="0.25">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56.25" x14ac:dyDescent="0.25">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45" x14ac:dyDescent="0.25">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3.75" x14ac:dyDescent="0.25">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56.25" x14ac:dyDescent="0.25">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56.25" x14ac:dyDescent="0.25">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56.25" x14ac:dyDescent="0.25">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56.25" x14ac:dyDescent="0.25">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45" x14ac:dyDescent="0.25">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3.75" x14ac:dyDescent="0.25">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45" x14ac:dyDescent="0.25">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56.25" x14ac:dyDescent="0.25">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56.25" x14ac:dyDescent="0.25">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3.75" x14ac:dyDescent="0.25">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45" x14ac:dyDescent="0.25">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56.25" x14ac:dyDescent="0.25">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45" x14ac:dyDescent="0.25">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45" x14ac:dyDescent="0.25">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45" x14ac:dyDescent="0.25">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56.25" x14ac:dyDescent="0.25">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5" x14ac:dyDescent="0.25">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3.75" x14ac:dyDescent="0.25">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5" x14ac:dyDescent="0.25">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5" x14ac:dyDescent="0.25">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56.25" x14ac:dyDescent="0.25">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45" x14ac:dyDescent="0.25">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45" x14ac:dyDescent="0.25">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45" x14ac:dyDescent="0.25">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45" x14ac:dyDescent="0.25">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56.25" x14ac:dyDescent="0.25">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45" x14ac:dyDescent="0.25">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56.25" x14ac:dyDescent="0.25">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45" x14ac:dyDescent="0.25">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56.25" x14ac:dyDescent="0.25">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56.25" x14ac:dyDescent="0.25">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45" x14ac:dyDescent="0.25">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56.25" x14ac:dyDescent="0.25">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5" x14ac:dyDescent="0.25">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45" x14ac:dyDescent="0.25">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5" x14ac:dyDescent="0.25">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45" x14ac:dyDescent="0.25">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45" x14ac:dyDescent="0.25">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45" x14ac:dyDescent="0.25">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45" x14ac:dyDescent="0.25">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5" x14ac:dyDescent="0.25">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5" x14ac:dyDescent="0.25">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5" x14ac:dyDescent="0.25">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5" x14ac:dyDescent="0.25">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5" x14ac:dyDescent="0.25">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5" x14ac:dyDescent="0.25">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5" x14ac:dyDescent="0.25">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5" x14ac:dyDescent="0.25">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5" x14ac:dyDescent="0.25">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5" x14ac:dyDescent="0.25">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5" x14ac:dyDescent="0.25">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5" x14ac:dyDescent="0.25">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45" x14ac:dyDescent="0.25">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5" x14ac:dyDescent="0.25">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5" x14ac:dyDescent="0.25">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5" x14ac:dyDescent="0.25">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45" x14ac:dyDescent="0.25">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5" x14ac:dyDescent="0.25">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56.25" x14ac:dyDescent="0.25">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56.25" x14ac:dyDescent="0.25">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56.25" x14ac:dyDescent="0.25">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56.25" x14ac:dyDescent="0.25">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56.25" x14ac:dyDescent="0.25">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56.25" x14ac:dyDescent="0.25">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56.25" x14ac:dyDescent="0.25">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5" x14ac:dyDescent="0.25">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45" x14ac:dyDescent="0.25">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5" x14ac:dyDescent="0.25">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5" x14ac:dyDescent="0.25">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56.25" x14ac:dyDescent="0.25">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5" x14ac:dyDescent="0.25">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5" x14ac:dyDescent="0.25">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56.25" x14ac:dyDescent="0.25">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5" x14ac:dyDescent="0.25">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45" x14ac:dyDescent="0.25">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33.75" x14ac:dyDescent="0.25">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5" x14ac:dyDescent="0.25">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5" x14ac:dyDescent="0.25">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5" x14ac:dyDescent="0.25">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5" x14ac:dyDescent="0.25">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56.25" x14ac:dyDescent="0.25">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56.25" x14ac:dyDescent="0.25">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5" x14ac:dyDescent="0.25">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56.25" x14ac:dyDescent="0.25">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5" x14ac:dyDescent="0.25">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5" x14ac:dyDescent="0.25">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56.25" x14ac:dyDescent="0.25">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56.25" x14ac:dyDescent="0.25">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3.75" x14ac:dyDescent="0.25">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3.75" x14ac:dyDescent="0.25">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3.75" x14ac:dyDescent="0.25">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3.75" x14ac:dyDescent="0.25">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3.75" x14ac:dyDescent="0.25">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3.75" x14ac:dyDescent="0.25">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3.75" x14ac:dyDescent="0.25">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3.75" x14ac:dyDescent="0.25">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3.75" x14ac:dyDescent="0.25">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3.75" x14ac:dyDescent="0.25">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3.75" x14ac:dyDescent="0.25">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3.75" x14ac:dyDescent="0.25">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3.75" x14ac:dyDescent="0.25">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3.75" x14ac:dyDescent="0.25">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3.75" x14ac:dyDescent="0.25">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3.75" x14ac:dyDescent="0.25">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3.75" x14ac:dyDescent="0.25">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3.75" x14ac:dyDescent="0.25">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3.75" x14ac:dyDescent="0.25">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3.75" x14ac:dyDescent="0.25">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3.75" x14ac:dyDescent="0.25">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3.75" x14ac:dyDescent="0.25">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3.75" x14ac:dyDescent="0.25">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3.75" x14ac:dyDescent="0.25">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3.75" x14ac:dyDescent="0.25">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3.75" x14ac:dyDescent="0.25">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3.75" x14ac:dyDescent="0.25">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3.75" x14ac:dyDescent="0.25">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3.75" x14ac:dyDescent="0.25">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3.75" x14ac:dyDescent="0.25">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3.75" x14ac:dyDescent="0.25">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3.75" x14ac:dyDescent="0.25">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3.75" x14ac:dyDescent="0.25">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3.75" x14ac:dyDescent="0.25">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3.75" x14ac:dyDescent="0.25">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3.75" x14ac:dyDescent="0.25">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3.75" x14ac:dyDescent="0.25">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3.75" x14ac:dyDescent="0.25">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3.75" x14ac:dyDescent="0.25">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3.75" x14ac:dyDescent="0.25">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3.75" x14ac:dyDescent="0.25">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3.75" x14ac:dyDescent="0.25">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3.75" x14ac:dyDescent="0.25">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3.75" x14ac:dyDescent="0.25">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3.75" x14ac:dyDescent="0.25">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3.75" x14ac:dyDescent="0.25">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3.75" x14ac:dyDescent="0.25">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3.75" x14ac:dyDescent="0.25">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3.75" x14ac:dyDescent="0.25">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3.75" x14ac:dyDescent="0.25">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3.75" x14ac:dyDescent="0.25">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3.75" x14ac:dyDescent="0.25">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3.75" x14ac:dyDescent="0.25">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3.75" x14ac:dyDescent="0.25">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3.75" x14ac:dyDescent="0.25">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3.75" x14ac:dyDescent="0.25">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3.75" x14ac:dyDescent="0.25">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3.75" x14ac:dyDescent="0.25">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3.75" x14ac:dyDescent="0.25">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3.75" x14ac:dyDescent="0.25">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3.75" x14ac:dyDescent="0.25">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3.75" x14ac:dyDescent="0.25">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3.75" x14ac:dyDescent="0.25">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3.75" x14ac:dyDescent="0.25">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3.75" x14ac:dyDescent="0.25">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3.75" x14ac:dyDescent="0.25">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3.75" x14ac:dyDescent="0.25">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3.75" x14ac:dyDescent="0.25">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3.75" x14ac:dyDescent="0.25">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3.75" x14ac:dyDescent="0.25">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3.75" x14ac:dyDescent="0.25">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3.75" x14ac:dyDescent="0.25">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ht="22.5" x14ac:dyDescent="0.25">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ht="22.5" x14ac:dyDescent="0.25">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ht="22.5" x14ac:dyDescent="0.25">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ht="22.5" x14ac:dyDescent="0.25">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ht="22.5" x14ac:dyDescent="0.25">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ht="22.5" x14ac:dyDescent="0.25">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ht="22.5" x14ac:dyDescent="0.25">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ht="22.5" x14ac:dyDescent="0.25">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ht="22.5" x14ac:dyDescent="0.25">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2.5" x14ac:dyDescent="0.25">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2.5" x14ac:dyDescent="0.25">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ht="22.5" x14ac:dyDescent="0.25">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ht="22.5" x14ac:dyDescent="0.25">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2.5" x14ac:dyDescent="0.25">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2.5" x14ac:dyDescent="0.25">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2.5" x14ac:dyDescent="0.25">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2.5" x14ac:dyDescent="0.25">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2.5" x14ac:dyDescent="0.25">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2.5" x14ac:dyDescent="0.25">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2.5" x14ac:dyDescent="0.25">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2.5" x14ac:dyDescent="0.25">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2.5" x14ac:dyDescent="0.25">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2.5" x14ac:dyDescent="0.25">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ht="22.5" x14ac:dyDescent="0.25">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ht="22.5" x14ac:dyDescent="0.25">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ht="22.5" x14ac:dyDescent="0.25">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ht="22.5" x14ac:dyDescent="0.25">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ht="22.5" x14ac:dyDescent="0.25">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2.5" x14ac:dyDescent="0.25">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2.5" x14ac:dyDescent="0.25">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2.5" x14ac:dyDescent="0.25">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2.5" x14ac:dyDescent="0.25">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2.5" x14ac:dyDescent="0.25">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2.5" x14ac:dyDescent="0.25">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2.5" x14ac:dyDescent="0.25">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2.5" x14ac:dyDescent="0.25">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2.5" x14ac:dyDescent="0.25">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2.5" x14ac:dyDescent="0.25">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2.5" x14ac:dyDescent="0.25">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2.5" x14ac:dyDescent="0.25">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2.5" x14ac:dyDescent="0.25">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2.5" x14ac:dyDescent="0.25">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2.5" x14ac:dyDescent="0.25">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2.5" x14ac:dyDescent="0.25">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2.5" x14ac:dyDescent="0.25">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2.5" x14ac:dyDescent="0.25">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2.5" x14ac:dyDescent="0.25">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2.5" x14ac:dyDescent="0.25">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2.5" x14ac:dyDescent="0.25">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2.5" x14ac:dyDescent="0.25">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2.5" x14ac:dyDescent="0.25">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2.5" x14ac:dyDescent="0.25">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2.5" x14ac:dyDescent="0.25">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2.5" x14ac:dyDescent="0.25">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2.5" x14ac:dyDescent="0.25">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2.5" x14ac:dyDescent="0.25">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2.5" x14ac:dyDescent="0.25">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2.5" x14ac:dyDescent="0.25">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2.5" x14ac:dyDescent="0.25">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ht="22.5" x14ac:dyDescent="0.25">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2.5" x14ac:dyDescent="0.25">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2.5" x14ac:dyDescent="0.25">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2.5" x14ac:dyDescent="0.25">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ht="22.5" x14ac:dyDescent="0.25">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ht="22.5" x14ac:dyDescent="0.25">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2.5" x14ac:dyDescent="0.25">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2.5" x14ac:dyDescent="0.25">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ht="22.5" x14ac:dyDescent="0.25">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2.5" x14ac:dyDescent="0.25">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ht="22.5" x14ac:dyDescent="0.25">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ht="22.5" x14ac:dyDescent="0.25">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ht="22.5" x14ac:dyDescent="0.25">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2.5" x14ac:dyDescent="0.25">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2.5" x14ac:dyDescent="0.25">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2.5" x14ac:dyDescent="0.25">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2.5" x14ac:dyDescent="0.25">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2.5" x14ac:dyDescent="0.25">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ht="22.5" x14ac:dyDescent="0.25">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ht="22.5" x14ac:dyDescent="0.25">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ht="22.5" x14ac:dyDescent="0.25">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2.5" x14ac:dyDescent="0.25">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2.5" x14ac:dyDescent="0.25">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2.5" x14ac:dyDescent="0.25">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2.5" x14ac:dyDescent="0.25">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2.5" x14ac:dyDescent="0.25">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2.5" x14ac:dyDescent="0.25">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2.5" x14ac:dyDescent="0.25">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2.5" x14ac:dyDescent="0.25">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2.5" x14ac:dyDescent="0.25">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ht="22.5" x14ac:dyDescent="0.25">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ht="22.5" x14ac:dyDescent="0.25">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2.5" x14ac:dyDescent="0.25">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2.5" x14ac:dyDescent="0.25">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2.5" x14ac:dyDescent="0.25">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2.5" x14ac:dyDescent="0.25">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2.5" x14ac:dyDescent="0.25">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2.5" x14ac:dyDescent="0.25">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2.5" x14ac:dyDescent="0.25">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2.5" x14ac:dyDescent="0.25">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2.5" x14ac:dyDescent="0.25">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2.5" x14ac:dyDescent="0.25">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ht="22.5" x14ac:dyDescent="0.25">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2.5" x14ac:dyDescent="0.25">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2.5" x14ac:dyDescent="0.25">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2.5" x14ac:dyDescent="0.25">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2.5" x14ac:dyDescent="0.25">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ht="22.5" x14ac:dyDescent="0.25">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2.5" x14ac:dyDescent="0.25">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ht="22.5" x14ac:dyDescent="0.25">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2.5" x14ac:dyDescent="0.25">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2.5" x14ac:dyDescent="0.25">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ht="22.5" x14ac:dyDescent="0.25">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2.5" x14ac:dyDescent="0.25">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ht="22.5" x14ac:dyDescent="0.25">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ht="22.5" x14ac:dyDescent="0.25">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2.5" x14ac:dyDescent="0.25">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ht="22.5" x14ac:dyDescent="0.25">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2.5" x14ac:dyDescent="0.25">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2.5" x14ac:dyDescent="0.25">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2.5" x14ac:dyDescent="0.25">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2.5" x14ac:dyDescent="0.25">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2.5" x14ac:dyDescent="0.25">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2.5" x14ac:dyDescent="0.25">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2.5" x14ac:dyDescent="0.25">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2.5" x14ac:dyDescent="0.25">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2.5" x14ac:dyDescent="0.25">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2.5" x14ac:dyDescent="0.25">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2.5" x14ac:dyDescent="0.25">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2.5" x14ac:dyDescent="0.25">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2.5" x14ac:dyDescent="0.25">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2.5" x14ac:dyDescent="0.25">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2.5" x14ac:dyDescent="0.25">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2.5" x14ac:dyDescent="0.25">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2.5" x14ac:dyDescent="0.25">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2.5" x14ac:dyDescent="0.25">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2.5" x14ac:dyDescent="0.25">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2.5" x14ac:dyDescent="0.25">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2.5" x14ac:dyDescent="0.25">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2.5" x14ac:dyDescent="0.25">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2.5" x14ac:dyDescent="0.25">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2.5" x14ac:dyDescent="0.25">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2.5" x14ac:dyDescent="0.25">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2.5" x14ac:dyDescent="0.25">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2.5" x14ac:dyDescent="0.25">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2.5" x14ac:dyDescent="0.25">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2.5" x14ac:dyDescent="0.25">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2.5" x14ac:dyDescent="0.25">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2.5" x14ac:dyDescent="0.25">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2.5" x14ac:dyDescent="0.25">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2.5" x14ac:dyDescent="0.25">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2.5" x14ac:dyDescent="0.25">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2.5" x14ac:dyDescent="0.25">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2.5" x14ac:dyDescent="0.25">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2.5" x14ac:dyDescent="0.25">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2.5" x14ac:dyDescent="0.25">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2.5" x14ac:dyDescent="0.25">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2.5" x14ac:dyDescent="0.25">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2.5" x14ac:dyDescent="0.25">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2.5" x14ac:dyDescent="0.25">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2.5" x14ac:dyDescent="0.25">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2.5" x14ac:dyDescent="0.25">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2.5" x14ac:dyDescent="0.25">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2.5" x14ac:dyDescent="0.25">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2.5" x14ac:dyDescent="0.25">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2.5" x14ac:dyDescent="0.25">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2.5" x14ac:dyDescent="0.25">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2.5" x14ac:dyDescent="0.25">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2.5" x14ac:dyDescent="0.25">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2.5" x14ac:dyDescent="0.25">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2.5" x14ac:dyDescent="0.25">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2.5" x14ac:dyDescent="0.25">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2.5" x14ac:dyDescent="0.25">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2.5" x14ac:dyDescent="0.25">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2.5" x14ac:dyDescent="0.25">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2.5" x14ac:dyDescent="0.25">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2.5" x14ac:dyDescent="0.25">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2.5" x14ac:dyDescent="0.25">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2.5" x14ac:dyDescent="0.25">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2.5" x14ac:dyDescent="0.25">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2.5" x14ac:dyDescent="0.25">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2.5" x14ac:dyDescent="0.25">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2.5" x14ac:dyDescent="0.25">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2.5" x14ac:dyDescent="0.25">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2.5" x14ac:dyDescent="0.25">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2.5" x14ac:dyDescent="0.25">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2.5" x14ac:dyDescent="0.25">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2.5" x14ac:dyDescent="0.25">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2.5" x14ac:dyDescent="0.25">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2.5" x14ac:dyDescent="0.25">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2.5" x14ac:dyDescent="0.25">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2.5" x14ac:dyDescent="0.25">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2.5" x14ac:dyDescent="0.25">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2.5" x14ac:dyDescent="0.25">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2.5" x14ac:dyDescent="0.25">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2.5" x14ac:dyDescent="0.25">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2.5" x14ac:dyDescent="0.25">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2.5" x14ac:dyDescent="0.25">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2.5" x14ac:dyDescent="0.25">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2.5" x14ac:dyDescent="0.25">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2.5" x14ac:dyDescent="0.25">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2.5" x14ac:dyDescent="0.25">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2.5" x14ac:dyDescent="0.25">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2.5" x14ac:dyDescent="0.25">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2.5" x14ac:dyDescent="0.25">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2.5" x14ac:dyDescent="0.25">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2.5" x14ac:dyDescent="0.25">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2.5" x14ac:dyDescent="0.25">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2.5" x14ac:dyDescent="0.25">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2.5" x14ac:dyDescent="0.25">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2.5" x14ac:dyDescent="0.25">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2.5" x14ac:dyDescent="0.25">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2.5" x14ac:dyDescent="0.25">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2.5" x14ac:dyDescent="0.25">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2.5" x14ac:dyDescent="0.25">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2.5" x14ac:dyDescent="0.25">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2.5" x14ac:dyDescent="0.25">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2.5" x14ac:dyDescent="0.25">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2.5" x14ac:dyDescent="0.25">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2.5" x14ac:dyDescent="0.25">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2.5" x14ac:dyDescent="0.25">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2.5" x14ac:dyDescent="0.25">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2.5" x14ac:dyDescent="0.25">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2.5" x14ac:dyDescent="0.25">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2.5" x14ac:dyDescent="0.25">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2.5" x14ac:dyDescent="0.25">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2.5" x14ac:dyDescent="0.25">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2.5" x14ac:dyDescent="0.25">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2.5" x14ac:dyDescent="0.25">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2.5" x14ac:dyDescent="0.25">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2.5" x14ac:dyDescent="0.25">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2.5" x14ac:dyDescent="0.25">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2.5" x14ac:dyDescent="0.25">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2.5" x14ac:dyDescent="0.25">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2.5" x14ac:dyDescent="0.25">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2.5" x14ac:dyDescent="0.25">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2.5" x14ac:dyDescent="0.25">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2.5" x14ac:dyDescent="0.25">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2.5" x14ac:dyDescent="0.25">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2.5" x14ac:dyDescent="0.25">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2.5" x14ac:dyDescent="0.25">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2.5" x14ac:dyDescent="0.25">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2.5" x14ac:dyDescent="0.25">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2.5" x14ac:dyDescent="0.25">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2.5" x14ac:dyDescent="0.25">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2.5" x14ac:dyDescent="0.25">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2.5" x14ac:dyDescent="0.25">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2.5" x14ac:dyDescent="0.25">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2.5" x14ac:dyDescent="0.25">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2.5" x14ac:dyDescent="0.25">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2.5" x14ac:dyDescent="0.25">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2.5" x14ac:dyDescent="0.25">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2.5" x14ac:dyDescent="0.25">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2.5" x14ac:dyDescent="0.25">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2.5" x14ac:dyDescent="0.25">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2.5" x14ac:dyDescent="0.25">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2.5" x14ac:dyDescent="0.25">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2.5" x14ac:dyDescent="0.25">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2.5" x14ac:dyDescent="0.25">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2.5" x14ac:dyDescent="0.25">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2.5" x14ac:dyDescent="0.25">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2.5" x14ac:dyDescent="0.25">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2.5" x14ac:dyDescent="0.25">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2.5" x14ac:dyDescent="0.25">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2.5" x14ac:dyDescent="0.25">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2.5" x14ac:dyDescent="0.25">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2.5" x14ac:dyDescent="0.25">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2.5" x14ac:dyDescent="0.25">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2.5" x14ac:dyDescent="0.25">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2.5" x14ac:dyDescent="0.25">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2.5" x14ac:dyDescent="0.25">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2.5" x14ac:dyDescent="0.25">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2.5" x14ac:dyDescent="0.25">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2.5" x14ac:dyDescent="0.25">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2.5" x14ac:dyDescent="0.25">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2.5" x14ac:dyDescent="0.25">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2.5" x14ac:dyDescent="0.25">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2.5" x14ac:dyDescent="0.25">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2.5" x14ac:dyDescent="0.25">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2.5" x14ac:dyDescent="0.25">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2.5" x14ac:dyDescent="0.25">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2.5" x14ac:dyDescent="0.25">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2.5" x14ac:dyDescent="0.25">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2.5" x14ac:dyDescent="0.25">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2.5" x14ac:dyDescent="0.25">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2.5" x14ac:dyDescent="0.25">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2.5" x14ac:dyDescent="0.25">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2.5" x14ac:dyDescent="0.25">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2.5" x14ac:dyDescent="0.25">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2.5" x14ac:dyDescent="0.25">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2.5" x14ac:dyDescent="0.25">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2.5" x14ac:dyDescent="0.25">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2.5" x14ac:dyDescent="0.25">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2.5" x14ac:dyDescent="0.25">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2.5" x14ac:dyDescent="0.25">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2.5" x14ac:dyDescent="0.25">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2.5" x14ac:dyDescent="0.25">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2.5" x14ac:dyDescent="0.25">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2.5" x14ac:dyDescent="0.25">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2.5" x14ac:dyDescent="0.25">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2.5" x14ac:dyDescent="0.25">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2.5" x14ac:dyDescent="0.25">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2.5" x14ac:dyDescent="0.25">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2.5" x14ac:dyDescent="0.25">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2.5" x14ac:dyDescent="0.25">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2.5" x14ac:dyDescent="0.25">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2.5" x14ac:dyDescent="0.25">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2.5" x14ac:dyDescent="0.25">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2.5" x14ac:dyDescent="0.25">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2.5" x14ac:dyDescent="0.25">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2.5" x14ac:dyDescent="0.25">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2.5" x14ac:dyDescent="0.25">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2.5" x14ac:dyDescent="0.25">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2.5" x14ac:dyDescent="0.25">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2.5" x14ac:dyDescent="0.25">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2.5" x14ac:dyDescent="0.25">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2.5" x14ac:dyDescent="0.25">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2.5" x14ac:dyDescent="0.25">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2.5" x14ac:dyDescent="0.25">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2.5" x14ac:dyDescent="0.25">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2.5" x14ac:dyDescent="0.25">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2.5" x14ac:dyDescent="0.25">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2.5" x14ac:dyDescent="0.25">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2.5" x14ac:dyDescent="0.25">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2.5" x14ac:dyDescent="0.25">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2.5" x14ac:dyDescent="0.25">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2.5" x14ac:dyDescent="0.25">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2.5" x14ac:dyDescent="0.25">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2.5" x14ac:dyDescent="0.25">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2.5" x14ac:dyDescent="0.25">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2.5" x14ac:dyDescent="0.25">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2.5" x14ac:dyDescent="0.25">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2.5" x14ac:dyDescent="0.25">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2.5" x14ac:dyDescent="0.25">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2.5" x14ac:dyDescent="0.25">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2.5" x14ac:dyDescent="0.25">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2.5" x14ac:dyDescent="0.25">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2.5" x14ac:dyDescent="0.25">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2.5" x14ac:dyDescent="0.25">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2.5" x14ac:dyDescent="0.25">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2.5" x14ac:dyDescent="0.25">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2.5" x14ac:dyDescent="0.25">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2.5" x14ac:dyDescent="0.25">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2.5" x14ac:dyDescent="0.25">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2.5" x14ac:dyDescent="0.25">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2.5" x14ac:dyDescent="0.25">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2.5" x14ac:dyDescent="0.25">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2.5" x14ac:dyDescent="0.25">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2.5" x14ac:dyDescent="0.25">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2.5" x14ac:dyDescent="0.25">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2.5" x14ac:dyDescent="0.25">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2.5" x14ac:dyDescent="0.25">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2.5" x14ac:dyDescent="0.25">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2.5" x14ac:dyDescent="0.25">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2.5" x14ac:dyDescent="0.25">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2.5" x14ac:dyDescent="0.25">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2.5" x14ac:dyDescent="0.25">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2.5" x14ac:dyDescent="0.25">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2.5" x14ac:dyDescent="0.25">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2.5" x14ac:dyDescent="0.25">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2.5" x14ac:dyDescent="0.25">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2.5" x14ac:dyDescent="0.25">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2.5" x14ac:dyDescent="0.25">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2.5" x14ac:dyDescent="0.25">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2.5" x14ac:dyDescent="0.25">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2.5" x14ac:dyDescent="0.25">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2.5" x14ac:dyDescent="0.25">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2.5" x14ac:dyDescent="0.25">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2.5" x14ac:dyDescent="0.25">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2.5" x14ac:dyDescent="0.25">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2.5" x14ac:dyDescent="0.25">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2.5" x14ac:dyDescent="0.25">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2.5" x14ac:dyDescent="0.25">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2.5" x14ac:dyDescent="0.25">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2.5" x14ac:dyDescent="0.25">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2.5" x14ac:dyDescent="0.25">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2.5" x14ac:dyDescent="0.25">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2.5" x14ac:dyDescent="0.25">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2.5" x14ac:dyDescent="0.25">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2.5" x14ac:dyDescent="0.25">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2.5" x14ac:dyDescent="0.25">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2.5" x14ac:dyDescent="0.25">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2.5" x14ac:dyDescent="0.25">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2.5" x14ac:dyDescent="0.25">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2.5" x14ac:dyDescent="0.25">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2.5" x14ac:dyDescent="0.25">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2.5" x14ac:dyDescent="0.25">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2.5" x14ac:dyDescent="0.25">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2.5" x14ac:dyDescent="0.25">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2.5" x14ac:dyDescent="0.25">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2.5" x14ac:dyDescent="0.25">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2.5" x14ac:dyDescent="0.25">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2.5" x14ac:dyDescent="0.25">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2.5" x14ac:dyDescent="0.25">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2.5" x14ac:dyDescent="0.25">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2.5" x14ac:dyDescent="0.25">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2.5" x14ac:dyDescent="0.25">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2.5" x14ac:dyDescent="0.25">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2.5" x14ac:dyDescent="0.25">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2.5" x14ac:dyDescent="0.25">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2.5" x14ac:dyDescent="0.25">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2.5" x14ac:dyDescent="0.25">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2.5" x14ac:dyDescent="0.25">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2.5" x14ac:dyDescent="0.25">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2.5" x14ac:dyDescent="0.25">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2.5" x14ac:dyDescent="0.25">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2.5" x14ac:dyDescent="0.25">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2.5" x14ac:dyDescent="0.25">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2.5" x14ac:dyDescent="0.25">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2.5" x14ac:dyDescent="0.25">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2.5" x14ac:dyDescent="0.25">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2.5" x14ac:dyDescent="0.25">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2.5" x14ac:dyDescent="0.25">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2.5" x14ac:dyDescent="0.25">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2.5" x14ac:dyDescent="0.25">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2.5" x14ac:dyDescent="0.25">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2.5" x14ac:dyDescent="0.25">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2.5" x14ac:dyDescent="0.25">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2.5" x14ac:dyDescent="0.25">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2.5" x14ac:dyDescent="0.25">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2.5" x14ac:dyDescent="0.25">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2.5" x14ac:dyDescent="0.25">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2.5" x14ac:dyDescent="0.25">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2.5" x14ac:dyDescent="0.25">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2.5" x14ac:dyDescent="0.25">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2.5" x14ac:dyDescent="0.25">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2.5" x14ac:dyDescent="0.25">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2.5" x14ac:dyDescent="0.25">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2.5" x14ac:dyDescent="0.25">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2.5" x14ac:dyDescent="0.25">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2.5" x14ac:dyDescent="0.25">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2.5" x14ac:dyDescent="0.25">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2.5" x14ac:dyDescent="0.25">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2.5" x14ac:dyDescent="0.25">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2.5" x14ac:dyDescent="0.25">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2.5" x14ac:dyDescent="0.25">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2.5" x14ac:dyDescent="0.25">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2.5" x14ac:dyDescent="0.25">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2.5" x14ac:dyDescent="0.25">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2.5" x14ac:dyDescent="0.25">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2.5" x14ac:dyDescent="0.25">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2.5" x14ac:dyDescent="0.25">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2.5" x14ac:dyDescent="0.25">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2.5" x14ac:dyDescent="0.25">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2.5" x14ac:dyDescent="0.25">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2.5" x14ac:dyDescent="0.25">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2.5" x14ac:dyDescent="0.25">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2.5" x14ac:dyDescent="0.25">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2.5" x14ac:dyDescent="0.25">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2.5" x14ac:dyDescent="0.25">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2.5" x14ac:dyDescent="0.25">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2.5" x14ac:dyDescent="0.25">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2.5" x14ac:dyDescent="0.25">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2.5" x14ac:dyDescent="0.25">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2.5" x14ac:dyDescent="0.25">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2.5" x14ac:dyDescent="0.25">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2.5" x14ac:dyDescent="0.25">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2.5" x14ac:dyDescent="0.25">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2.5" x14ac:dyDescent="0.25">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2.5" x14ac:dyDescent="0.25">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2.5" x14ac:dyDescent="0.25">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2.5" x14ac:dyDescent="0.25">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2.5" x14ac:dyDescent="0.25">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2.5" x14ac:dyDescent="0.25">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2.5" x14ac:dyDescent="0.25">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2.5" x14ac:dyDescent="0.25">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2.5" x14ac:dyDescent="0.25">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2.5" x14ac:dyDescent="0.25">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2.5" x14ac:dyDescent="0.25">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2.5" x14ac:dyDescent="0.25">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2.5" x14ac:dyDescent="0.25">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2.5" x14ac:dyDescent="0.25">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2.5" x14ac:dyDescent="0.25">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2.5" x14ac:dyDescent="0.25">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2.5" x14ac:dyDescent="0.25">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2.5" x14ac:dyDescent="0.25">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2.5" x14ac:dyDescent="0.25">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2.5" x14ac:dyDescent="0.25">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2.5" x14ac:dyDescent="0.25">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2.5" x14ac:dyDescent="0.25">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2.5" x14ac:dyDescent="0.25">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2.5" x14ac:dyDescent="0.25">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2.5" x14ac:dyDescent="0.25">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2.5" x14ac:dyDescent="0.25">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2.5" x14ac:dyDescent="0.25">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2.5" x14ac:dyDescent="0.25">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2.5" x14ac:dyDescent="0.25">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2.5" x14ac:dyDescent="0.25">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2.5" x14ac:dyDescent="0.25">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2.5" x14ac:dyDescent="0.25">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2.5" x14ac:dyDescent="0.25">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2.5" x14ac:dyDescent="0.25">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25">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2.5" x14ac:dyDescent="0.25">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2.5" x14ac:dyDescent="0.25">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2.5" x14ac:dyDescent="0.25">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2.5" x14ac:dyDescent="0.25">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2.5" x14ac:dyDescent="0.25">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2.5" x14ac:dyDescent="0.25">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2.5" x14ac:dyDescent="0.25">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2.5" x14ac:dyDescent="0.25">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2.5" x14ac:dyDescent="0.25">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2.5" x14ac:dyDescent="0.25">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2.5" x14ac:dyDescent="0.25">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2.5" x14ac:dyDescent="0.25">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2.5" x14ac:dyDescent="0.25">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2.5" x14ac:dyDescent="0.25">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2.5" x14ac:dyDescent="0.25">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2.5" x14ac:dyDescent="0.25">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2.5" x14ac:dyDescent="0.25">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2.5" x14ac:dyDescent="0.25">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2.5" x14ac:dyDescent="0.25">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2.5" x14ac:dyDescent="0.25">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2.5" x14ac:dyDescent="0.25">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2.5" x14ac:dyDescent="0.25">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2.5" x14ac:dyDescent="0.25">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2.5" x14ac:dyDescent="0.25">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2.5" x14ac:dyDescent="0.25">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2.5" x14ac:dyDescent="0.25">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2.5" x14ac:dyDescent="0.25">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2.5" x14ac:dyDescent="0.25">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2.5" x14ac:dyDescent="0.25">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2.5" x14ac:dyDescent="0.25">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2.5" x14ac:dyDescent="0.25">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2.5" x14ac:dyDescent="0.25">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2.5" x14ac:dyDescent="0.25">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2.5" x14ac:dyDescent="0.25">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2.5" x14ac:dyDescent="0.25">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2.5" x14ac:dyDescent="0.25">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2.5" x14ac:dyDescent="0.25">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2.5" x14ac:dyDescent="0.25">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2.5" x14ac:dyDescent="0.25">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2.5" x14ac:dyDescent="0.25">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2.5" x14ac:dyDescent="0.25">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2.5" x14ac:dyDescent="0.25">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2.5" x14ac:dyDescent="0.25">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2.5" x14ac:dyDescent="0.25">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2.5" x14ac:dyDescent="0.25">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2.5" x14ac:dyDescent="0.25">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2.5" x14ac:dyDescent="0.25">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2.5" x14ac:dyDescent="0.25">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2.5" x14ac:dyDescent="0.25">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2.5" x14ac:dyDescent="0.25">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2.5" x14ac:dyDescent="0.25">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2.5" x14ac:dyDescent="0.25">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2.5" x14ac:dyDescent="0.25">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2.5" x14ac:dyDescent="0.25">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2.5" x14ac:dyDescent="0.25">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2.5" x14ac:dyDescent="0.25">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2.5" x14ac:dyDescent="0.25">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2.5" x14ac:dyDescent="0.25">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2.5" x14ac:dyDescent="0.25">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2.5" x14ac:dyDescent="0.25">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2.5" x14ac:dyDescent="0.25">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2.5" x14ac:dyDescent="0.25">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2.5" x14ac:dyDescent="0.25">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2.5" x14ac:dyDescent="0.25">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2.5" x14ac:dyDescent="0.25">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2.5" x14ac:dyDescent="0.25">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2.5" x14ac:dyDescent="0.25">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2.5" x14ac:dyDescent="0.25">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2.5" x14ac:dyDescent="0.25">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2.5" x14ac:dyDescent="0.25">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2.5" x14ac:dyDescent="0.25">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2.5" x14ac:dyDescent="0.25">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2.5" x14ac:dyDescent="0.25">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2.5" x14ac:dyDescent="0.25">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2.5" x14ac:dyDescent="0.25">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2.5" x14ac:dyDescent="0.25">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2.5" x14ac:dyDescent="0.25">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2.5" x14ac:dyDescent="0.25">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2.5" x14ac:dyDescent="0.25">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2.5" x14ac:dyDescent="0.25">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2.5" x14ac:dyDescent="0.25">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2.5" x14ac:dyDescent="0.25">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2.5" x14ac:dyDescent="0.25">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2.5" x14ac:dyDescent="0.25">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2.5" x14ac:dyDescent="0.25">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2.5" x14ac:dyDescent="0.25">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2.5" x14ac:dyDescent="0.25">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2.5" x14ac:dyDescent="0.25">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2.5" x14ac:dyDescent="0.25">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2.5" x14ac:dyDescent="0.25">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2.5" x14ac:dyDescent="0.25">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2.5" x14ac:dyDescent="0.25">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2.5" x14ac:dyDescent="0.25">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2.5" x14ac:dyDescent="0.25">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2.5" x14ac:dyDescent="0.25">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2.5" x14ac:dyDescent="0.25">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2.5" x14ac:dyDescent="0.25">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2.5" x14ac:dyDescent="0.25">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2.5" x14ac:dyDescent="0.25">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2.5" x14ac:dyDescent="0.25">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2.5" x14ac:dyDescent="0.25">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2.5" x14ac:dyDescent="0.25">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2.5" x14ac:dyDescent="0.25">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2.5" x14ac:dyDescent="0.25">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2.5" x14ac:dyDescent="0.25">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2.5" x14ac:dyDescent="0.25">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2.5" x14ac:dyDescent="0.25">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2.5" x14ac:dyDescent="0.25">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2.5" x14ac:dyDescent="0.25">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2.5" x14ac:dyDescent="0.25">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2.5" x14ac:dyDescent="0.25">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2.5" x14ac:dyDescent="0.25">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2.5" x14ac:dyDescent="0.25">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2.5" x14ac:dyDescent="0.25">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2.5" x14ac:dyDescent="0.25">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2.5" x14ac:dyDescent="0.25">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2.5" x14ac:dyDescent="0.25">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2.5" x14ac:dyDescent="0.25">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2.5" x14ac:dyDescent="0.25">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2.5" x14ac:dyDescent="0.25">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2.5" x14ac:dyDescent="0.25">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2.5" x14ac:dyDescent="0.25">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2.5" x14ac:dyDescent="0.25">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2.5" x14ac:dyDescent="0.25">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2.5" x14ac:dyDescent="0.25">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2.5" x14ac:dyDescent="0.25">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2.5" x14ac:dyDescent="0.25">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2.5" x14ac:dyDescent="0.25">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2.5" x14ac:dyDescent="0.25">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2.5" x14ac:dyDescent="0.25">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2.5" x14ac:dyDescent="0.25">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2.5" x14ac:dyDescent="0.25">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2.5" x14ac:dyDescent="0.25">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2.5" x14ac:dyDescent="0.25">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2.5" x14ac:dyDescent="0.25">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2.5" x14ac:dyDescent="0.25">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2.5" x14ac:dyDescent="0.25">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2.5" x14ac:dyDescent="0.25">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2.5" x14ac:dyDescent="0.25">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2.5" x14ac:dyDescent="0.25">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2.5" x14ac:dyDescent="0.25">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2.5" x14ac:dyDescent="0.25">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2.5" x14ac:dyDescent="0.25">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2.5" x14ac:dyDescent="0.25">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2.5" x14ac:dyDescent="0.25">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2.5" x14ac:dyDescent="0.25">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2.5" x14ac:dyDescent="0.25">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2.5" x14ac:dyDescent="0.25">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2.5" x14ac:dyDescent="0.25">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2.5" x14ac:dyDescent="0.25">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2.5" x14ac:dyDescent="0.25">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2.5" x14ac:dyDescent="0.25">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2.5" x14ac:dyDescent="0.25">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2.5" x14ac:dyDescent="0.25">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2.5" x14ac:dyDescent="0.25">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2.5" x14ac:dyDescent="0.25">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2.5" x14ac:dyDescent="0.25">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2.5" x14ac:dyDescent="0.25">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2.5" x14ac:dyDescent="0.25">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2.5" x14ac:dyDescent="0.25">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2.5" x14ac:dyDescent="0.25">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2.5" x14ac:dyDescent="0.25">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2.5" x14ac:dyDescent="0.25">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2.5" x14ac:dyDescent="0.25">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2.5" x14ac:dyDescent="0.25">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2.5" x14ac:dyDescent="0.25">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2.5" x14ac:dyDescent="0.25">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2.5" x14ac:dyDescent="0.25">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2.5" x14ac:dyDescent="0.25">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2.5" x14ac:dyDescent="0.25">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2.5" x14ac:dyDescent="0.25">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2.5" x14ac:dyDescent="0.25">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2.5" x14ac:dyDescent="0.25">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2.5" x14ac:dyDescent="0.25">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2.5" x14ac:dyDescent="0.25">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2.5" x14ac:dyDescent="0.25">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2.5" x14ac:dyDescent="0.25">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2.5" x14ac:dyDescent="0.25">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2.5" x14ac:dyDescent="0.25">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2.5" x14ac:dyDescent="0.25">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2.5" x14ac:dyDescent="0.25">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2.5" x14ac:dyDescent="0.25">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2.5" x14ac:dyDescent="0.25">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2.5" x14ac:dyDescent="0.25">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2.5" x14ac:dyDescent="0.25">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2.5" x14ac:dyDescent="0.25">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2.5" x14ac:dyDescent="0.25">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2.5" x14ac:dyDescent="0.25">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2.5" x14ac:dyDescent="0.25">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2.5" x14ac:dyDescent="0.25">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2.5" x14ac:dyDescent="0.25">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2.5" x14ac:dyDescent="0.25">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2.5" x14ac:dyDescent="0.25">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2.5" x14ac:dyDescent="0.25">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2.5" x14ac:dyDescent="0.25">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2.5" x14ac:dyDescent="0.25">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2.5" x14ac:dyDescent="0.25">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2.5" x14ac:dyDescent="0.25">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2.5" x14ac:dyDescent="0.25">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2.5" x14ac:dyDescent="0.25">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2.5" x14ac:dyDescent="0.25">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2.5" x14ac:dyDescent="0.25">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2.5" x14ac:dyDescent="0.25">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2.5" x14ac:dyDescent="0.25">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2.5" x14ac:dyDescent="0.25">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2.5" x14ac:dyDescent="0.25">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2.5" x14ac:dyDescent="0.25">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2.5" x14ac:dyDescent="0.25">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2.5" x14ac:dyDescent="0.25">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2.5" x14ac:dyDescent="0.25">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2.5" x14ac:dyDescent="0.25">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2.5" x14ac:dyDescent="0.25">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2.5" x14ac:dyDescent="0.25">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2.5" x14ac:dyDescent="0.25">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2.5" x14ac:dyDescent="0.25">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2.5" x14ac:dyDescent="0.25">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2.5" x14ac:dyDescent="0.25">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2.5" x14ac:dyDescent="0.25">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2.5" x14ac:dyDescent="0.25">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2.5" x14ac:dyDescent="0.25">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2.5" x14ac:dyDescent="0.25">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2.5" x14ac:dyDescent="0.25">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2.5" x14ac:dyDescent="0.25">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2.5" x14ac:dyDescent="0.25">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2.5" x14ac:dyDescent="0.25">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2.5" x14ac:dyDescent="0.25">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2.5" x14ac:dyDescent="0.25">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2.5" x14ac:dyDescent="0.25">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2.5" x14ac:dyDescent="0.25">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2.5" x14ac:dyDescent="0.25">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2.5" x14ac:dyDescent="0.25">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2.5" x14ac:dyDescent="0.25">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2.5" x14ac:dyDescent="0.25">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2.5" x14ac:dyDescent="0.25">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2.5" x14ac:dyDescent="0.25">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2.5" x14ac:dyDescent="0.25">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2.5" x14ac:dyDescent="0.25">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2.5" x14ac:dyDescent="0.25">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2.5" x14ac:dyDescent="0.25">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2.5" x14ac:dyDescent="0.25">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2.5" x14ac:dyDescent="0.25">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2.5" x14ac:dyDescent="0.25">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2.5" x14ac:dyDescent="0.25">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2.5" x14ac:dyDescent="0.25">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2.5" x14ac:dyDescent="0.25">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2.5" x14ac:dyDescent="0.25">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2.5" x14ac:dyDescent="0.25">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2.5" x14ac:dyDescent="0.25">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ht="22.5" x14ac:dyDescent="0.25">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2.5" x14ac:dyDescent="0.25">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2.5" x14ac:dyDescent="0.25">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ht="22.5" x14ac:dyDescent="0.25">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2.5" x14ac:dyDescent="0.25">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2.5" x14ac:dyDescent="0.25">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2.5" x14ac:dyDescent="0.25">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2.5" x14ac:dyDescent="0.25">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2.5" x14ac:dyDescent="0.25">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ht="22.5" x14ac:dyDescent="0.25">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2.5" x14ac:dyDescent="0.25">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ht="22.5" x14ac:dyDescent="0.25">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2.5" x14ac:dyDescent="0.25">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2.5" x14ac:dyDescent="0.25">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2.5" x14ac:dyDescent="0.25">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2.5" x14ac:dyDescent="0.25">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ht="22.5" x14ac:dyDescent="0.25">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ht="22.5" x14ac:dyDescent="0.25">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2.5" x14ac:dyDescent="0.25">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2.5" x14ac:dyDescent="0.25">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ht="22.5" x14ac:dyDescent="0.25">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ht="22.5" x14ac:dyDescent="0.25">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2.5" x14ac:dyDescent="0.25">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2.5" x14ac:dyDescent="0.25">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2.5" x14ac:dyDescent="0.25">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2.5" x14ac:dyDescent="0.25">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2.5" x14ac:dyDescent="0.25">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2.5" x14ac:dyDescent="0.25">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2.5" x14ac:dyDescent="0.25">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2.5" x14ac:dyDescent="0.25">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2.5" x14ac:dyDescent="0.25">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2.5" x14ac:dyDescent="0.25">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2.5" x14ac:dyDescent="0.25">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2.5" x14ac:dyDescent="0.25">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2.5" x14ac:dyDescent="0.25">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2.5" x14ac:dyDescent="0.25">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2.5" x14ac:dyDescent="0.25">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2.5" x14ac:dyDescent="0.25">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2.5" x14ac:dyDescent="0.25">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2.5" x14ac:dyDescent="0.25">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2.5" x14ac:dyDescent="0.25">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2.5" x14ac:dyDescent="0.25">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ht="22.5" x14ac:dyDescent="0.25">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2.5" x14ac:dyDescent="0.25">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2.5" x14ac:dyDescent="0.25">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2.5" x14ac:dyDescent="0.25">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2.5" x14ac:dyDescent="0.25">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2.5" x14ac:dyDescent="0.25">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ht="22.5" x14ac:dyDescent="0.25">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2.5" x14ac:dyDescent="0.25">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2.5" x14ac:dyDescent="0.25">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2.5" x14ac:dyDescent="0.25">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2.5" x14ac:dyDescent="0.25">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2.5" x14ac:dyDescent="0.25">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ht="22.5" x14ac:dyDescent="0.25">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ht="22.5" x14ac:dyDescent="0.25">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2.5" x14ac:dyDescent="0.25">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2.5" x14ac:dyDescent="0.25">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2.5" x14ac:dyDescent="0.25">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2.5" x14ac:dyDescent="0.25">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2.5" x14ac:dyDescent="0.25">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2.5" x14ac:dyDescent="0.25">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ht="22.5" x14ac:dyDescent="0.25">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2.5" x14ac:dyDescent="0.25">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2.5" x14ac:dyDescent="0.25">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2.5" x14ac:dyDescent="0.25">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2.5" x14ac:dyDescent="0.25">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ht="22.5" x14ac:dyDescent="0.25">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ht="22.5" x14ac:dyDescent="0.25">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ht="22.5" x14ac:dyDescent="0.25">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ht="22.5" x14ac:dyDescent="0.25">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ht="22.5" x14ac:dyDescent="0.25">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ht="22.5" x14ac:dyDescent="0.25">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ht="22.5" x14ac:dyDescent="0.25">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2.5" x14ac:dyDescent="0.25">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2.5" x14ac:dyDescent="0.25">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2.5" x14ac:dyDescent="0.25">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2.5" x14ac:dyDescent="0.25">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2.5" x14ac:dyDescent="0.25">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2.5" x14ac:dyDescent="0.25">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2.5" x14ac:dyDescent="0.25">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2.5" x14ac:dyDescent="0.25">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2.5" x14ac:dyDescent="0.25">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2.5" x14ac:dyDescent="0.25">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2.5" x14ac:dyDescent="0.25">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2.5" x14ac:dyDescent="0.25">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2.5" x14ac:dyDescent="0.25">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2.5" x14ac:dyDescent="0.25">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2.5" x14ac:dyDescent="0.25">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2.5" x14ac:dyDescent="0.25">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2.5" x14ac:dyDescent="0.25">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2.5" x14ac:dyDescent="0.25">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2.5" x14ac:dyDescent="0.25">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2.5" x14ac:dyDescent="0.25">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2.5" x14ac:dyDescent="0.25">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2.5" x14ac:dyDescent="0.25">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2.5" x14ac:dyDescent="0.25">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2.5" x14ac:dyDescent="0.25">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2.5" x14ac:dyDescent="0.25">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2.5" x14ac:dyDescent="0.25">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2.5" x14ac:dyDescent="0.25">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2.5" x14ac:dyDescent="0.25">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2.5" x14ac:dyDescent="0.25">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2.5" x14ac:dyDescent="0.25">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2.5" x14ac:dyDescent="0.25">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2.5" x14ac:dyDescent="0.25">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2.5" x14ac:dyDescent="0.25">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ht="22.5" x14ac:dyDescent="0.25">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2.5" x14ac:dyDescent="0.25">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2.5" x14ac:dyDescent="0.25">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2.5" x14ac:dyDescent="0.25">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2.5" x14ac:dyDescent="0.25">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2.5" x14ac:dyDescent="0.25">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2.5" x14ac:dyDescent="0.25">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ht="22.5" x14ac:dyDescent="0.25">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2.5" x14ac:dyDescent="0.25">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2.5" x14ac:dyDescent="0.25">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2.5" x14ac:dyDescent="0.25">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2.5" x14ac:dyDescent="0.25">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2.5" x14ac:dyDescent="0.25">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ht="22.5" x14ac:dyDescent="0.25">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2.5" x14ac:dyDescent="0.25">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2.5" x14ac:dyDescent="0.25">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2.5" x14ac:dyDescent="0.25">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2.5" x14ac:dyDescent="0.25">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ht="22.5" x14ac:dyDescent="0.25">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2.5" x14ac:dyDescent="0.25">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2.5" x14ac:dyDescent="0.25">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2.5" x14ac:dyDescent="0.25">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2.5" x14ac:dyDescent="0.25">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2.5" x14ac:dyDescent="0.25">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2.5" x14ac:dyDescent="0.25">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2.5" x14ac:dyDescent="0.25">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2.5" x14ac:dyDescent="0.25">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2.5" x14ac:dyDescent="0.25">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2.5" x14ac:dyDescent="0.25">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2.5" x14ac:dyDescent="0.25">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2.5" x14ac:dyDescent="0.25">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2.5" x14ac:dyDescent="0.25">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2.5" x14ac:dyDescent="0.25">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2.5" x14ac:dyDescent="0.25">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2.5" x14ac:dyDescent="0.25">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2.5" x14ac:dyDescent="0.25">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2.5" x14ac:dyDescent="0.25">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2.5" x14ac:dyDescent="0.25">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2.5" x14ac:dyDescent="0.25">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2.5" x14ac:dyDescent="0.25">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2.5" x14ac:dyDescent="0.25">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2.5" x14ac:dyDescent="0.25">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2.5" x14ac:dyDescent="0.25">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2.5" x14ac:dyDescent="0.25">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2.5" x14ac:dyDescent="0.25">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2.5" x14ac:dyDescent="0.25">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2.5" x14ac:dyDescent="0.25">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2.5" x14ac:dyDescent="0.25">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2.5" x14ac:dyDescent="0.25">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2.5" x14ac:dyDescent="0.25">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2.5" x14ac:dyDescent="0.25">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2.5" x14ac:dyDescent="0.25">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2.5" x14ac:dyDescent="0.25">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2.5" x14ac:dyDescent="0.25">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2.5" x14ac:dyDescent="0.25">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2.5" x14ac:dyDescent="0.25">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2.5" x14ac:dyDescent="0.25">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2.5" x14ac:dyDescent="0.25">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2.5" x14ac:dyDescent="0.25">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2.5" x14ac:dyDescent="0.25">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2.5" x14ac:dyDescent="0.25">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2.5" x14ac:dyDescent="0.25">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2.5" x14ac:dyDescent="0.25">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2.5" x14ac:dyDescent="0.25">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2.5" x14ac:dyDescent="0.25">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2.5" x14ac:dyDescent="0.25">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2.5" x14ac:dyDescent="0.25">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2.5" x14ac:dyDescent="0.25">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2.5" x14ac:dyDescent="0.25">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2.5" x14ac:dyDescent="0.25">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2.5" x14ac:dyDescent="0.25">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2.5" x14ac:dyDescent="0.25">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2.5" x14ac:dyDescent="0.25">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2.5" x14ac:dyDescent="0.25">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2.5" x14ac:dyDescent="0.25">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2.5" x14ac:dyDescent="0.25">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2.5" x14ac:dyDescent="0.25">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2.5" x14ac:dyDescent="0.25">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2.5" x14ac:dyDescent="0.25">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2.5" x14ac:dyDescent="0.25">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2.5" x14ac:dyDescent="0.25">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2.5" x14ac:dyDescent="0.25">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2.5" x14ac:dyDescent="0.25">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2.5" x14ac:dyDescent="0.25">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2.5" x14ac:dyDescent="0.25">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2.5" x14ac:dyDescent="0.25">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2.5" x14ac:dyDescent="0.25">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2.5" x14ac:dyDescent="0.25">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2.5" x14ac:dyDescent="0.25">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2.5" x14ac:dyDescent="0.25">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2.5" x14ac:dyDescent="0.25">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2.5" x14ac:dyDescent="0.25">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2.5" x14ac:dyDescent="0.25">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2.5" x14ac:dyDescent="0.25">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2.5" x14ac:dyDescent="0.25">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2.5" x14ac:dyDescent="0.25">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2.5" x14ac:dyDescent="0.25">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2.5" x14ac:dyDescent="0.25">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2.5" x14ac:dyDescent="0.25">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2.5" x14ac:dyDescent="0.25">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2.5" x14ac:dyDescent="0.25">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2.5" x14ac:dyDescent="0.25">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2.5" x14ac:dyDescent="0.25">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2.5" x14ac:dyDescent="0.25">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2.5" x14ac:dyDescent="0.25">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2.5" x14ac:dyDescent="0.25">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2.5" x14ac:dyDescent="0.25">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2.5" x14ac:dyDescent="0.25">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2.5" x14ac:dyDescent="0.25">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2.5" x14ac:dyDescent="0.25">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2.5" x14ac:dyDescent="0.25">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2.5" x14ac:dyDescent="0.25">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2.5" x14ac:dyDescent="0.25">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2.5" x14ac:dyDescent="0.25">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2.5" x14ac:dyDescent="0.25">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2.5" x14ac:dyDescent="0.25">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2.5" x14ac:dyDescent="0.25">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2.5" x14ac:dyDescent="0.25">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2.5" x14ac:dyDescent="0.25">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2.5" x14ac:dyDescent="0.25">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2.5" x14ac:dyDescent="0.25">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2.5" x14ac:dyDescent="0.25">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2.5" x14ac:dyDescent="0.25">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2.5" x14ac:dyDescent="0.25">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2.5" x14ac:dyDescent="0.25">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2.5" x14ac:dyDescent="0.25">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2.5" x14ac:dyDescent="0.25">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2.5" x14ac:dyDescent="0.25">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2.5" x14ac:dyDescent="0.25">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2.5" x14ac:dyDescent="0.25">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2.5" x14ac:dyDescent="0.25">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2.5" x14ac:dyDescent="0.25">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2.5" x14ac:dyDescent="0.25">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2.5" x14ac:dyDescent="0.25">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2.5" x14ac:dyDescent="0.25">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22.5" x14ac:dyDescent="0.25">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2.5" x14ac:dyDescent="0.25">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2.5" x14ac:dyDescent="0.25">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33.75" x14ac:dyDescent="0.25">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2.5" x14ac:dyDescent="0.25">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2.5" x14ac:dyDescent="0.25">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2.5" x14ac:dyDescent="0.25">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33.75" x14ac:dyDescent="0.25">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33.75" x14ac:dyDescent="0.25">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2.5" x14ac:dyDescent="0.25">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33.75" x14ac:dyDescent="0.25">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33.75" x14ac:dyDescent="0.25">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2.5" x14ac:dyDescent="0.25">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33.75" x14ac:dyDescent="0.25">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22.5" x14ac:dyDescent="0.25">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2.5" x14ac:dyDescent="0.25">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2.5" x14ac:dyDescent="0.25">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33.75" x14ac:dyDescent="0.25">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2.5" x14ac:dyDescent="0.25">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2.5" x14ac:dyDescent="0.25">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2.5" x14ac:dyDescent="0.25">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2.5" x14ac:dyDescent="0.25">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2.5" x14ac:dyDescent="0.25">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33.75" x14ac:dyDescent="0.25">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2.5" x14ac:dyDescent="0.25">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2.5" x14ac:dyDescent="0.25">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2.5" x14ac:dyDescent="0.25">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2.5" x14ac:dyDescent="0.25">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2.5" x14ac:dyDescent="0.25">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2.5" x14ac:dyDescent="0.25">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2.5" x14ac:dyDescent="0.25">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2.5" x14ac:dyDescent="0.25">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2.5" x14ac:dyDescent="0.25">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2.5" x14ac:dyDescent="0.25">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2.5" x14ac:dyDescent="0.25">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33.75" x14ac:dyDescent="0.25">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2.5" x14ac:dyDescent="0.25">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2.5" x14ac:dyDescent="0.25">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2.5" x14ac:dyDescent="0.25">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2.5" x14ac:dyDescent="0.25">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2.5" x14ac:dyDescent="0.25">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2.5" x14ac:dyDescent="0.25">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2.5" x14ac:dyDescent="0.25">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2.5" x14ac:dyDescent="0.25">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2.5" x14ac:dyDescent="0.25">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2.5" x14ac:dyDescent="0.25">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2.5" x14ac:dyDescent="0.25">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2.5" x14ac:dyDescent="0.25">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2.5" x14ac:dyDescent="0.25">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2.5" x14ac:dyDescent="0.25">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2.5" x14ac:dyDescent="0.25">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2.5" x14ac:dyDescent="0.25">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2.5" x14ac:dyDescent="0.25">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2.5" x14ac:dyDescent="0.25">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2.5" x14ac:dyDescent="0.25">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22.5" x14ac:dyDescent="0.25">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2.5" x14ac:dyDescent="0.25">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33.75" x14ac:dyDescent="0.25">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2.5" x14ac:dyDescent="0.25">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33.75" x14ac:dyDescent="0.25">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2.5" x14ac:dyDescent="0.25">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33.75" x14ac:dyDescent="0.25">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2.5" x14ac:dyDescent="0.25">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22.5" x14ac:dyDescent="0.25">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22.5" x14ac:dyDescent="0.25">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2.5" x14ac:dyDescent="0.25">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22.5" x14ac:dyDescent="0.25">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22.5" x14ac:dyDescent="0.25">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22.5" x14ac:dyDescent="0.25">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22.5" x14ac:dyDescent="0.25">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22.5" x14ac:dyDescent="0.25">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22.5" x14ac:dyDescent="0.25">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22.5" x14ac:dyDescent="0.25">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22.5" x14ac:dyDescent="0.25">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22.5" x14ac:dyDescent="0.25">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22.5" x14ac:dyDescent="0.25">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2.5" x14ac:dyDescent="0.25">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22.5" x14ac:dyDescent="0.25">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2.5" x14ac:dyDescent="0.25">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22.5" x14ac:dyDescent="0.25">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2.5" x14ac:dyDescent="0.25">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22.5" x14ac:dyDescent="0.25">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22.5" x14ac:dyDescent="0.25">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22.5" x14ac:dyDescent="0.25">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22.5" x14ac:dyDescent="0.25">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22.5" x14ac:dyDescent="0.25">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22.5" x14ac:dyDescent="0.25">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2.5" x14ac:dyDescent="0.25">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2.5" x14ac:dyDescent="0.25">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2.5" x14ac:dyDescent="0.25">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25">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25">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2.5" x14ac:dyDescent="0.25">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25">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25">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25">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2.5" x14ac:dyDescent="0.25">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2.5" x14ac:dyDescent="0.25">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25">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2.5" x14ac:dyDescent="0.25">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25">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25">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2.5" x14ac:dyDescent="0.25">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25">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25">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25">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25">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25">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25">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25">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25">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25">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25">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25">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25">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25">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2.5" x14ac:dyDescent="0.25">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2.5" x14ac:dyDescent="0.25">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2.5" x14ac:dyDescent="0.25">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2.5" x14ac:dyDescent="0.25">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2.5" x14ac:dyDescent="0.25">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2.5" x14ac:dyDescent="0.25">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2.5" x14ac:dyDescent="0.25">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2.5" x14ac:dyDescent="0.25">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2.5" x14ac:dyDescent="0.25">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2.5" x14ac:dyDescent="0.25">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2.5" x14ac:dyDescent="0.25">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2.5" x14ac:dyDescent="0.25">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2.5" x14ac:dyDescent="0.25">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2.5" x14ac:dyDescent="0.25">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2.5" x14ac:dyDescent="0.25">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2.5" x14ac:dyDescent="0.25">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2.5" x14ac:dyDescent="0.25">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2.5" x14ac:dyDescent="0.25">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2.5" x14ac:dyDescent="0.25">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2.5" x14ac:dyDescent="0.25">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2.5" x14ac:dyDescent="0.25">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2.5" x14ac:dyDescent="0.25">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2.5" x14ac:dyDescent="0.25">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2.5" x14ac:dyDescent="0.25">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2.5" x14ac:dyDescent="0.25">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2.5" x14ac:dyDescent="0.25">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2.5" x14ac:dyDescent="0.25">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2.5" x14ac:dyDescent="0.25">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2.5" x14ac:dyDescent="0.25">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2.5" x14ac:dyDescent="0.25">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2.5" x14ac:dyDescent="0.25">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2.5" x14ac:dyDescent="0.25">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2.5" x14ac:dyDescent="0.25">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2.5" x14ac:dyDescent="0.25">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2.5" x14ac:dyDescent="0.25">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2.5" x14ac:dyDescent="0.25">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2.5" x14ac:dyDescent="0.25">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2.5" x14ac:dyDescent="0.25">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2.5" x14ac:dyDescent="0.25">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2.5" x14ac:dyDescent="0.25">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2.5" x14ac:dyDescent="0.25">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2.5" x14ac:dyDescent="0.25">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2.5" x14ac:dyDescent="0.25">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2.5" x14ac:dyDescent="0.25">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2.5" x14ac:dyDescent="0.25">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2.5" x14ac:dyDescent="0.25">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2.5" x14ac:dyDescent="0.25">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25">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2.5" x14ac:dyDescent="0.25">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25">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25">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2.5" x14ac:dyDescent="0.25">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2.5" x14ac:dyDescent="0.25">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25">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25">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25">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25">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2.5" x14ac:dyDescent="0.25">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2.5" x14ac:dyDescent="0.25">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25">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2.5" x14ac:dyDescent="0.25">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2.5" x14ac:dyDescent="0.25">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25">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25">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25">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25">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2.5" x14ac:dyDescent="0.25">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25">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25">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25">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2.5" x14ac:dyDescent="0.25">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25">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25">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25">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25">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25">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25">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25">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25">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2.5" x14ac:dyDescent="0.25">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25">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25">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2.5" x14ac:dyDescent="0.25">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2.5" x14ac:dyDescent="0.25">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2.5" x14ac:dyDescent="0.25">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2.5" x14ac:dyDescent="0.25">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25">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25">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25">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25">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25">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2.5" x14ac:dyDescent="0.25">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2.5" x14ac:dyDescent="0.25">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2.5" x14ac:dyDescent="0.25">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2.5" x14ac:dyDescent="0.25">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2.5" x14ac:dyDescent="0.25">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2.5" x14ac:dyDescent="0.25">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2.5" x14ac:dyDescent="0.25">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2.5" x14ac:dyDescent="0.25">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2.5" x14ac:dyDescent="0.25">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25">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2.5" x14ac:dyDescent="0.25">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2.5" x14ac:dyDescent="0.25">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2.5" x14ac:dyDescent="0.25">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2.5" x14ac:dyDescent="0.25">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2.5" x14ac:dyDescent="0.25">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2.5" x14ac:dyDescent="0.25">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2.5" x14ac:dyDescent="0.25">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2.5" x14ac:dyDescent="0.25">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2.5" x14ac:dyDescent="0.25">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2.5" x14ac:dyDescent="0.25">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2.5" x14ac:dyDescent="0.25">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2.5" x14ac:dyDescent="0.25">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2.5" x14ac:dyDescent="0.25">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2.5" x14ac:dyDescent="0.25">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2.5" x14ac:dyDescent="0.25">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2.5" x14ac:dyDescent="0.25">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2.5" x14ac:dyDescent="0.25">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2.5" x14ac:dyDescent="0.25">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2.5" x14ac:dyDescent="0.25">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2.5" x14ac:dyDescent="0.25">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2.5" x14ac:dyDescent="0.25">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2.5" x14ac:dyDescent="0.25">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2.5" x14ac:dyDescent="0.25">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2.5" x14ac:dyDescent="0.25">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2.5" x14ac:dyDescent="0.25">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2.5" x14ac:dyDescent="0.25">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2.5" x14ac:dyDescent="0.25">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2.5" x14ac:dyDescent="0.25">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2.5" x14ac:dyDescent="0.25">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2.5" x14ac:dyDescent="0.25">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2.5" x14ac:dyDescent="0.25">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2.5" x14ac:dyDescent="0.25">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2.5" x14ac:dyDescent="0.25">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2.5" x14ac:dyDescent="0.25">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2.5" x14ac:dyDescent="0.25">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2.5" x14ac:dyDescent="0.25">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2.5" x14ac:dyDescent="0.25">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25">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2.5" x14ac:dyDescent="0.25">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2.5" x14ac:dyDescent="0.25">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2.5" x14ac:dyDescent="0.25">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2.5" x14ac:dyDescent="0.25">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25">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25">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25">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2.5" x14ac:dyDescent="0.25">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25">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2.5" x14ac:dyDescent="0.25">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25">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2.5" x14ac:dyDescent="0.25">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2.5" x14ac:dyDescent="0.25">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25">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25">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2.5" x14ac:dyDescent="0.25">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2.5" x14ac:dyDescent="0.25">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2.5" x14ac:dyDescent="0.25">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2.5" x14ac:dyDescent="0.25">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2.5" x14ac:dyDescent="0.25">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25">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25">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2.5" x14ac:dyDescent="0.25">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2.5" x14ac:dyDescent="0.25">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2.5" x14ac:dyDescent="0.25">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2.5" x14ac:dyDescent="0.25">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2.5" x14ac:dyDescent="0.25">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2.5" x14ac:dyDescent="0.25">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2.5" x14ac:dyDescent="0.25">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2.5" x14ac:dyDescent="0.25">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2.5" x14ac:dyDescent="0.25">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2.5" x14ac:dyDescent="0.25">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2.5" x14ac:dyDescent="0.25">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2.5" x14ac:dyDescent="0.25">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2.5" x14ac:dyDescent="0.25">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2.5" x14ac:dyDescent="0.25">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2.5" x14ac:dyDescent="0.25">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2.5" x14ac:dyDescent="0.25">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2.5" x14ac:dyDescent="0.25">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2.5" x14ac:dyDescent="0.25">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2.5" x14ac:dyDescent="0.25">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2.5" x14ac:dyDescent="0.25">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2.5" x14ac:dyDescent="0.25">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2.5" x14ac:dyDescent="0.25">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2.5" x14ac:dyDescent="0.25">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2.5" x14ac:dyDescent="0.25">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2.5" x14ac:dyDescent="0.25">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2.5" x14ac:dyDescent="0.25">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2.5" x14ac:dyDescent="0.25">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2.5" x14ac:dyDescent="0.25">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2.5" x14ac:dyDescent="0.25">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2.5" x14ac:dyDescent="0.25">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2.5" x14ac:dyDescent="0.25">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2.5" x14ac:dyDescent="0.25">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2.5" x14ac:dyDescent="0.25">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2.5" x14ac:dyDescent="0.25">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2.5" x14ac:dyDescent="0.25">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2.5" x14ac:dyDescent="0.25">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2.5" x14ac:dyDescent="0.25">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2.5" x14ac:dyDescent="0.25">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2.5" x14ac:dyDescent="0.25">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2.5" x14ac:dyDescent="0.25">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2.5" x14ac:dyDescent="0.25">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2.5" x14ac:dyDescent="0.25">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2.5" x14ac:dyDescent="0.25">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2.5" x14ac:dyDescent="0.25">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2.5" x14ac:dyDescent="0.25">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2.5" x14ac:dyDescent="0.25">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2.5" x14ac:dyDescent="0.25">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2.5" x14ac:dyDescent="0.25">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2.5" x14ac:dyDescent="0.25">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2.5" x14ac:dyDescent="0.25">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2.5" x14ac:dyDescent="0.25">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2.5" x14ac:dyDescent="0.25">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2.5" x14ac:dyDescent="0.25">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2.5" x14ac:dyDescent="0.25">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2.5" x14ac:dyDescent="0.25">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2.5" x14ac:dyDescent="0.25">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2.5" x14ac:dyDescent="0.25">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2.5" x14ac:dyDescent="0.25">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2.5" x14ac:dyDescent="0.25">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2.5" x14ac:dyDescent="0.25">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2.5" x14ac:dyDescent="0.25">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2.5" x14ac:dyDescent="0.25">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2.5" x14ac:dyDescent="0.25">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2.5" x14ac:dyDescent="0.25">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2.5" x14ac:dyDescent="0.25">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2.5" x14ac:dyDescent="0.25">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2.5" x14ac:dyDescent="0.25">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2.5" x14ac:dyDescent="0.25">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2.5" x14ac:dyDescent="0.25">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2.5" x14ac:dyDescent="0.25">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2.5" x14ac:dyDescent="0.25">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2.5" x14ac:dyDescent="0.25">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2.5" x14ac:dyDescent="0.25">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2.5" x14ac:dyDescent="0.25">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2.5" x14ac:dyDescent="0.25">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2.5" x14ac:dyDescent="0.25">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2.5" x14ac:dyDescent="0.25">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2.5" x14ac:dyDescent="0.25">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2.5" x14ac:dyDescent="0.25">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2.5" x14ac:dyDescent="0.25">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2.5" x14ac:dyDescent="0.25">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25">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25">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25">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25">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25">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25">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25">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25">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25">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25">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25">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25">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25">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25">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25">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25">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25">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25">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25">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25">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25">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25">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25">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25">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2.5" x14ac:dyDescent="0.25">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25">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25">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25">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25">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25">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2.5" x14ac:dyDescent="0.25">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2.5" x14ac:dyDescent="0.25">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2.5" x14ac:dyDescent="0.25">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2.5" x14ac:dyDescent="0.25">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2.5" x14ac:dyDescent="0.25">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2.5" x14ac:dyDescent="0.25">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2.5" x14ac:dyDescent="0.25">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2.5" x14ac:dyDescent="0.25">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2.5" x14ac:dyDescent="0.25">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2.5" x14ac:dyDescent="0.25">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2.5" x14ac:dyDescent="0.25">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2.5" x14ac:dyDescent="0.25">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3.75" x14ac:dyDescent="0.25">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3.75" x14ac:dyDescent="0.25">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3.75" x14ac:dyDescent="0.25">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3.75" x14ac:dyDescent="0.25">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3.75" x14ac:dyDescent="0.25">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3.75" x14ac:dyDescent="0.25">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3.75" x14ac:dyDescent="0.25">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3.75" x14ac:dyDescent="0.25">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3.75" x14ac:dyDescent="0.25">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3.75" x14ac:dyDescent="0.25">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3.75" x14ac:dyDescent="0.25">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3.75" x14ac:dyDescent="0.25">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3.75" x14ac:dyDescent="0.25">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3.75" x14ac:dyDescent="0.25">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3.75" x14ac:dyDescent="0.25">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3.75" x14ac:dyDescent="0.25">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3.75" x14ac:dyDescent="0.25">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3.75" x14ac:dyDescent="0.25">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3.75" x14ac:dyDescent="0.25">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3.75" x14ac:dyDescent="0.25">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3.75" x14ac:dyDescent="0.25">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3.75" x14ac:dyDescent="0.25">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3.75" x14ac:dyDescent="0.25">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3.75" x14ac:dyDescent="0.25">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3.75" x14ac:dyDescent="0.25">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3.75" x14ac:dyDescent="0.25">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3.75" x14ac:dyDescent="0.25">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3.75" x14ac:dyDescent="0.25">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3.75" x14ac:dyDescent="0.25">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3.75" x14ac:dyDescent="0.25">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3.75" x14ac:dyDescent="0.25">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3.75" x14ac:dyDescent="0.25">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3.75" x14ac:dyDescent="0.25">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3.75" x14ac:dyDescent="0.25">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3.75" x14ac:dyDescent="0.25">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3.75" x14ac:dyDescent="0.25">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3.75" x14ac:dyDescent="0.25">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3.75" x14ac:dyDescent="0.25">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3.75" x14ac:dyDescent="0.25">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3.75" x14ac:dyDescent="0.25">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3.75" x14ac:dyDescent="0.25">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3.75" x14ac:dyDescent="0.25">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3.75" x14ac:dyDescent="0.25">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3.75" x14ac:dyDescent="0.25">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3.75" x14ac:dyDescent="0.25">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3.75" x14ac:dyDescent="0.25">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3.75" x14ac:dyDescent="0.25">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3.75" x14ac:dyDescent="0.25">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3.75" x14ac:dyDescent="0.25">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3.75" x14ac:dyDescent="0.25">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3.75" x14ac:dyDescent="0.25">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3.75" x14ac:dyDescent="0.25">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3.75" x14ac:dyDescent="0.25">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3.75" x14ac:dyDescent="0.25">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3.75" x14ac:dyDescent="0.25">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3.75" x14ac:dyDescent="0.25">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3.75" x14ac:dyDescent="0.25">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3.75" x14ac:dyDescent="0.25">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3.75" x14ac:dyDescent="0.25">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3.75" x14ac:dyDescent="0.25">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3.75" x14ac:dyDescent="0.25">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3.75" x14ac:dyDescent="0.25">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3.75" x14ac:dyDescent="0.25">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3.75" x14ac:dyDescent="0.25">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3.75" x14ac:dyDescent="0.25">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3.75" x14ac:dyDescent="0.25">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3.75" x14ac:dyDescent="0.25">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33.75" x14ac:dyDescent="0.25">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3.75" x14ac:dyDescent="0.25">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3.75" x14ac:dyDescent="0.25">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33.75" x14ac:dyDescent="0.25">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3.75" x14ac:dyDescent="0.25">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33.75" x14ac:dyDescent="0.25">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33.75" x14ac:dyDescent="0.25">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3.75" x14ac:dyDescent="0.25">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33.75" x14ac:dyDescent="0.25">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3.75" x14ac:dyDescent="0.25">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33.75" x14ac:dyDescent="0.25">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33.75" x14ac:dyDescent="0.25">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3.75" x14ac:dyDescent="0.25">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33.75" x14ac:dyDescent="0.25">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3.75" x14ac:dyDescent="0.25">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3.75" x14ac:dyDescent="0.25">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33.75" x14ac:dyDescent="0.25">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3.75" x14ac:dyDescent="0.25">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3.75" x14ac:dyDescent="0.25">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3.75" x14ac:dyDescent="0.25">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33.75" x14ac:dyDescent="0.25">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3.75" x14ac:dyDescent="0.25">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3.75" x14ac:dyDescent="0.25">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3.75" x14ac:dyDescent="0.25">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33.75" x14ac:dyDescent="0.25">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3.75" x14ac:dyDescent="0.25">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3.75" x14ac:dyDescent="0.25">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3.75" x14ac:dyDescent="0.25">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33.75" x14ac:dyDescent="0.25">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3.75" x14ac:dyDescent="0.25">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3.75" x14ac:dyDescent="0.25">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33.75" x14ac:dyDescent="0.25">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3.75" x14ac:dyDescent="0.25">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33.75" x14ac:dyDescent="0.25">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33.75" x14ac:dyDescent="0.25">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3.75" x14ac:dyDescent="0.25">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3.75" x14ac:dyDescent="0.25">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33.75" x14ac:dyDescent="0.25">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3.75" x14ac:dyDescent="0.25">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33.75" x14ac:dyDescent="0.25">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3.75" x14ac:dyDescent="0.25">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33.75" x14ac:dyDescent="0.25">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3.75" x14ac:dyDescent="0.25">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3.75" x14ac:dyDescent="0.25">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3.75" x14ac:dyDescent="0.25">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33.75" x14ac:dyDescent="0.25">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3.75" x14ac:dyDescent="0.25">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3.75" x14ac:dyDescent="0.25">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3.75" x14ac:dyDescent="0.25">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3.75" x14ac:dyDescent="0.25">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33.75" x14ac:dyDescent="0.25">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33.75" x14ac:dyDescent="0.25">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33.75" x14ac:dyDescent="0.25">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33.75" x14ac:dyDescent="0.25">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3.75" x14ac:dyDescent="0.25">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3.75" x14ac:dyDescent="0.25">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2.5" x14ac:dyDescent="0.25">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2.5" x14ac:dyDescent="0.25">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2.5" x14ac:dyDescent="0.25">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2.5" x14ac:dyDescent="0.25">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2.5" x14ac:dyDescent="0.25">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2.5" x14ac:dyDescent="0.25">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2.5" x14ac:dyDescent="0.25">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2.5" x14ac:dyDescent="0.25">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25">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25">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25">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25">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25">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25">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2.5" x14ac:dyDescent="0.25">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2.5" x14ac:dyDescent="0.25">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2.5" x14ac:dyDescent="0.25">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2.5" x14ac:dyDescent="0.25">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2.5" x14ac:dyDescent="0.25">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2.5" x14ac:dyDescent="0.25">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2.5" x14ac:dyDescent="0.25">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2.5" x14ac:dyDescent="0.25">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2.5" x14ac:dyDescent="0.25">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2.5" x14ac:dyDescent="0.25">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2.5" x14ac:dyDescent="0.25">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2.5" x14ac:dyDescent="0.25">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2.5" x14ac:dyDescent="0.25">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2.5" x14ac:dyDescent="0.25">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2.5" x14ac:dyDescent="0.25">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2.5" x14ac:dyDescent="0.25">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2.5" x14ac:dyDescent="0.25">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2.5" x14ac:dyDescent="0.25">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2.5" x14ac:dyDescent="0.25">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2.5" x14ac:dyDescent="0.25">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2.5" x14ac:dyDescent="0.25">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2.5" x14ac:dyDescent="0.25">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2.5" x14ac:dyDescent="0.25">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2.5" x14ac:dyDescent="0.25">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2.5" x14ac:dyDescent="0.25">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2.5" x14ac:dyDescent="0.25">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2.5" x14ac:dyDescent="0.25">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ht="22.5" x14ac:dyDescent="0.25">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ht="22.5" x14ac:dyDescent="0.25">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ht="22.5" x14ac:dyDescent="0.25">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ht="22.5" x14ac:dyDescent="0.25">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ht="22.5" x14ac:dyDescent="0.25">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ht="22.5" x14ac:dyDescent="0.25">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ht="22.5" x14ac:dyDescent="0.25">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25">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ht="22.5" x14ac:dyDescent="0.25">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25">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25">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25">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25">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ht="22.5" x14ac:dyDescent="0.25">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ht="22.5" x14ac:dyDescent="0.25">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ht="22.5" x14ac:dyDescent="0.25">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ht="22.5" x14ac:dyDescent="0.25">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ht="22.5" x14ac:dyDescent="0.25">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25">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25">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25">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ht="22.5" x14ac:dyDescent="0.25">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ht="22.5" x14ac:dyDescent="0.25">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ht="22.5" x14ac:dyDescent="0.25">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25">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25">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ht="22.5" x14ac:dyDescent="0.25">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ht="22.5" x14ac:dyDescent="0.25">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ht="22.5" x14ac:dyDescent="0.25">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25">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25">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25">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25">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25">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25">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25">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ht="21" x14ac:dyDescent="0.25">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ht="21" x14ac:dyDescent="0.25">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ht="21" x14ac:dyDescent="0.25">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31.5" x14ac:dyDescent="0.25">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ht="21" x14ac:dyDescent="0.25">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31.5" x14ac:dyDescent="0.25">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31.5" x14ac:dyDescent="0.25">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31.5" x14ac:dyDescent="0.25">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ht="21" x14ac:dyDescent="0.25">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ht="21" x14ac:dyDescent="0.25">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ht="21" x14ac:dyDescent="0.25">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52.5" x14ac:dyDescent="0.25">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42" x14ac:dyDescent="0.25">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42" x14ac:dyDescent="0.25">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63" x14ac:dyDescent="0.25">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5546875" defaultRowHeight="19.5" customHeight="1" x14ac:dyDescent="0.25"/>
  <cols>
    <col min="1" max="1" width="3.85546875" style="21" customWidth="1"/>
    <col min="2" max="2" width="57.85546875" style="19" customWidth="1"/>
    <col min="3" max="3" width="2.5703125" style="19" customWidth="1"/>
    <col min="4" max="4" width="134.42578125" style="20" customWidth="1"/>
    <col min="5" max="5" width="2.5703125" style="21" customWidth="1"/>
    <col min="6" max="6" width="22.28515625" style="21" customWidth="1"/>
    <col min="7" max="7" width="2.5703125" style="21" customWidth="1"/>
    <col min="8" max="8" width="54" style="21" customWidth="1"/>
    <col min="9" max="9" width="2.5703125" style="21" customWidth="1"/>
    <col min="10" max="10" width="59.28515625" style="21" customWidth="1"/>
    <col min="11" max="11" width="4.5703125" style="21" customWidth="1"/>
    <col min="12" max="12" width="50.85546875" style="21" customWidth="1"/>
    <col min="13" max="13" width="5.7109375" style="21" customWidth="1"/>
    <col min="14" max="14" width="51.7109375" style="21" customWidth="1"/>
    <col min="15" max="15" width="5.7109375" style="21" customWidth="1"/>
    <col min="16" max="16" width="51.28515625" style="21" customWidth="1"/>
    <col min="17" max="16384" width="8.85546875" style="21"/>
  </cols>
  <sheetData>
    <row r="1" spans="2:10" ht="37.5" customHeight="1" x14ac:dyDescent="0.25">
      <c r="B1" s="18" t="s">
        <v>10597</v>
      </c>
    </row>
    <row r="2" spans="2:10" s="22" customFormat="1" ht="31.5" customHeight="1" x14ac:dyDescent="0.25">
      <c r="B2" s="22">
        <v>1</v>
      </c>
      <c r="D2" s="22">
        <v>2</v>
      </c>
      <c r="F2" s="22">
        <v>3</v>
      </c>
    </row>
    <row r="3" spans="2:10" s="13" customFormat="1" ht="28.5" customHeight="1" x14ac:dyDescent="0.25">
      <c r="B3" s="23" t="s">
        <v>10598</v>
      </c>
      <c r="C3" s="23"/>
      <c r="D3" s="23" t="s">
        <v>10599</v>
      </c>
      <c r="E3" s="23"/>
      <c r="F3" s="23" t="s">
        <v>10600</v>
      </c>
      <c r="G3" s="23"/>
      <c r="H3" s="23"/>
    </row>
    <row r="4" spans="2:10" ht="19.5" customHeight="1" x14ac:dyDescent="0.25">
      <c r="B4" s="52" t="s">
        <v>10601</v>
      </c>
      <c r="F4" s="24" t="s">
        <v>10602</v>
      </c>
      <c r="G4" s="24" t="s">
        <v>10603</v>
      </c>
      <c r="H4" s="20" t="s">
        <v>10604</v>
      </c>
    </row>
    <row r="5" spans="2:10" ht="19.5" customHeight="1" x14ac:dyDescent="0.25">
      <c r="B5" s="52"/>
      <c r="F5" s="25" t="s">
        <v>10605</v>
      </c>
      <c r="G5" s="25"/>
      <c r="H5" s="26" t="s">
        <v>10606</v>
      </c>
    </row>
    <row r="6" spans="2:10" ht="19.5" customHeight="1" x14ac:dyDescent="0.25">
      <c r="F6" s="25" t="s">
        <v>10607</v>
      </c>
      <c r="G6" s="25"/>
      <c r="H6" s="26" t="s">
        <v>6828</v>
      </c>
    </row>
    <row r="7" spans="2:10" ht="19.5" customHeight="1" x14ac:dyDescent="0.25">
      <c r="F7" s="25" t="s">
        <v>10608</v>
      </c>
      <c r="G7" s="25"/>
      <c r="H7" s="26" t="s">
        <v>10609</v>
      </c>
    </row>
    <row r="8" spans="2:10" ht="19.5" customHeight="1" x14ac:dyDescent="0.25">
      <c r="F8" s="25" t="s">
        <v>10610</v>
      </c>
      <c r="G8" s="25"/>
      <c r="H8" s="26">
        <v>5432</v>
      </c>
    </row>
    <row r="9" spans="2:10" ht="19.5" customHeight="1" x14ac:dyDescent="0.25">
      <c r="F9" s="25" t="s">
        <v>10611</v>
      </c>
      <c r="G9" s="25"/>
      <c r="H9" s="26" t="s">
        <v>10612</v>
      </c>
    </row>
    <row r="10" spans="2:10" ht="19.5" customHeight="1" x14ac:dyDescent="0.25">
      <c r="F10" s="25" t="s">
        <v>10613</v>
      </c>
      <c r="G10" s="25"/>
      <c r="H10" s="26" t="s">
        <v>10614</v>
      </c>
      <c r="J10" s="13"/>
    </row>
    <row r="11" spans="2:10" ht="20.25" customHeight="1" x14ac:dyDescent="0.25">
      <c r="J11" s="13"/>
    </row>
    <row r="12" spans="2:10" ht="20.25" customHeight="1" x14ac:dyDescent="0.25"/>
    <row r="13" spans="2:10" ht="20.25" customHeight="1" x14ac:dyDescent="0.25"/>
    <row r="14" spans="2:10" ht="20.25" customHeight="1" x14ac:dyDescent="0.25"/>
    <row r="15" spans="2:10" ht="20.25" customHeight="1" x14ac:dyDescent="0.25"/>
    <row r="16" spans="2:10" ht="20.25" customHeight="1" x14ac:dyDescent="0.25"/>
    <row r="17" spans="2:8" ht="20.25" customHeight="1" x14ac:dyDescent="0.25"/>
    <row r="18" spans="2:8" ht="20.25" customHeight="1" x14ac:dyDescent="0.25"/>
    <row r="19" spans="2:8" ht="20.25" customHeight="1" x14ac:dyDescent="0.25"/>
    <row r="20" spans="2:8" ht="20.25" customHeight="1" x14ac:dyDescent="0.25"/>
    <row r="21" spans="2:8" ht="20.25" customHeight="1" x14ac:dyDescent="0.25"/>
    <row r="22" spans="2:8" ht="20.25" customHeight="1" x14ac:dyDescent="0.25"/>
    <row r="23" spans="2:8" ht="20.25" customHeight="1" x14ac:dyDescent="0.25"/>
    <row r="24" spans="2:8" ht="20.25" customHeight="1" x14ac:dyDescent="0.25"/>
    <row r="25" spans="2:8" ht="20.25" customHeight="1" x14ac:dyDescent="0.25"/>
    <row r="26" spans="2:8" ht="20.25" customHeight="1" x14ac:dyDescent="0.25"/>
    <row r="27" spans="2:8" ht="27.75" customHeight="1" x14ac:dyDescent="0.25">
      <c r="B27" s="18" t="s">
        <v>10615</v>
      </c>
      <c r="C27" s="21"/>
      <c r="D27" s="21"/>
    </row>
    <row r="28" spans="2:8" ht="33" customHeight="1" x14ac:dyDescent="0.25">
      <c r="B28" s="22">
        <v>4</v>
      </c>
      <c r="C28" s="22"/>
      <c r="D28" s="22"/>
      <c r="E28" s="22"/>
      <c r="F28" s="22"/>
      <c r="G28" s="22"/>
      <c r="H28" s="22"/>
    </row>
    <row r="29" spans="2:8" ht="33.75" x14ac:dyDescent="0.25">
      <c r="B29" s="13" t="s">
        <v>10616</v>
      </c>
      <c r="C29" s="13"/>
      <c r="D29" s="13"/>
      <c r="E29" s="13"/>
      <c r="F29" s="13"/>
      <c r="G29" s="13"/>
      <c r="H29" s="13"/>
    </row>
    <row r="30" spans="2:8" ht="19.5" customHeight="1" x14ac:dyDescent="0.25">
      <c r="B30" s="13"/>
      <c r="C30" s="21"/>
      <c r="D30" s="13"/>
      <c r="F30" s="13"/>
      <c r="H30" s="13"/>
    </row>
    <row r="31" spans="2:8" ht="19.5" customHeight="1" x14ac:dyDescent="0.25">
      <c r="B31" s="13"/>
      <c r="C31" s="21"/>
      <c r="D31" s="13"/>
      <c r="F31" s="13"/>
      <c r="H31" s="13"/>
    </row>
    <row r="32" spans="2:8" ht="19.5" customHeight="1" x14ac:dyDescent="0.25">
      <c r="B32" s="13"/>
      <c r="C32" s="21"/>
      <c r="D32" s="13"/>
      <c r="F32" s="13"/>
      <c r="H32" s="13"/>
    </row>
    <row r="33" spans="2:8" ht="19.5" customHeight="1" x14ac:dyDescent="0.25">
      <c r="B33" s="13"/>
      <c r="C33" s="21"/>
      <c r="D33" s="13"/>
      <c r="F33" s="13"/>
      <c r="H33" s="13"/>
    </row>
    <row r="34" spans="2:8" ht="19.5" customHeight="1" x14ac:dyDescent="0.25">
      <c r="B34" s="13"/>
      <c r="C34" s="21"/>
      <c r="D34" s="13"/>
      <c r="F34" s="13"/>
      <c r="H34" s="13"/>
    </row>
    <row r="35" spans="2:8" ht="19.5" customHeight="1" x14ac:dyDescent="0.25">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77ed3b4-dc53-4ccd-91b7-93b67a0eba97">
      <Terms xmlns="http://schemas.microsoft.com/office/infopath/2007/PartnerControls"/>
    </lcf76f155ced4ddcb4097134ff3c332f>
    <TaxCatchAll xmlns="63e8c1f7-1787-49b1-80e5-dcc3ae9ab6e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A9EB7EB4E4F489A4515111482199D" ma:contentTypeVersion="17" ma:contentTypeDescription="Create a new document." ma:contentTypeScope="" ma:versionID="1a9587f5d7487af8e92a6d5a13673469">
  <xsd:schema xmlns:xsd="http://www.w3.org/2001/XMLSchema" xmlns:xs="http://www.w3.org/2001/XMLSchema" xmlns:p="http://schemas.microsoft.com/office/2006/metadata/properties" xmlns:ns2="977ed3b4-dc53-4ccd-91b7-93b67a0eba97" xmlns:ns3="63e8c1f7-1787-49b1-80e5-dcc3ae9ab6e9" targetNamespace="http://schemas.microsoft.com/office/2006/metadata/properties" ma:root="true" ma:fieldsID="415417a4cbdf11f02cb5ab4f1cd2cc84" ns2:_="" ns3:_="">
    <xsd:import namespace="977ed3b4-dc53-4ccd-91b7-93b67a0eba97"/>
    <xsd:import namespace="63e8c1f7-1787-49b1-80e5-dcc3ae9ab6e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7ed3b4-dc53-4ccd-91b7-93b67a0eba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5426fa-e547-4e42-90d0-e39dca50836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8c1f7-1787-49b1-80e5-dcc3ae9ab6e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74a4609-41f4-4e06-875c-5b66bd3cec7e}" ma:internalName="TaxCatchAll" ma:showField="CatchAllData" ma:web="63e8c1f7-1787-49b1-80e5-dcc3ae9ab6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 ds:uri="977ed3b4-dc53-4ccd-91b7-93b67a0eba97"/>
    <ds:schemaRef ds:uri="63e8c1f7-1787-49b1-80e5-dcc3ae9ab6e9"/>
  </ds:schemaRefs>
</ds:datastoreItem>
</file>

<file path=customXml/itemProps2.xml><?xml version="1.0" encoding="utf-8"?>
<ds:datastoreItem xmlns:ds="http://schemas.openxmlformats.org/officeDocument/2006/customXml" ds:itemID="{58CA1702-DD76-4332-8A07-FF0118BDD8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7ed3b4-dc53-4ccd-91b7-93b67a0eba97"/>
    <ds:schemaRef ds:uri="63e8c1f7-1787-49b1-80e5-dcc3ae9ab6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83214E-AA8E-498F-9F1F-C1138F34B079}">
  <ds:schemaRefs>
    <ds:schemaRef ds:uri="http://schemas.microsoft.com/DataMashup"/>
  </ds:schemaRefs>
</ds:datastoreItem>
</file>

<file path=customXml/itemProps4.xml><?xml version="1.0" encoding="utf-8"?>
<ds:datastoreItem xmlns:ds="http://schemas.openxmlformats.org/officeDocument/2006/customXml" ds:itemID="{DB8B0FE8-E5BB-4E2C-B3B6-9166161A1D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Kelsey Yen</cp:lastModifiedBy>
  <cp:revision/>
  <dcterms:created xsi:type="dcterms:W3CDTF">2022-11-07T18:03:41Z</dcterms:created>
  <dcterms:modified xsi:type="dcterms:W3CDTF">2026-07-24T22:59:08Z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0x010100366A9EB7EB4E4F489A4515111482199D</vt:lpwstr>
  </property>
  <property fmtid="{D5CDD505-2E9C-101B-9397-08002B2CF9AE}" pid="10" name="MediaServiceImageTags">
    <vt:lpwstr/>
  </property>
</Properties>
</file>